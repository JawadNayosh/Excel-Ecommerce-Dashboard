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jnayo\Desktop\"/>
    </mc:Choice>
  </mc:AlternateContent>
  <xr:revisionPtr revIDLastSave="0" documentId="13_ncr:1_{95E66D57-C54F-4C6B-A7B8-E2D1336438D1}" xr6:coauthVersionLast="47" xr6:coauthVersionMax="47" xr10:uidLastSave="{00000000-0000-0000-0000-000000000000}"/>
  <bookViews>
    <workbookView xWindow="-110" yWindow="-110" windowWidth="19420" windowHeight="11500" activeTab="1" xr2:uid="{00000000-000D-0000-FFFF-FFFF00000000}"/>
  </bookViews>
  <sheets>
    <sheet name="KPIs" sheetId="5" r:id="rId1"/>
    <sheet name="My Dashboard" sheetId="6" r:id="rId2"/>
    <sheet name="Sheet3" sheetId="7" r:id="rId3"/>
    <sheet name="Sheet4" sheetId="9" r:id="rId4"/>
    <sheet name="Sheet6" sheetId="11" r:id="rId5"/>
    <sheet name="Sheet1" sheetId="12" r:id="rId6"/>
    <sheet name="Sheet2" sheetId="13" r:id="rId7"/>
    <sheet name="Sheet7" sheetId="15" r:id="rId8"/>
    <sheet name="Sheet8" sheetId="16" r:id="rId9"/>
    <sheet name="Sheet9" sheetId="17" r:id="rId10"/>
    <sheet name="Data" sheetId="1" r:id="rId11"/>
    <sheet name="Questions &amp; KPIs" sheetId="2" r:id="rId12"/>
    <sheet name="Dashboard" sheetId="3" r:id="rId13"/>
    <sheet name="Logo &amp; Colors" sheetId="4" r:id="rId14"/>
  </sheets>
  <definedNames>
    <definedName name="Slicer_Gender_Value">#N/A</definedName>
    <definedName name="Slicer_Order_Mode">#N/A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401" i="1" l="1"/>
  <c r="O2401" i="1"/>
  <c r="N2401" i="1"/>
  <c r="M2401" i="1"/>
  <c r="P2400" i="1"/>
  <c r="O2400" i="1"/>
  <c r="N2400" i="1"/>
  <c r="M2400" i="1"/>
  <c r="P2399" i="1"/>
  <c r="O2399" i="1"/>
  <c r="N2399" i="1"/>
  <c r="M2399" i="1"/>
  <c r="P2398" i="1"/>
  <c r="O2398" i="1"/>
  <c r="N2398" i="1"/>
  <c r="M2398" i="1"/>
  <c r="P2397" i="1"/>
  <c r="O2397" i="1"/>
  <c r="N2397" i="1"/>
  <c r="M2397" i="1"/>
  <c r="P2396" i="1"/>
  <c r="O2396" i="1"/>
  <c r="N2396" i="1"/>
  <c r="M2396" i="1"/>
  <c r="P2395" i="1"/>
  <c r="O2395" i="1"/>
  <c r="N2395" i="1"/>
  <c r="M2395" i="1"/>
  <c r="P2394" i="1"/>
  <c r="O2394" i="1"/>
  <c r="N2394" i="1"/>
  <c r="M2394" i="1"/>
  <c r="P2393" i="1"/>
  <c r="O2393" i="1"/>
  <c r="N2393" i="1"/>
  <c r="M2393" i="1"/>
  <c r="P2392" i="1"/>
  <c r="O2392" i="1"/>
  <c r="N2392" i="1"/>
  <c r="M2392" i="1"/>
  <c r="P2391" i="1"/>
  <c r="O2391" i="1"/>
  <c r="N2391" i="1"/>
  <c r="M2391" i="1"/>
  <c r="P2390" i="1"/>
  <c r="O2390" i="1"/>
  <c r="N2390" i="1"/>
  <c r="M2390" i="1"/>
  <c r="P2389" i="1"/>
  <c r="O2389" i="1"/>
  <c r="N2389" i="1"/>
  <c r="M2389" i="1"/>
  <c r="P2388" i="1"/>
  <c r="O2388" i="1"/>
  <c r="N2388" i="1"/>
  <c r="M2388" i="1"/>
  <c r="P2387" i="1"/>
  <c r="O2387" i="1"/>
  <c r="N2387" i="1"/>
  <c r="M2387" i="1"/>
  <c r="P2386" i="1"/>
  <c r="O2386" i="1"/>
  <c r="N2386" i="1"/>
  <c r="M2386" i="1"/>
  <c r="P2385" i="1"/>
  <c r="O2385" i="1"/>
  <c r="N2385" i="1"/>
  <c r="M2385" i="1"/>
  <c r="P2384" i="1"/>
  <c r="O2384" i="1"/>
  <c r="N2384" i="1"/>
  <c r="M2384" i="1"/>
  <c r="P2383" i="1"/>
  <c r="O2383" i="1"/>
  <c r="N2383" i="1"/>
  <c r="M2383" i="1"/>
  <c r="P2382" i="1"/>
  <c r="O2382" i="1"/>
  <c r="N2382" i="1"/>
  <c r="M2382" i="1"/>
  <c r="P2381" i="1"/>
  <c r="O2381" i="1"/>
  <c r="N2381" i="1"/>
  <c r="M2381" i="1"/>
  <c r="P2380" i="1"/>
  <c r="O2380" i="1"/>
  <c r="N2380" i="1"/>
  <c r="M2380" i="1"/>
  <c r="P2379" i="1"/>
  <c r="O2379" i="1"/>
  <c r="N2379" i="1"/>
  <c r="M2379" i="1"/>
  <c r="P2378" i="1"/>
  <c r="O2378" i="1"/>
  <c r="N2378" i="1"/>
  <c r="M2378" i="1"/>
  <c r="P2377" i="1"/>
  <c r="O2377" i="1"/>
  <c r="N2377" i="1"/>
  <c r="M2377" i="1"/>
  <c r="P2376" i="1"/>
  <c r="O2376" i="1"/>
  <c r="N2376" i="1"/>
  <c r="M2376" i="1"/>
  <c r="P2375" i="1"/>
  <c r="O2375" i="1"/>
  <c r="N2375" i="1"/>
  <c r="M2375" i="1"/>
  <c r="P2374" i="1"/>
  <c r="O2374" i="1"/>
  <c r="N2374" i="1"/>
  <c r="M2374" i="1"/>
  <c r="P2373" i="1"/>
  <c r="O2373" i="1"/>
  <c r="N2373" i="1"/>
  <c r="M2373" i="1"/>
  <c r="P2372" i="1"/>
  <c r="O2372" i="1"/>
  <c r="N2372" i="1"/>
  <c r="M2372" i="1"/>
  <c r="P2371" i="1"/>
  <c r="O2371" i="1"/>
  <c r="N2371" i="1"/>
  <c r="M2371" i="1"/>
  <c r="P2370" i="1"/>
  <c r="O2370" i="1"/>
  <c r="N2370" i="1"/>
  <c r="M2370" i="1"/>
  <c r="P2369" i="1"/>
  <c r="O2369" i="1"/>
  <c r="N2369" i="1"/>
  <c r="M2369" i="1"/>
  <c r="P2368" i="1"/>
  <c r="O2368" i="1"/>
  <c r="N2368" i="1"/>
  <c r="M2368" i="1"/>
  <c r="P2367" i="1"/>
  <c r="O2367" i="1"/>
  <c r="N2367" i="1"/>
  <c r="M2367" i="1"/>
  <c r="P2366" i="1"/>
  <c r="O2366" i="1"/>
  <c r="N2366" i="1"/>
  <c r="M2366" i="1"/>
  <c r="P2365" i="1"/>
  <c r="O2365" i="1"/>
  <c r="N2365" i="1"/>
  <c r="M2365" i="1"/>
  <c r="P2364" i="1"/>
  <c r="O2364" i="1"/>
  <c r="N2364" i="1"/>
  <c r="M2364" i="1"/>
  <c r="P2363" i="1"/>
  <c r="O2363" i="1"/>
  <c r="N2363" i="1"/>
  <c r="M2363" i="1"/>
  <c r="P2362" i="1"/>
  <c r="O2362" i="1"/>
  <c r="N2362" i="1"/>
  <c r="M2362" i="1"/>
  <c r="P2361" i="1"/>
  <c r="O2361" i="1"/>
  <c r="N2361" i="1"/>
  <c r="M2361" i="1"/>
  <c r="P2360" i="1"/>
  <c r="O2360" i="1"/>
  <c r="N2360" i="1"/>
  <c r="M2360" i="1"/>
  <c r="P2359" i="1"/>
  <c r="O2359" i="1"/>
  <c r="N2359" i="1"/>
  <c r="M2359" i="1"/>
  <c r="P2358" i="1"/>
  <c r="O2358" i="1"/>
  <c r="N2358" i="1"/>
  <c r="M2358" i="1"/>
  <c r="P2357" i="1"/>
  <c r="O2357" i="1"/>
  <c r="N2357" i="1"/>
  <c r="M2357" i="1"/>
  <c r="P2356" i="1"/>
  <c r="O2356" i="1"/>
  <c r="N2356" i="1"/>
  <c r="M2356" i="1"/>
  <c r="P2355" i="1"/>
  <c r="O2355" i="1"/>
  <c r="N2355" i="1"/>
  <c r="M2355" i="1"/>
  <c r="P2354" i="1"/>
  <c r="O2354" i="1"/>
  <c r="N2354" i="1"/>
  <c r="M2354" i="1"/>
  <c r="P2353" i="1"/>
  <c r="O2353" i="1"/>
  <c r="N2353" i="1"/>
  <c r="M2353" i="1"/>
  <c r="P2352" i="1"/>
  <c r="O2352" i="1"/>
  <c r="N2352" i="1"/>
  <c r="M2352" i="1"/>
  <c r="P2351" i="1"/>
  <c r="O2351" i="1"/>
  <c r="N2351" i="1"/>
  <c r="M2351" i="1"/>
  <c r="P2350" i="1"/>
  <c r="O2350" i="1"/>
  <c r="N2350" i="1"/>
  <c r="M2350" i="1"/>
  <c r="P2349" i="1"/>
  <c r="O2349" i="1"/>
  <c r="N2349" i="1"/>
  <c r="M2349" i="1"/>
  <c r="P2348" i="1"/>
  <c r="O2348" i="1"/>
  <c r="N2348" i="1"/>
  <c r="M2348" i="1"/>
  <c r="P2347" i="1"/>
  <c r="O2347" i="1"/>
  <c r="N2347" i="1"/>
  <c r="M2347" i="1"/>
  <c r="P2346" i="1"/>
  <c r="O2346" i="1"/>
  <c r="N2346" i="1"/>
  <c r="M2346" i="1"/>
  <c r="P2345" i="1"/>
  <c r="O2345" i="1"/>
  <c r="N2345" i="1"/>
  <c r="M2345" i="1"/>
  <c r="P2344" i="1"/>
  <c r="O2344" i="1"/>
  <c r="N2344" i="1"/>
  <c r="M2344" i="1"/>
  <c r="P2343" i="1"/>
  <c r="O2343" i="1"/>
  <c r="N2343" i="1"/>
  <c r="M2343" i="1"/>
  <c r="P2342" i="1"/>
  <c r="O2342" i="1"/>
  <c r="N2342" i="1"/>
  <c r="M2342" i="1"/>
  <c r="P2341" i="1"/>
  <c r="O2341" i="1"/>
  <c r="N2341" i="1"/>
  <c r="M2341" i="1"/>
  <c r="P2340" i="1"/>
  <c r="O2340" i="1"/>
  <c r="N2340" i="1"/>
  <c r="M2340" i="1"/>
  <c r="P2339" i="1"/>
  <c r="O2339" i="1"/>
  <c r="N2339" i="1"/>
  <c r="M2339" i="1"/>
  <c r="P2338" i="1"/>
  <c r="O2338" i="1"/>
  <c r="N2338" i="1"/>
  <c r="M2338" i="1"/>
  <c r="P2337" i="1"/>
  <c r="O2337" i="1"/>
  <c r="N2337" i="1"/>
  <c r="M2337" i="1"/>
  <c r="P2336" i="1"/>
  <c r="O2336" i="1"/>
  <c r="N2336" i="1"/>
  <c r="M2336" i="1"/>
  <c r="P2335" i="1"/>
  <c r="O2335" i="1"/>
  <c r="N2335" i="1"/>
  <c r="M2335" i="1"/>
  <c r="P2334" i="1"/>
  <c r="O2334" i="1"/>
  <c r="N2334" i="1"/>
  <c r="M2334" i="1"/>
  <c r="P2333" i="1"/>
  <c r="O2333" i="1"/>
  <c r="N2333" i="1"/>
  <c r="M2333" i="1"/>
  <c r="P2332" i="1"/>
  <c r="O2332" i="1"/>
  <c r="N2332" i="1"/>
  <c r="M2332" i="1"/>
  <c r="P2331" i="1"/>
  <c r="O2331" i="1"/>
  <c r="N2331" i="1"/>
  <c r="M2331" i="1"/>
  <c r="P2330" i="1"/>
  <c r="O2330" i="1"/>
  <c r="N2330" i="1"/>
  <c r="M2330" i="1"/>
  <c r="P2329" i="1"/>
  <c r="O2329" i="1"/>
  <c r="N2329" i="1"/>
  <c r="M2329" i="1"/>
  <c r="P2328" i="1"/>
  <c r="O2328" i="1"/>
  <c r="N2328" i="1"/>
  <c r="M2328" i="1"/>
  <c r="P2327" i="1"/>
  <c r="O2327" i="1"/>
  <c r="N2327" i="1"/>
  <c r="M2327" i="1"/>
  <c r="P2326" i="1"/>
  <c r="O2326" i="1"/>
  <c r="N2326" i="1"/>
  <c r="M2326" i="1"/>
  <c r="P2325" i="1"/>
  <c r="O2325" i="1"/>
  <c r="N2325" i="1"/>
  <c r="M2325" i="1"/>
  <c r="P2324" i="1"/>
  <c r="O2324" i="1"/>
  <c r="N2324" i="1"/>
  <c r="M2324" i="1"/>
  <c r="P2323" i="1"/>
  <c r="O2323" i="1"/>
  <c r="N2323" i="1"/>
  <c r="M2323" i="1"/>
  <c r="P2322" i="1"/>
  <c r="O2322" i="1"/>
  <c r="N2322" i="1"/>
  <c r="M2322" i="1"/>
  <c r="P2321" i="1"/>
  <c r="O2321" i="1"/>
  <c r="N2321" i="1"/>
  <c r="M2321" i="1"/>
  <c r="P2320" i="1"/>
  <c r="O2320" i="1"/>
  <c r="N2320" i="1"/>
  <c r="M2320" i="1"/>
  <c r="P2319" i="1"/>
  <c r="O2319" i="1"/>
  <c r="N2319" i="1"/>
  <c r="M2319" i="1"/>
  <c r="P2318" i="1"/>
  <c r="O2318" i="1"/>
  <c r="N2318" i="1"/>
  <c r="M2318" i="1"/>
  <c r="P2317" i="1"/>
  <c r="O2317" i="1"/>
  <c r="N2317" i="1"/>
  <c r="M2317" i="1"/>
  <c r="P2316" i="1"/>
  <c r="O2316" i="1"/>
  <c r="N2316" i="1"/>
  <c r="M2316" i="1"/>
  <c r="P2315" i="1"/>
  <c r="O2315" i="1"/>
  <c r="N2315" i="1"/>
  <c r="M2315" i="1"/>
  <c r="P2314" i="1"/>
  <c r="O2314" i="1"/>
  <c r="N2314" i="1"/>
  <c r="M2314" i="1"/>
  <c r="P2313" i="1"/>
  <c r="O2313" i="1"/>
  <c r="N2313" i="1"/>
  <c r="M2313" i="1"/>
  <c r="P2312" i="1"/>
  <c r="O2312" i="1"/>
  <c r="N2312" i="1"/>
  <c r="M2312" i="1"/>
  <c r="P2311" i="1"/>
  <c r="O2311" i="1"/>
  <c r="N2311" i="1"/>
  <c r="M2311" i="1"/>
  <c r="P2310" i="1"/>
  <c r="O2310" i="1"/>
  <c r="N2310" i="1"/>
  <c r="M2310" i="1"/>
  <c r="P2309" i="1"/>
  <c r="O2309" i="1"/>
  <c r="N2309" i="1"/>
  <c r="M2309" i="1"/>
  <c r="P2308" i="1"/>
  <c r="O2308" i="1"/>
  <c r="N2308" i="1"/>
  <c r="M2308" i="1"/>
  <c r="P2307" i="1"/>
  <c r="O2307" i="1"/>
  <c r="N2307" i="1"/>
  <c r="M2307" i="1"/>
  <c r="P2306" i="1"/>
  <c r="O2306" i="1"/>
  <c r="N2306" i="1"/>
  <c r="M2306" i="1"/>
  <c r="P2305" i="1"/>
  <c r="O2305" i="1"/>
  <c r="N2305" i="1"/>
  <c r="M2305" i="1"/>
  <c r="P2304" i="1"/>
  <c r="O2304" i="1"/>
  <c r="N2304" i="1"/>
  <c r="M2304" i="1"/>
  <c r="P2303" i="1"/>
  <c r="O2303" i="1"/>
  <c r="N2303" i="1"/>
  <c r="M2303" i="1"/>
  <c r="P2302" i="1"/>
  <c r="O2302" i="1"/>
  <c r="N2302" i="1"/>
  <c r="M2302" i="1"/>
  <c r="P2301" i="1"/>
  <c r="O2301" i="1"/>
  <c r="N2301" i="1"/>
  <c r="M2301" i="1"/>
  <c r="P2300" i="1"/>
  <c r="O2300" i="1"/>
  <c r="N2300" i="1"/>
  <c r="M2300" i="1"/>
  <c r="P2299" i="1"/>
  <c r="O2299" i="1"/>
  <c r="N2299" i="1"/>
  <c r="M2299" i="1"/>
  <c r="P2298" i="1"/>
  <c r="O2298" i="1"/>
  <c r="N2298" i="1"/>
  <c r="M2298" i="1"/>
  <c r="P2297" i="1"/>
  <c r="O2297" i="1"/>
  <c r="N2297" i="1"/>
  <c r="M2297" i="1"/>
  <c r="P2296" i="1"/>
  <c r="O2296" i="1"/>
  <c r="N2296" i="1"/>
  <c r="M2296" i="1"/>
  <c r="P2295" i="1"/>
  <c r="O2295" i="1"/>
  <c r="N2295" i="1"/>
  <c r="M2295" i="1"/>
  <c r="P2294" i="1"/>
  <c r="O2294" i="1"/>
  <c r="N2294" i="1"/>
  <c r="M2294" i="1"/>
  <c r="P2293" i="1"/>
  <c r="O2293" i="1"/>
  <c r="N2293" i="1"/>
  <c r="M2293" i="1"/>
  <c r="P2292" i="1"/>
  <c r="O2292" i="1"/>
  <c r="N2292" i="1"/>
  <c r="M2292" i="1"/>
  <c r="P2291" i="1"/>
  <c r="O2291" i="1"/>
  <c r="N2291" i="1"/>
  <c r="M2291" i="1"/>
  <c r="P2290" i="1"/>
  <c r="O2290" i="1"/>
  <c r="N2290" i="1"/>
  <c r="M2290" i="1"/>
  <c r="P2289" i="1"/>
  <c r="O2289" i="1"/>
  <c r="N2289" i="1"/>
  <c r="M2289" i="1"/>
  <c r="P2288" i="1"/>
  <c r="O2288" i="1"/>
  <c r="N2288" i="1"/>
  <c r="M2288" i="1"/>
  <c r="P2287" i="1"/>
  <c r="O2287" i="1"/>
  <c r="N2287" i="1"/>
  <c r="M2287" i="1"/>
  <c r="P2286" i="1"/>
  <c r="O2286" i="1"/>
  <c r="N2286" i="1"/>
  <c r="M2286" i="1"/>
  <c r="P2285" i="1"/>
  <c r="O2285" i="1"/>
  <c r="N2285" i="1"/>
  <c r="M2285" i="1"/>
  <c r="P2284" i="1"/>
  <c r="O2284" i="1"/>
  <c r="N2284" i="1"/>
  <c r="M2284" i="1"/>
  <c r="P2283" i="1"/>
  <c r="O2283" i="1"/>
  <c r="N2283" i="1"/>
  <c r="M2283" i="1"/>
  <c r="P2282" i="1"/>
  <c r="O2282" i="1"/>
  <c r="N2282" i="1"/>
  <c r="M2282" i="1"/>
  <c r="P2281" i="1"/>
  <c r="O2281" i="1"/>
  <c r="N2281" i="1"/>
  <c r="M2281" i="1"/>
  <c r="P2280" i="1"/>
  <c r="O2280" i="1"/>
  <c r="N2280" i="1"/>
  <c r="M2280" i="1"/>
  <c r="P2279" i="1"/>
  <c r="O2279" i="1"/>
  <c r="N2279" i="1"/>
  <c r="M2279" i="1"/>
  <c r="P2278" i="1"/>
  <c r="O2278" i="1"/>
  <c r="N2278" i="1"/>
  <c r="M2278" i="1"/>
  <c r="P2277" i="1"/>
  <c r="O2277" i="1"/>
  <c r="N2277" i="1"/>
  <c r="M2277" i="1"/>
  <c r="P2276" i="1"/>
  <c r="O2276" i="1"/>
  <c r="N2276" i="1"/>
  <c r="M2276" i="1"/>
  <c r="P2275" i="1"/>
  <c r="O2275" i="1"/>
  <c r="N2275" i="1"/>
  <c r="M2275" i="1"/>
  <c r="P2274" i="1"/>
  <c r="O2274" i="1"/>
  <c r="N2274" i="1"/>
  <c r="M2274" i="1"/>
  <c r="P2273" i="1"/>
  <c r="O2273" i="1"/>
  <c r="N2273" i="1"/>
  <c r="M2273" i="1"/>
  <c r="P2272" i="1"/>
  <c r="O2272" i="1"/>
  <c r="N2272" i="1"/>
  <c r="M2272" i="1"/>
  <c r="P2271" i="1"/>
  <c r="O2271" i="1"/>
  <c r="N2271" i="1"/>
  <c r="M2271" i="1"/>
  <c r="P2270" i="1"/>
  <c r="O2270" i="1"/>
  <c r="N2270" i="1"/>
  <c r="M2270" i="1"/>
  <c r="P2269" i="1"/>
  <c r="O2269" i="1"/>
  <c r="N2269" i="1"/>
  <c r="M2269" i="1"/>
  <c r="P2268" i="1"/>
  <c r="O2268" i="1"/>
  <c r="N2268" i="1"/>
  <c r="M2268" i="1"/>
  <c r="P2267" i="1"/>
  <c r="O2267" i="1"/>
  <c r="N2267" i="1"/>
  <c r="M2267" i="1"/>
  <c r="P2266" i="1"/>
  <c r="O2266" i="1"/>
  <c r="N2266" i="1"/>
  <c r="M2266" i="1"/>
  <c r="P2265" i="1"/>
  <c r="O2265" i="1"/>
  <c r="N2265" i="1"/>
  <c r="M2265" i="1"/>
  <c r="P2264" i="1"/>
  <c r="O2264" i="1"/>
  <c r="N2264" i="1"/>
  <c r="M2264" i="1"/>
  <c r="P2263" i="1"/>
  <c r="O2263" i="1"/>
  <c r="N2263" i="1"/>
  <c r="M2263" i="1"/>
  <c r="P2262" i="1"/>
  <c r="O2262" i="1"/>
  <c r="N2262" i="1"/>
  <c r="M2262" i="1"/>
  <c r="P2261" i="1"/>
  <c r="O2261" i="1"/>
  <c r="N2261" i="1"/>
  <c r="M2261" i="1"/>
  <c r="P2260" i="1"/>
  <c r="O2260" i="1"/>
  <c r="N2260" i="1"/>
  <c r="M2260" i="1"/>
  <c r="P2259" i="1"/>
  <c r="O2259" i="1"/>
  <c r="N2259" i="1"/>
  <c r="M2259" i="1"/>
  <c r="P2258" i="1"/>
  <c r="O2258" i="1"/>
  <c r="N2258" i="1"/>
  <c r="M2258" i="1"/>
  <c r="P2257" i="1"/>
  <c r="O2257" i="1"/>
  <c r="N2257" i="1"/>
  <c r="M2257" i="1"/>
  <c r="P2256" i="1"/>
  <c r="O2256" i="1"/>
  <c r="N2256" i="1"/>
  <c r="M2256" i="1"/>
  <c r="P2255" i="1"/>
  <c r="O2255" i="1"/>
  <c r="N2255" i="1"/>
  <c r="M2255" i="1"/>
  <c r="P2254" i="1"/>
  <c r="O2254" i="1"/>
  <c r="N2254" i="1"/>
  <c r="M2254" i="1"/>
  <c r="P2253" i="1"/>
  <c r="O2253" i="1"/>
  <c r="N2253" i="1"/>
  <c r="M2253" i="1"/>
  <c r="P2252" i="1"/>
  <c r="O2252" i="1"/>
  <c r="N2252" i="1"/>
  <c r="M2252" i="1"/>
  <c r="P2251" i="1"/>
  <c r="O2251" i="1"/>
  <c r="N2251" i="1"/>
  <c r="M2251" i="1"/>
  <c r="P2250" i="1"/>
  <c r="O2250" i="1"/>
  <c r="N2250" i="1"/>
  <c r="M2250" i="1"/>
  <c r="P2249" i="1"/>
  <c r="O2249" i="1"/>
  <c r="N2249" i="1"/>
  <c r="M2249" i="1"/>
  <c r="P2248" i="1"/>
  <c r="O2248" i="1"/>
  <c r="N2248" i="1"/>
  <c r="M2248" i="1"/>
  <c r="P2247" i="1"/>
  <c r="O2247" i="1"/>
  <c r="N2247" i="1"/>
  <c r="M2247" i="1"/>
  <c r="P2246" i="1"/>
  <c r="O2246" i="1"/>
  <c r="N2246" i="1"/>
  <c r="M2246" i="1"/>
  <c r="P2245" i="1"/>
  <c r="O2245" i="1"/>
  <c r="N2245" i="1"/>
  <c r="M2245" i="1"/>
  <c r="P2244" i="1"/>
  <c r="O2244" i="1"/>
  <c r="N2244" i="1"/>
  <c r="M2244" i="1"/>
  <c r="P2243" i="1"/>
  <c r="O2243" i="1"/>
  <c r="N2243" i="1"/>
  <c r="M2243" i="1"/>
  <c r="P2242" i="1"/>
  <c r="O2242" i="1"/>
  <c r="N2242" i="1"/>
  <c r="M2242" i="1"/>
  <c r="P2241" i="1"/>
  <c r="O2241" i="1"/>
  <c r="N2241" i="1"/>
  <c r="M2241" i="1"/>
  <c r="P2240" i="1"/>
  <c r="O2240" i="1"/>
  <c r="N2240" i="1"/>
  <c r="M2240" i="1"/>
  <c r="P2239" i="1"/>
  <c r="O2239" i="1"/>
  <c r="N2239" i="1"/>
  <c r="M2239" i="1"/>
  <c r="P2238" i="1"/>
  <c r="O2238" i="1"/>
  <c r="N2238" i="1"/>
  <c r="M2238" i="1"/>
  <c r="P2237" i="1"/>
  <c r="O2237" i="1"/>
  <c r="N2237" i="1"/>
  <c r="M2237" i="1"/>
  <c r="P2236" i="1"/>
  <c r="O2236" i="1"/>
  <c r="N2236" i="1"/>
  <c r="M2236" i="1"/>
  <c r="P2235" i="1"/>
  <c r="O2235" i="1"/>
  <c r="N2235" i="1"/>
  <c r="M2235" i="1"/>
  <c r="P2234" i="1"/>
  <c r="O2234" i="1"/>
  <c r="N2234" i="1"/>
  <c r="M2234" i="1"/>
  <c r="P2233" i="1"/>
  <c r="O2233" i="1"/>
  <c r="N2233" i="1"/>
  <c r="M2233" i="1"/>
  <c r="P2232" i="1"/>
  <c r="O2232" i="1"/>
  <c r="N2232" i="1"/>
  <c r="M2232" i="1"/>
  <c r="P2231" i="1"/>
  <c r="O2231" i="1"/>
  <c r="N2231" i="1"/>
  <c r="M2231" i="1"/>
  <c r="P2230" i="1"/>
  <c r="O2230" i="1"/>
  <c r="N2230" i="1"/>
  <c r="M2230" i="1"/>
  <c r="P2229" i="1"/>
  <c r="O2229" i="1"/>
  <c r="N2229" i="1"/>
  <c r="M2229" i="1"/>
  <c r="P2228" i="1"/>
  <c r="O2228" i="1"/>
  <c r="N2228" i="1"/>
  <c r="M2228" i="1"/>
  <c r="P2227" i="1"/>
  <c r="O2227" i="1"/>
  <c r="N2227" i="1"/>
  <c r="M2227" i="1"/>
  <c r="P2226" i="1"/>
  <c r="O2226" i="1"/>
  <c r="N2226" i="1"/>
  <c r="M2226" i="1"/>
  <c r="P2225" i="1"/>
  <c r="O2225" i="1"/>
  <c r="N2225" i="1"/>
  <c r="M2225" i="1"/>
  <c r="P2224" i="1"/>
  <c r="O2224" i="1"/>
  <c r="N2224" i="1"/>
  <c r="M2224" i="1"/>
  <c r="P2223" i="1"/>
  <c r="O2223" i="1"/>
  <c r="N2223" i="1"/>
  <c r="M2223" i="1"/>
  <c r="P2222" i="1"/>
  <c r="O2222" i="1"/>
  <c r="N2222" i="1"/>
  <c r="M2222" i="1"/>
  <c r="P2221" i="1"/>
  <c r="O2221" i="1"/>
  <c r="N2221" i="1"/>
  <c r="M2221" i="1"/>
  <c r="P2220" i="1"/>
  <c r="O2220" i="1"/>
  <c r="N2220" i="1"/>
  <c r="M2220" i="1"/>
  <c r="P2219" i="1"/>
  <c r="O2219" i="1"/>
  <c r="N2219" i="1"/>
  <c r="M2219" i="1"/>
  <c r="P2218" i="1"/>
  <c r="O2218" i="1"/>
  <c r="N2218" i="1"/>
  <c r="M2218" i="1"/>
  <c r="P2217" i="1"/>
  <c r="O2217" i="1"/>
  <c r="N2217" i="1"/>
  <c r="M2217" i="1"/>
  <c r="P2216" i="1"/>
  <c r="O2216" i="1"/>
  <c r="N2216" i="1"/>
  <c r="M2216" i="1"/>
  <c r="P2215" i="1"/>
  <c r="O2215" i="1"/>
  <c r="N2215" i="1"/>
  <c r="M2215" i="1"/>
  <c r="P2214" i="1"/>
  <c r="O2214" i="1"/>
  <c r="N2214" i="1"/>
  <c r="M2214" i="1"/>
  <c r="P2213" i="1"/>
  <c r="O2213" i="1"/>
  <c r="N2213" i="1"/>
  <c r="M2213" i="1"/>
  <c r="P2212" i="1"/>
  <c r="O2212" i="1"/>
  <c r="N2212" i="1"/>
  <c r="M2212" i="1"/>
  <c r="P2211" i="1"/>
  <c r="O2211" i="1"/>
  <c r="N2211" i="1"/>
  <c r="M2211" i="1"/>
  <c r="P2210" i="1"/>
  <c r="O2210" i="1"/>
  <c r="N2210" i="1"/>
  <c r="M2210" i="1"/>
  <c r="P2209" i="1"/>
  <c r="O2209" i="1"/>
  <c r="N2209" i="1"/>
  <c r="M2209" i="1"/>
  <c r="P2208" i="1"/>
  <c r="O2208" i="1"/>
  <c r="N2208" i="1"/>
  <c r="M2208" i="1"/>
  <c r="P2207" i="1"/>
  <c r="O2207" i="1"/>
  <c r="N2207" i="1"/>
  <c r="M2207" i="1"/>
  <c r="P2206" i="1"/>
  <c r="O2206" i="1"/>
  <c r="N2206" i="1"/>
  <c r="M2206" i="1"/>
  <c r="P2205" i="1"/>
  <c r="O2205" i="1"/>
  <c r="N2205" i="1"/>
  <c r="M2205" i="1"/>
  <c r="P2204" i="1"/>
  <c r="O2204" i="1"/>
  <c r="N2204" i="1"/>
  <c r="M2204" i="1"/>
  <c r="P2203" i="1"/>
  <c r="O2203" i="1"/>
  <c r="N2203" i="1"/>
  <c r="M2203" i="1"/>
  <c r="P2202" i="1"/>
  <c r="O2202" i="1"/>
  <c r="N2202" i="1"/>
  <c r="M2202" i="1"/>
  <c r="P2201" i="1"/>
  <c r="O2201" i="1"/>
  <c r="N2201" i="1"/>
  <c r="M2201" i="1"/>
  <c r="P2200" i="1"/>
  <c r="O2200" i="1"/>
  <c r="N2200" i="1"/>
  <c r="M2200" i="1"/>
  <c r="P2199" i="1"/>
  <c r="O2199" i="1"/>
  <c r="N2199" i="1"/>
  <c r="M2199" i="1"/>
  <c r="P2198" i="1"/>
  <c r="O2198" i="1"/>
  <c r="N2198" i="1"/>
  <c r="M2198" i="1"/>
  <c r="P2197" i="1"/>
  <c r="O2197" i="1"/>
  <c r="N2197" i="1"/>
  <c r="M2197" i="1"/>
  <c r="P2196" i="1"/>
  <c r="O2196" i="1"/>
  <c r="N2196" i="1"/>
  <c r="M2196" i="1"/>
  <c r="P2195" i="1"/>
  <c r="O2195" i="1"/>
  <c r="N2195" i="1"/>
  <c r="M2195" i="1"/>
  <c r="P2194" i="1"/>
  <c r="O2194" i="1"/>
  <c r="N2194" i="1"/>
  <c r="M2194" i="1"/>
  <c r="P2193" i="1"/>
  <c r="O2193" i="1"/>
  <c r="N2193" i="1"/>
  <c r="M2193" i="1"/>
  <c r="P2192" i="1"/>
  <c r="O2192" i="1"/>
  <c r="N2192" i="1"/>
  <c r="M2192" i="1"/>
  <c r="P2191" i="1"/>
  <c r="O2191" i="1"/>
  <c r="N2191" i="1"/>
  <c r="M2191" i="1"/>
  <c r="P2190" i="1"/>
  <c r="O2190" i="1"/>
  <c r="N2190" i="1"/>
  <c r="M2190" i="1"/>
  <c r="P2189" i="1"/>
  <c r="O2189" i="1"/>
  <c r="N2189" i="1"/>
  <c r="M2189" i="1"/>
  <c r="P2188" i="1"/>
  <c r="O2188" i="1"/>
  <c r="N2188" i="1"/>
  <c r="M2188" i="1"/>
  <c r="P2187" i="1"/>
  <c r="O2187" i="1"/>
  <c r="N2187" i="1"/>
  <c r="M2187" i="1"/>
  <c r="P2186" i="1"/>
  <c r="O2186" i="1"/>
  <c r="N2186" i="1"/>
  <c r="M2186" i="1"/>
  <c r="P2185" i="1"/>
  <c r="O2185" i="1"/>
  <c r="N2185" i="1"/>
  <c r="M2185" i="1"/>
  <c r="P2184" i="1"/>
  <c r="O2184" i="1"/>
  <c r="N2184" i="1"/>
  <c r="M2184" i="1"/>
  <c r="P2183" i="1"/>
  <c r="O2183" i="1"/>
  <c r="N2183" i="1"/>
  <c r="M2183" i="1"/>
  <c r="P2182" i="1"/>
  <c r="O2182" i="1"/>
  <c r="N2182" i="1"/>
  <c r="M2182" i="1"/>
  <c r="P2181" i="1"/>
  <c r="O2181" i="1"/>
  <c r="N2181" i="1"/>
  <c r="M2181" i="1"/>
  <c r="P2180" i="1"/>
  <c r="O2180" i="1"/>
  <c r="N2180" i="1"/>
  <c r="M2180" i="1"/>
  <c r="P2179" i="1"/>
  <c r="O2179" i="1"/>
  <c r="N2179" i="1"/>
  <c r="M2179" i="1"/>
  <c r="P2178" i="1"/>
  <c r="O2178" i="1"/>
  <c r="N2178" i="1"/>
  <c r="M2178" i="1"/>
  <c r="P2177" i="1"/>
  <c r="O2177" i="1"/>
  <c r="N2177" i="1"/>
  <c r="M2177" i="1"/>
  <c r="P2176" i="1"/>
  <c r="O2176" i="1"/>
  <c r="N2176" i="1"/>
  <c r="M2176" i="1"/>
  <c r="P2175" i="1"/>
  <c r="O2175" i="1"/>
  <c r="N2175" i="1"/>
  <c r="M2175" i="1"/>
  <c r="P2174" i="1"/>
  <c r="O2174" i="1"/>
  <c r="N2174" i="1"/>
  <c r="M2174" i="1"/>
  <c r="P2173" i="1"/>
  <c r="O2173" i="1"/>
  <c r="N2173" i="1"/>
  <c r="M2173" i="1"/>
  <c r="P2172" i="1"/>
  <c r="O2172" i="1"/>
  <c r="N2172" i="1"/>
  <c r="M2172" i="1"/>
  <c r="P2171" i="1"/>
  <c r="O2171" i="1"/>
  <c r="N2171" i="1"/>
  <c r="M2171" i="1"/>
  <c r="P2170" i="1"/>
  <c r="O2170" i="1"/>
  <c r="N2170" i="1"/>
  <c r="M2170" i="1"/>
  <c r="P2169" i="1"/>
  <c r="O2169" i="1"/>
  <c r="N2169" i="1"/>
  <c r="M2169" i="1"/>
  <c r="P2168" i="1"/>
  <c r="O2168" i="1"/>
  <c r="N2168" i="1"/>
  <c r="M2168" i="1"/>
  <c r="P2167" i="1"/>
  <c r="O2167" i="1"/>
  <c r="N2167" i="1"/>
  <c r="M2167" i="1"/>
  <c r="P2166" i="1"/>
  <c r="O2166" i="1"/>
  <c r="N2166" i="1"/>
  <c r="M2166" i="1"/>
  <c r="P2165" i="1"/>
  <c r="O2165" i="1"/>
  <c r="N2165" i="1"/>
  <c r="M2165" i="1"/>
  <c r="P2164" i="1"/>
  <c r="O2164" i="1"/>
  <c r="N2164" i="1"/>
  <c r="M2164" i="1"/>
  <c r="P2163" i="1"/>
  <c r="O2163" i="1"/>
  <c r="N2163" i="1"/>
  <c r="M2163" i="1"/>
  <c r="P2162" i="1"/>
  <c r="O2162" i="1"/>
  <c r="N2162" i="1"/>
  <c r="M2162" i="1"/>
  <c r="P2161" i="1"/>
  <c r="O2161" i="1"/>
  <c r="N2161" i="1"/>
  <c r="M2161" i="1"/>
  <c r="P2160" i="1"/>
  <c r="O2160" i="1"/>
  <c r="N2160" i="1"/>
  <c r="M2160" i="1"/>
  <c r="P2159" i="1"/>
  <c r="O2159" i="1"/>
  <c r="N2159" i="1"/>
  <c r="M2159" i="1"/>
  <c r="P2158" i="1"/>
  <c r="O2158" i="1"/>
  <c r="N2158" i="1"/>
  <c r="M2158" i="1"/>
  <c r="P2157" i="1"/>
  <c r="O2157" i="1"/>
  <c r="N2157" i="1"/>
  <c r="M2157" i="1"/>
  <c r="P2156" i="1"/>
  <c r="O2156" i="1"/>
  <c r="N2156" i="1"/>
  <c r="M2156" i="1"/>
  <c r="P2155" i="1"/>
  <c r="O2155" i="1"/>
  <c r="N2155" i="1"/>
  <c r="M2155" i="1"/>
  <c r="P2154" i="1"/>
  <c r="O2154" i="1"/>
  <c r="N2154" i="1"/>
  <c r="M2154" i="1"/>
  <c r="P2153" i="1"/>
  <c r="O2153" i="1"/>
  <c r="N2153" i="1"/>
  <c r="M2153" i="1"/>
  <c r="P2152" i="1"/>
  <c r="O2152" i="1"/>
  <c r="N2152" i="1"/>
  <c r="M2152" i="1"/>
  <c r="P2151" i="1"/>
  <c r="O2151" i="1"/>
  <c r="N2151" i="1"/>
  <c r="M2151" i="1"/>
  <c r="P2150" i="1"/>
  <c r="O2150" i="1"/>
  <c r="N2150" i="1"/>
  <c r="M2150" i="1"/>
  <c r="P2149" i="1"/>
  <c r="O2149" i="1"/>
  <c r="N2149" i="1"/>
  <c r="M2149" i="1"/>
  <c r="P2148" i="1"/>
  <c r="O2148" i="1"/>
  <c r="N2148" i="1"/>
  <c r="M2148" i="1"/>
  <c r="P2147" i="1"/>
  <c r="O2147" i="1"/>
  <c r="N2147" i="1"/>
  <c r="M2147" i="1"/>
  <c r="P2146" i="1"/>
  <c r="O2146" i="1"/>
  <c r="N2146" i="1"/>
  <c r="M2146" i="1"/>
  <c r="P2145" i="1"/>
  <c r="O2145" i="1"/>
  <c r="N2145" i="1"/>
  <c r="M2145" i="1"/>
  <c r="P2144" i="1"/>
  <c r="O2144" i="1"/>
  <c r="N2144" i="1"/>
  <c r="M2144" i="1"/>
  <c r="P2143" i="1"/>
  <c r="O2143" i="1"/>
  <c r="N2143" i="1"/>
  <c r="M2143" i="1"/>
  <c r="P2142" i="1"/>
  <c r="O2142" i="1"/>
  <c r="N2142" i="1"/>
  <c r="M2142" i="1"/>
  <c r="P2141" i="1"/>
  <c r="O2141" i="1"/>
  <c r="N2141" i="1"/>
  <c r="M2141" i="1"/>
  <c r="P2140" i="1"/>
  <c r="O2140" i="1"/>
  <c r="N2140" i="1"/>
  <c r="M2140" i="1"/>
  <c r="P2139" i="1"/>
  <c r="O2139" i="1"/>
  <c r="N2139" i="1"/>
  <c r="M2139" i="1"/>
  <c r="P2138" i="1"/>
  <c r="O2138" i="1"/>
  <c r="N2138" i="1"/>
  <c r="M2138" i="1"/>
  <c r="P2137" i="1"/>
  <c r="O2137" i="1"/>
  <c r="N2137" i="1"/>
  <c r="M2137" i="1"/>
  <c r="P2136" i="1"/>
  <c r="O2136" i="1"/>
  <c r="N2136" i="1"/>
  <c r="M2136" i="1"/>
  <c r="P2135" i="1"/>
  <c r="O2135" i="1"/>
  <c r="N2135" i="1"/>
  <c r="M2135" i="1"/>
  <c r="P2134" i="1"/>
  <c r="O2134" i="1"/>
  <c r="N2134" i="1"/>
  <c r="M2134" i="1"/>
  <c r="P2133" i="1"/>
  <c r="O2133" i="1"/>
  <c r="N2133" i="1"/>
  <c r="M2133" i="1"/>
  <c r="P2132" i="1"/>
  <c r="O2132" i="1"/>
  <c r="N2132" i="1"/>
  <c r="M2132" i="1"/>
  <c r="P2131" i="1"/>
  <c r="O2131" i="1"/>
  <c r="N2131" i="1"/>
  <c r="M2131" i="1"/>
  <c r="P2130" i="1"/>
  <c r="O2130" i="1"/>
  <c r="N2130" i="1"/>
  <c r="M2130" i="1"/>
  <c r="P2129" i="1"/>
  <c r="O2129" i="1"/>
  <c r="N2129" i="1"/>
  <c r="M2129" i="1"/>
  <c r="P2128" i="1"/>
  <c r="O2128" i="1"/>
  <c r="N2128" i="1"/>
  <c r="M2128" i="1"/>
  <c r="P2127" i="1"/>
  <c r="O2127" i="1"/>
  <c r="N2127" i="1"/>
  <c r="M2127" i="1"/>
  <c r="P2126" i="1"/>
  <c r="O2126" i="1"/>
  <c r="N2126" i="1"/>
  <c r="M2126" i="1"/>
  <c r="P2125" i="1"/>
  <c r="O2125" i="1"/>
  <c r="N2125" i="1"/>
  <c r="M2125" i="1"/>
  <c r="P2124" i="1"/>
  <c r="O2124" i="1"/>
  <c r="N2124" i="1"/>
  <c r="M2124" i="1"/>
  <c r="P2123" i="1"/>
  <c r="O2123" i="1"/>
  <c r="N2123" i="1"/>
  <c r="M2123" i="1"/>
  <c r="P2122" i="1"/>
  <c r="O2122" i="1"/>
  <c r="N2122" i="1"/>
  <c r="M2122" i="1"/>
  <c r="P2121" i="1"/>
  <c r="O2121" i="1"/>
  <c r="N2121" i="1"/>
  <c r="M2121" i="1"/>
  <c r="P2120" i="1"/>
  <c r="O2120" i="1"/>
  <c r="N2120" i="1"/>
  <c r="M2120" i="1"/>
  <c r="P2119" i="1"/>
  <c r="O2119" i="1"/>
  <c r="N2119" i="1"/>
  <c r="M2119" i="1"/>
  <c r="P2118" i="1"/>
  <c r="O2118" i="1"/>
  <c r="N2118" i="1"/>
  <c r="M2118" i="1"/>
  <c r="P2117" i="1"/>
  <c r="O2117" i="1"/>
  <c r="N2117" i="1"/>
  <c r="M2117" i="1"/>
  <c r="P2116" i="1"/>
  <c r="O2116" i="1"/>
  <c r="N2116" i="1"/>
  <c r="M2116" i="1"/>
  <c r="P2115" i="1"/>
  <c r="O2115" i="1"/>
  <c r="N2115" i="1"/>
  <c r="M2115" i="1"/>
  <c r="P2114" i="1"/>
  <c r="O2114" i="1"/>
  <c r="N2114" i="1"/>
  <c r="M2114" i="1"/>
  <c r="P2113" i="1"/>
  <c r="O2113" i="1"/>
  <c r="N2113" i="1"/>
  <c r="M2113" i="1"/>
  <c r="P2112" i="1"/>
  <c r="O2112" i="1"/>
  <c r="N2112" i="1"/>
  <c r="M2112" i="1"/>
  <c r="P2111" i="1"/>
  <c r="O2111" i="1"/>
  <c r="N2111" i="1"/>
  <c r="M2111" i="1"/>
  <c r="P2110" i="1"/>
  <c r="O2110" i="1"/>
  <c r="N2110" i="1"/>
  <c r="M2110" i="1"/>
  <c r="P2109" i="1"/>
  <c r="O2109" i="1"/>
  <c r="N2109" i="1"/>
  <c r="M2109" i="1"/>
  <c r="P2108" i="1"/>
  <c r="O2108" i="1"/>
  <c r="N2108" i="1"/>
  <c r="M2108" i="1"/>
  <c r="P2107" i="1"/>
  <c r="O2107" i="1"/>
  <c r="N2107" i="1"/>
  <c r="M2107" i="1"/>
  <c r="P2106" i="1"/>
  <c r="O2106" i="1"/>
  <c r="N2106" i="1"/>
  <c r="M2106" i="1"/>
  <c r="P2105" i="1"/>
  <c r="O2105" i="1"/>
  <c r="N2105" i="1"/>
  <c r="M2105" i="1"/>
  <c r="P2104" i="1"/>
  <c r="O2104" i="1"/>
  <c r="N2104" i="1"/>
  <c r="M2104" i="1"/>
  <c r="P2103" i="1"/>
  <c r="O2103" i="1"/>
  <c r="N2103" i="1"/>
  <c r="M2103" i="1"/>
  <c r="P2102" i="1"/>
  <c r="O2102" i="1"/>
  <c r="N2102" i="1"/>
  <c r="M2102" i="1"/>
  <c r="P2101" i="1"/>
  <c r="O2101" i="1"/>
  <c r="N2101" i="1"/>
  <c r="M2101" i="1"/>
  <c r="P2100" i="1"/>
  <c r="O2100" i="1"/>
  <c r="N2100" i="1"/>
  <c r="M2100" i="1"/>
  <c r="P2099" i="1"/>
  <c r="O2099" i="1"/>
  <c r="N2099" i="1"/>
  <c r="M2099" i="1"/>
  <c r="P2098" i="1"/>
  <c r="O2098" i="1"/>
  <c r="N2098" i="1"/>
  <c r="M2098" i="1"/>
  <c r="P2097" i="1"/>
  <c r="O2097" i="1"/>
  <c r="N2097" i="1"/>
  <c r="M2097" i="1"/>
  <c r="P2096" i="1"/>
  <c r="O2096" i="1"/>
  <c r="N2096" i="1"/>
  <c r="M2096" i="1"/>
  <c r="P2095" i="1"/>
  <c r="O2095" i="1"/>
  <c r="N2095" i="1"/>
  <c r="M2095" i="1"/>
  <c r="P2094" i="1"/>
  <c r="O2094" i="1"/>
  <c r="N2094" i="1"/>
  <c r="M2094" i="1"/>
  <c r="P2093" i="1"/>
  <c r="O2093" i="1"/>
  <c r="N2093" i="1"/>
  <c r="M2093" i="1"/>
  <c r="P2092" i="1"/>
  <c r="O2092" i="1"/>
  <c r="N2092" i="1"/>
  <c r="M2092" i="1"/>
  <c r="P2091" i="1"/>
  <c r="O2091" i="1"/>
  <c r="N2091" i="1"/>
  <c r="M2091" i="1"/>
  <c r="P2090" i="1"/>
  <c r="O2090" i="1"/>
  <c r="N2090" i="1"/>
  <c r="M2090" i="1"/>
  <c r="P2089" i="1"/>
  <c r="O2089" i="1"/>
  <c r="N2089" i="1"/>
  <c r="M2089" i="1"/>
  <c r="P2088" i="1"/>
  <c r="O2088" i="1"/>
  <c r="N2088" i="1"/>
  <c r="M2088" i="1"/>
  <c r="P2087" i="1"/>
  <c r="O2087" i="1"/>
  <c r="N2087" i="1"/>
  <c r="M2087" i="1"/>
  <c r="P2086" i="1"/>
  <c r="O2086" i="1"/>
  <c r="N2086" i="1"/>
  <c r="M2086" i="1"/>
  <c r="P2085" i="1"/>
  <c r="O2085" i="1"/>
  <c r="N2085" i="1"/>
  <c r="M2085" i="1"/>
  <c r="P2084" i="1"/>
  <c r="O2084" i="1"/>
  <c r="N2084" i="1"/>
  <c r="M2084" i="1"/>
  <c r="P2083" i="1"/>
  <c r="O2083" i="1"/>
  <c r="N2083" i="1"/>
  <c r="M2083" i="1"/>
  <c r="P2082" i="1"/>
  <c r="O2082" i="1"/>
  <c r="N2082" i="1"/>
  <c r="M2082" i="1"/>
  <c r="P2081" i="1"/>
  <c r="O2081" i="1"/>
  <c r="N2081" i="1"/>
  <c r="M2081" i="1"/>
  <c r="P2080" i="1"/>
  <c r="O2080" i="1"/>
  <c r="N2080" i="1"/>
  <c r="M2080" i="1"/>
  <c r="P2079" i="1"/>
  <c r="O2079" i="1"/>
  <c r="N2079" i="1"/>
  <c r="M2079" i="1"/>
  <c r="P2078" i="1"/>
  <c r="O2078" i="1"/>
  <c r="N2078" i="1"/>
  <c r="M2078" i="1"/>
  <c r="P2077" i="1"/>
  <c r="O2077" i="1"/>
  <c r="N2077" i="1"/>
  <c r="M2077" i="1"/>
  <c r="P2076" i="1"/>
  <c r="O2076" i="1"/>
  <c r="N2076" i="1"/>
  <c r="M2076" i="1"/>
  <c r="P2075" i="1"/>
  <c r="O2075" i="1"/>
  <c r="N2075" i="1"/>
  <c r="M2075" i="1"/>
  <c r="P2074" i="1"/>
  <c r="O2074" i="1"/>
  <c r="N2074" i="1"/>
  <c r="M2074" i="1"/>
  <c r="P2073" i="1"/>
  <c r="O2073" i="1"/>
  <c r="N2073" i="1"/>
  <c r="M2073" i="1"/>
  <c r="P2072" i="1"/>
  <c r="O2072" i="1"/>
  <c r="N2072" i="1"/>
  <c r="M2072" i="1"/>
  <c r="P2071" i="1"/>
  <c r="O2071" i="1"/>
  <c r="N2071" i="1"/>
  <c r="M2071" i="1"/>
  <c r="P2070" i="1"/>
  <c r="O2070" i="1"/>
  <c r="N2070" i="1"/>
  <c r="M2070" i="1"/>
  <c r="P2069" i="1"/>
  <c r="O2069" i="1"/>
  <c r="N2069" i="1"/>
  <c r="M2069" i="1"/>
  <c r="P2068" i="1"/>
  <c r="O2068" i="1"/>
  <c r="N2068" i="1"/>
  <c r="M2068" i="1"/>
  <c r="P2067" i="1"/>
  <c r="O2067" i="1"/>
  <c r="N2067" i="1"/>
  <c r="M2067" i="1"/>
  <c r="P2066" i="1"/>
  <c r="O2066" i="1"/>
  <c r="N2066" i="1"/>
  <c r="M2066" i="1"/>
  <c r="P2065" i="1"/>
  <c r="O2065" i="1"/>
  <c r="N2065" i="1"/>
  <c r="M2065" i="1"/>
  <c r="P2064" i="1"/>
  <c r="O2064" i="1"/>
  <c r="N2064" i="1"/>
  <c r="M2064" i="1"/>
  <c r="P2063" i="1"/>
  <c r="O2063" i="1"/>
  <c r="N2063" i="1"/>
  <c r="M2063" i="1"/>
  <c r="P2062" i="1"/>
  <c r="O2062" i="1"/>
  <c r="N2062" i="1"/>
  <c r="M2062" i="1"/>
  <c r="P2061" i="1"/>
  <c r="O2061" i="1"/>
  <c r="N2061" i="1"/>
  <c r="M2061" i="1"/>
  <c r="P2060" i="1"/>
  <c r="O2060" i="1"/>
  <c r="N2060" i="1"/>
  <c r="M2060" i="1"/>
  <c r="P2059" i="1"/>
  <c r="O2059" i="1"/>
  <c r="N2059" i="1"/>
  <c r="M2059" i="1"/>
  <c r="P2058" i="1"/>
  <c r="O2058" i="1"/>
  <c r="N2058" i="1"/>
  <c r="M2058" i="1"/>
  <c r="P2057" i="1"/>
  <c r="O2057" i="1"/>
  <c r="N2057" i="1"/>
  <c r="M2057" i="1"/>
  <c r="P2056" i="1"/>
  <c r="O2056" i="1"/>
  <c r="N2056" i="1"/>
  <c r="M2056" i="1"/>
  <c r="P2055" i="1"/>
  <c r="O2055" i="1"/>
  <c r="N2055" i="1"/>
  <c r="M2055" i="1"/>
  <c r="P2054" i="1"/>
  <c r="O2054" i="1"/>
  <c r="N2054" i="1"/>
  <c r="M2054" i="1"/>
  <c r="P2053" i="1"/>
  <c r="O2053" i="1"/>
  <c r="N2053" i="1"/>
  <c r="M2053" i="1"/>
  <c r="P2052" i="1"/>
  <c r="O2052" i="1"/>
  <c r="N2052" i="1"/>
  <c r="M2052" i="1"/>
  <c r="P2051" i="1"/>
  <c r="O2051" i="1"/>
  <c r="N2051" i="1"/>
  <c r="M2051" i="1"/>
  <c r="P2050" i="1"/>
  <c r="O2050" i="1"/>
  <c r="N2050" i="1"/>
  <c r="M2050" i="1"/>
  <c r="P2049" i="1"/>
  <c r="O2049" i="1"/>
  <c r="N2049" i="1"/>
  <c r="M2049" i="1"/>
  <c r="P2048" i="1"/>
  <c r="O2048" i="1"/>
  <c r="N2048" i="1"/>
  <c r="M2048" i="1"/>
  <c r="P2047" i="1"/>
  <c r="O2047" i="1"/>
  <c r="N2047" i="1"/>
  <c r="M2047" i="1"/>
  <c r="P2046" i="1"/>
  <c r="O2046" i="1"/>
  <c r="N2046" i="1"/>
  <c r="M2046" i="1"/>
  <c r="P2045" i="1"/>
  <c r="O2045" i="1"/>
  <c r="N2045" i="1"/>
  <c r="M2045" i="1"/>
  <c r="P2044" i="1"/>
  <c r="O2044" i="1"/>
  <c r="N2044" i="1"/>
  <c r="M2044" i="1"/>
  <c r="P2043" i="1"/>
  <c r="O2043" i="1"/>
  <c r="N2043" i="1"/>
  <c r="M2043" i="1"/>
  <c r="P2042" i="1"/>
  <c r="O2042" i="1"/>
  <c r="N2042" i="1"/>
  <c r="M2042" i="1"/>
  <c r="P2041" i="1"/>
  <c r="O2041" i="1"/>
  <c r="N2041" i="1"/>
  <c r="M2041" i="1"/>
  <c r="P2040" i="1"/>
  <c r="O2040" i="1"/>
  <c r="N2040" i="1"/>
  <c r="M2040" i="1"/>
  <c r="P2039" i="1"/>
  <c r="O2039" i="1"/>
  <c r="N2039" i="1"/>
  <c r="M2039" i="1"/>
  <c r="P2038" i="1"/>
  <c r="O2038" i="1"/>
  <c r="N2038" i="1"/>
  <c r="M2038" i="1"/>
  <c r="P2037" i="1"/>
  <c r="O2037" i="1"/>
  <c r="N2037" i="1"/>
  <c r="M2037" i="1"/>
  <c r="P2036" i="1"/>
  <c r="O2036" i="1"/>
  <c r="N2036" i="1"/>
  <c r="M2036" i="1"/>
  <c r="P2035" i="1"/>
  <c r="O2035" i="1"/>
  <c r="N2035" i="1"/>
  <c r="M2035" i="1"/>
  <c r="P2034" i="1"/>
  <c r="O2034" i="1"/>
  <c r="N2034" i="1"/>
  <c r="M2034" i="1"/>
  <c r="P2033" i="1"/>
  <c r="O2033" i="1"/>
  <c r="N2033" i="1"/>
  <c r="M2033" i="1"/>
  <c r="P2032" i="1"/>
  <c r="O2032" i="1"/>
  <c r="N2032" i="1"/>
  <c r="M2032" i="1"/>
  <c r="P2031" i="1"/>
  <c r="O2031" i="1"/>
  <c r="N2031" i="1"/>
  <c r="M2031" i="1"/>
  <c r="P2030" i="1"/>
  <c r="O2030" i="1"/>
  <c r="N2030" i="1"/>
  <c r="M2030" i="1"/>
  <c r="P2029" i="1"/>
  <c r="O2029" i="1"/>
  <c r="N2029" i="1"/>
  <c r="M2029" i="1"/>
  <c r="P2028" i="1"/>
  <c r="O2028" i="1"/>
  <c r="N2028" i="1"/>
  <c r="M2028" i="1"/>
  <c r="P2027" i="1"/>
  <c r="O2027" i="1"/>
  <c r="N2027" i="1"/>
  <c r="M2027" i="1"/>
  <c r="P2026" i="1"/>
  <c r="O2026" i="1"/>
  <c r="N2026" i="1"/>
  <c r="M2026" i="1"/>
  <c r="P2025" i="1"/>
  <c r="O2025" i="1"/>
  <c r="N2025" i="1"/>
  <c r="M2025" i="1"/>
  <c r="P2024" i="1"/>
  <c r="O2024" i="1"/>
  <c r="N2024" i="1"/>
  <c r="M2024" i="1"/>
  <c r="P2023" i="1"/>
  <c r="O2023" i="1"/>
  <c r="N2023" i="1"/>
  <c r="M2023" i="1"/>
  <c r="P2022" i="1"/>
  <c r="O2022" i="1"/>
  <c r="N2022" i="1"/>
  <c r="M2022" i="1"/>
  <c r="P2021" i="1"/>
  <c r="O2021" i="1"/>
  <c r="N2021" i="1"/>
  <c r="M2021" i="1"/>
  <c r="P2020" i="1"/>
  <c r="O2020" i="1"/>
  <c r="N2020" i="1"/>
  <c r="M2020" i="1"/>
  <c r="P2019" i="1"/>
  <c r="O2019" i="1"/>
  <c r="N2019" i="1"/>
  <c r="M2019" i="1"/>
  <c r="P2018" i="1"/>
  <c r="O2018" i="1"/>
  <c r="N2018" i="1"/>
  <c r="M2018" i="1"/>
  <c r="P2017" i="1"/>
  <c r="O2017" i="1"/>
  <c r="N2017" i="1"/>
  <c r="M2017" i="1"/>
  <c r="P2016" i="1"/>
  <c r="O2016" i="1"/>
  <c r="N2016" i="1"/>
  <c r="M2016" i="1"/>
  <c r="P2015" i="1"/>
  <c r="O2015" i="1"/>
  <c r="N2015" i="1"/>
  <c r="M2015" i="1"/>
  <c r="P2014" i="1"/>
  <c r="O2014" i="1"/>
  <c r="N2014" i="1"/>
  <c r="M2014" i="1"/>
  <c r="P2013" i="1"/>
  <c r="O2013" i="1"/>
  <c r="N2013" i="1"/>
  <c r="M2013" i="1"/>
  <c r="P2012" i="1"/>
  <c r="O2012" i="1"/>
  <c r="N2012" i="1"/>
  <c r="M2012" i="1"/>
  <c r="P2011" i="1"/>
  <c r="O2011" i="1"/>
  <c r="N2011" i="1"/>
  <c r="M2011" i="1"/>
  <c r="P2010" i="1"/>
  <c r="O2010" i="1"/>
  <c r="N2010" i="1"/>
  <c r="M2010" i="1"/>
  <c r="P2009" i="1"/>
  <c r="O2009" i="1"/>
  <c r="N2009" i="1"/>
  <c r="M2009" i="1"/>
  <c r="P2008" i="1"/>
  <c r="O2008" i="1"/>
  <c r="N2008" i="1"/>
  <c r="M2008" i="1"/>
  <c r="P2007" i="1"/>
  <c r="O2007" i="1"/>
  <c r="N2007" i="1"/>
  <c r="M2007" i="1"/>
  <c r="P2006" i="1"/>
  <c r="O2006" i="1"/>
  <c r="N2006" i="1"/>
  <c r="M2006" i="1"/>
  <c r="P2005" i="1"/>
  <c r="O2005" i="1"/>
  <c r="N2005" i="1"/>
  <c r="M2005" i="1"/>
  <c r="P2004" i="1"/>
  <c r="O2004" i="1"/>
  <c r="N2004" i="1"/>
  <c r="M2004" i="1"/>
  <c r="P2003" i="1"/>
  <c r="O2003" i="1"/>
  <c r="N2003" i="1"/>
  <c r="M2003" i="1"/>
  <c r="P2002" i="1"/>
  <c r="O2002" i="1"/>
  <c r="N2002" i="1"/>
  <c r="M2002" i="1"/>
  <c r="P2001" i="1"/>
  <c r="O2001" i="1"/>
  <c r="N2001" i="1"/>
  <c r="M2001" i="1"/>
  <c r="P2000" i="1"/>
  <c r="O2000" i="1"/>
  <c r="N2000" i="1"/>
  <c r="M2000" i="1"/>
  <c r="P1999" i="1"/>
  <c r="O1999" i="1"/>
  <c r="N1999" i="1"/>
  <c r="M1999" i="1"/>
  <c r="P1998" i="1"/>
  <c r="O1998" i="1"/>
  <c r="N1998" i="1"/>
  <c r="M1998" i="1"/>
  <c r="P1997" i="1"/>
  <c r="O1997" i="1"/>
  <c r="N1997" i="1"/>
  <c r="M1997" i="1"/>
  <c r="P1996" i="1"/>
  <c r="O1996" i="1"/>
  <c r="N1996" i="1"/>
  <c r="M1996" i="1"/>
  <c r="P1995" i="1"/>
  <c r="O1995" i="1"/>
  <c r="N1995" i="1"/>
  <c r="M1995" i="1"/>
  <c r="P1994" i="1"/>
  <c r="O1994" i="1"/>
  <c r="N1994" i="1"/>
  <c r="M1994" i="1"/>
  <c r="P1993" i="1"/>
  <c r="O1993" i="1"/>
  <c r="N1993" i="1"/>
  <c r="M1993" i="1"/>
  <c r="P1992" i="1"/>
  <c r="O1992" i="1"/>
  <c r="N1992" i="1"/>
  <c r="M1992" i="1"/>
  <c r="P1991" i="1"/>
  <c r="O1991" i="1"/>
  <c r="N1991" i="1"/>
  <c r="M1991" i="1"/>
  <c r="P1990" i="1"/>
  <c r="O1990" i="1"/>
  <c r="N1990" i="1"/>
  <c r="M1990" i="1"/>
  <c r="P1989" i="1"/>
  <c r="O1989" i="1"/>
  <c r="N1989" i="1"/>
  <c r="M1989" i="1"/>
  <c r="P1988" i="1"/>
  <c r="O1988" i="1"/>
  <c r="N1988" i="1"/>
  <c r="M1988" i="1"/>
  <c r="P1987" i="1"/>
  <c r="O1987" i="1"/>
  <c r="N1987" i="1"/>
  <c r="M1987" i="1"/>
  <c r="P1986" i="1"/>
  <c r="O1986" i="1"/>
  <c r="N1986" i="1"/>
  <c r="M1986" i="1"/>
  <c r="P1985" i="1"/>
  <c r="O1985" i="1"/>
  <c r="N1985" i="1"/>
  <c r="M1985" i="1"/>
  <c r="P1984" i="1"/>
  <c r="O1984" i="1"/>
  <c r="N1984" i="1"/>
  <c r="M1984" i="1"/>
  <c r="P1983" i="1"/>
  <c r="O1983" i="1"/>
  <c r="N1983" i="1"/>
  <c r="M1983" i="1"/>
  <c r="P1982" i="1"/>
  <c r="O1982" i="1"/>
  <c r="N1982" i="1"/>
  <c r="M1982" i="1"/>
  <c r="P1981" i="1"/>
  <c r="O1981" i="1"/>
  <c r="N1981" i="1"/>
  <c r="M1981" i="1"/>
  <c r="P1980" i="1"/>
  <c r="O1980" i="1"/>
  <c r="N1980" i="1"/>
  <c r="M1980" i="1"/>
  <c r="P1979" i="1"/>
  <c r="O1979" i="1"/>
  <c r="N1979" i="1"/>
  <c r="M1979" i="1"/>
  <c r="P1978" i="1"/>
  <c r="O1978" i="1"/>
  <c r="N1978" i="1"/>
  <c r="M1978" i="1"/>
  <c r="P1977" i="1"/>
  <c r="O1977" i="1"/>
  <c r="N1977" i="1"/>
  <c r="M1977" i="1"/>
  <c r="P1976" i="1"/>
  <c r="O1976" i="1"/>
  <c r="N1976" i="1"/>
  <c r="M1976" i="1"/>
  <c r="P1975" i="1"/>
  <c r="O1975" i="1"/>
  <c r="N1975" i="1"/>
  <c r="M1975" i="1"/>
  <c r="P1974" i="1"/>
  <c r="O1974" i="1"/>
  <c r="N1974" i="1"/>
  <c r="M1974" i="1"/>
  <c r="P1973" i="1"/>
  <c r="O1973" i="1"/>
  <c r="N1973" i="1"/>
  <c r="M1973" i="1"/>
  <c r="P1972" i="1"/>
  <c r="O1972" i="1"/>
  <c r="N1972" i="1"/>
  <c r="M1972" i="1"/>
  <c r="P1971" i="1"/>
  <c r="O1971" i="1"/>
  <c r="N1971" i="1"/>
  <c r="M1971" i="1"/>
  <c r="P1970" i="1"/>
  <c r="O1970" i="1"/>
  <c r="N1970" i="1"/>
  <c r="M1970" i="1"/>
  <c r="P1969" i="1"/>
  <c r="O1969" i="1"/>
  <c r="N1969" i="1"/>
  <c r="M1969" i="1"/>
  <c r="P1968" i="1"/>
  <c r="O1968" i="1"/>
  <c r="N1968" i="1"/>
  <c r="M1968" i="1"/>
  <c r="P1967" i="1"/>
  <c r="O1967" i="1"/>
  <c r="N1967" i="1"/>
  <c r="M1967" i="1"/>
  <c r="P1966" i="1"/>
  <c r="O1966" i="1"/>
  <c r="N1966" i="1"/>
  <c r="M1966" i="1"/>
  <c r="P1965" i="1"/>
  <c r="O1965" i="1"/>
  <c r="N1965" i="1"/>
  <c r="M1965" i="1"/>
  <c r="P1964" i="1"/>
  <c r="O1964" i="1"/>
  <c r="N1964" i="1"/>
  <c r="M1964" i="1"/>
  <c r="P1963" i="1"/>
  <c r="O1963" i="1"/>
  <c r="N1963" i="1"/>
  <c r="M1963" i="1"/>
  <c r="P1962" i="1"/>
  <c r="O1962" i="1"/>
  <c r="N1962" i="1"/>
  <c r="M1962" i="1"/>
  <c r="P1961" i="1"/>
  <c r="O1961" i="1"/>
  <c r="N1961" i="1"/>
  <c r="M1961" i="1"/>
  <c r="P1960" i="1"/>
  <c r="O1960" i="1"/>
  <c r="N1960" i="1"/>
  <c r="M1960" i="1"/>
  <c r="P1959" i="1"/>
  <c r="O1959" i="1"/>
  <c r="N1959" i="1"/>
  <c r="M1959" i="1"/>
  <c r="P1958" i="1"/>
  <c r="O1958" i="1"/>
  <c r="N1958" i="1"/>
  <c r="M1958" i="1"/>
  <c r="P1957" i="1"/>
  <c r="O1957" i="1"/>
  <c r="N1957" i="1"/>
  <c r="M1957" i="1"/>
  <c r="P1956" i="1"/>
  <c r="O1956" i="1"/>
  <c r="N1956" i="1"/>
  <c r="M1956" i="1"/>
  <c r="P1955" i="1"/>
  <c r="O1955" i="1"/>
  <c r="N1955" i="1"/>
  <c r="M1955" i="1"/>
  <c r="P1954" i="1"/>
  <c r="O1954" i="1"/>
  <c r="N1954" i="1"/>
  <c r="M1954" i="1"/>
  <c r="P1953" i="1"/>
  <c r="O1953" i="1"/>
  <c r="N1953" i="1"/>
  <c r="M1953" i="1"/>
  <c r="P1952" i="1"/>
  <c r="O1952" i="1"/>
  <c r="N1952" i="1"/>
  <c r="M1952" i="1"/>
  <c r="P1951" i="1"/>
  <c r="O1951" i="1"/>
  <c r="N1951" i="1"/>
  <c r="M1951" i="1"/>
  <c r="P1950" i="1"/>
  <c r="O1950" i="1"/>
  <c r="N1950" i="1"/>
  <c r="M1950" i="1"/>
  <c r="P1949" i="1"/>
  <c r="O1949" i="1"/>
  <c r="N1949" i="1"/>
  <c r="M1949" i="1"/>
  <c r="P1948" i="1"/>
  <c r="O1948" i="1"/>
  <c r="N1948" i="1"/>
  <c r="M1948" i="1"/>
  <c r="P1947" i="1"/>
  <c r="O1947" i="1"/>
  <c r="N1947" i="1"/>
  <c r="M1947" i="1"/>
  <c r="P1946" i="1"/>
  <c r="O1946" i="1"/>
  <c r="N1946" i="1"/>
  <c r="M1946" i="1"/>
  <c r="P1945" i="1"/>
  <c r="O1945" i="1"/>
  <c r="N1945" i="1"/>
  <c r="M1945" i="1"/>
  <c r="P1944" i="1"/>
  <c r="O1944" i="1"/>
  <c r="N1944" i="1"/>
  <c r="M1944" i="1"/>
  <c r="P1943" i="1"/>
  <c r="O1943" i="1"/>
  <c r="N1943" i="1"/>
  <c r="M1943" i="1"/>
  <c r="P1942" i="1"/>
  <c r="O1942" i="1"/>
  <c r="N1942" i="1"/>
  <c r="M1942" i="1"/>
  <c r="P1941" i="1"/>
  <c r="O1941" i="1"/>
  <c r="N1941" i="1"/>
  <c r="M1941" i="1"/>
  <c r="P1940" i="1"/>
  <c r="O1940" i="1"/>
  <c r="N1940" i="1"/>
  <c r="M1940" i="1"/>
  <c r="P1939" i="1"/>
  <c r="O1939" i="1"/>
  <c r="N1939" i="1"/>
  <c r="M1939" i="1"/>
  <c r="P1938" i="1"/>
  <c r="O1938" i="1"/>
  <c r="N1938" i="1"/>
  <c r="M1938" i="1"/>
  <c r="P1937" i="1"/>
  <c r="O1937" i="1"/>
  <c r="N1937" i="1"/>
  <c r="M1937" i="1"/>
  <c r="P1936" i="1"/>
  <c r="O1936" i="1"/>
  <c r="N1936" i="1"/>
  <c r="M1936" i="1"/>
  <c r="P1935" i="1"/>
  <c r="O1935" i="1"/>
  <c r="N1935" i="1"/>
  <c r="M1935" i="1"/>
  <c r="P1934" i="1"/>
  <c r="O1934" i="1"/>
  <c r="N1934" i="1"/>
  <c r="M1934" i="1"/>
  <c r="P1933" i="1"/>
  <c r="O1933" i="1"/>
  <c r="N1933" i="1"/>
  <c r="M1933" i="1"/>
  <c r="P1932" i="1"/>
  <c r="O1932" i="1"/>
  <c r="N1932" i="1"/>
  <c r="M1932" i="1"/>
  <c r="P1931" i="1"/>
  <c r="O1931" i="1"/>
  <c r="N1931" i="1"/>
  <c r="M1931" i="1"/>
  <c r="P1930" i="1"/>
  <c r="O1930" i="1"/>
  <c r="N1930" i="1"/>
  <c r="M1930" i="1"/>
  <c r="P1929" i="1"/>
  <c r="O1929" i="1"/>
  <c r="N1929" i="1"/>
  <c r="M1929" i="1"/>
  <c r="P1928" i="1"/>
  <c r="O1928" i="1"/>
  <c r="N1928" i="1"/>
  <c r="M1928" i="1"/>
  <c r="P1927" i="1"/>
  <c r="O1927" i="1"/>
  <c r="N1927" i="1"/>
  <c r="M1927" i="1"/>
  <c r="P1926" i="1"/>
  <c r="O1926" i="1"/>
  <c r="N1926" i="1"/>
  <c r="M1926" i="1"/>
  <c r="P1925" i="1"/>
  <c r="O1925" i="1"/>
  <c r="N1925" i="1"/>
  <c r="M1925" i="1"/>
  <c r="P1924" i="1"/>
  <c r="O1924" i="1"/>
  <c r="N1924" i="1"/>
  <c r="M1924" i="1"/>
  <c r="P1923" i="1"/>
  <c r="O1923" i="1"/>
  <c r="N1923" i="1"/>
  <c r="M1923" i="1"/>
  <c r="P1922" i="1"/>
  <c r="O1922" i="1"/>
  <c r="N1922" i="1"/>
  <c r="M1922" i="1"/>
  <c r="P1921" i="1"/>
  <c r="O1921" i="1"/>
  <c r="N1921" i="1"/>
  <c r="M1921" i="1"/>
  <c r="P1920" i="1"/>
  <c r="O1920" i="1"/>
  <c r="N1920" i="1"/>
  <c r="M1920" i="1"/>
  <c r="P1919" i="1"/>
  <c r="O1919" i="1"/>
  <c r="N1919" i="1"/>
  <c r="M1919" i="1"/>
  <c r="P1918" i="1"/>
  <c r="O1918" i="1"/>
  <c r="N1918" i="1"/>
  <c r="M1918" i="1"/>
  <c r="P1917" i="1"/>
  <c r="O1917" i="1"/>
  <c r="N1917" i="1"/>
  <c r="M1917" i="1"/>
  <c r="P1916" i="1"/>
  <c r="O1916" i="1"/>
  <c r="N1916" i="1"/>
  <c r="M1916" i="1"/>
  <c r="P1915" i="1"/>
  <c r="O1915" i="1"/>
  <c r="N1915" i="1"/>
  <c r="M1915" i="1"/>
  <c r="P1914" i="1"/>
  <c r="O1914" i="1"/>
  <c r="N1914" i="1"/>
  <c r="M1914" i="1"/>
  <c r="P1913" i="1"/>
  <c r="O1913" i="1"/>
  <c r="N1913" i="1"/>
  <c r="M1913" i="1"/>
  <c r="P1912" i="1"/>
  <c r="O1912" i="1"/>
  <c r="N1912" i="1"/>
  <c r="M1912" i="1"/>
  <c r="P1911" i="1"/>
  <c r="O1911" i="1"/>
  <c r="N1911" i="1"/>
  <c r="M1911" i="1"/>
  <c r="P1910" i="1"/>
  <c r="O1910" i="1"/>
  <c r="N1910" i="1"/>
  <c r="M1910" i="1"/>
  <c r="P1909" i="1"/>
  <c r="O1909" i="1"/>
  <c r="N1909" i="1"/>
  <c r="M1909" i="1"/>
  <c r="P1908" i="1"/>
  <c r="O1908" i="1"/>
  <c r="N1908" i="1"/>
  <c r="M1908" i="1"/>
  <c r="P1907" i="1"/>
  <c r="O1907" i="1"/>
  <c r="N1907" i="1"/>
  <c r="M1907" i="1"/>
  <c r="P1906" i="1"/>
  <c r="O1906" i="1"/>
  <c r="N1906" i="1"/>
  <c r="M1906" i="1"/>
  <c r="P1905" i="1"/>
  <c r="O1905" i="1"/>
  <c r="N1905" i="1"/>
  <c r="M1905" i="1"/>
  <c r="P1904" i="1"/>
  <c r="O1904" i="1"/>
  <c r="N1904" i="1"/>
  <c r="M1904" i="1"/>
  <c r="P1903" i="1"/>
  <c r="O1903" i="1"/>
  <c r="N1903" i="1"/>
  <c r="M1903" i="1"/>
  <c r="P1902" i="1"/>
  <c r="O1902" i="1"/>
  <c r="N1902" i="1"/>
  <c r="M1902" i="1"/>
  <c r="P1901" i="1"/>
  <c r="O1901" i="1"/>
  <c r="N1901" i="1"/>
  <c r="M1901" i="1"/>
  <c r="P1900" i="1"/>
  <c r="O1900" i="1"/>
  <c r="N1900" i="1"/>
  <c r="M1900" i="1"/>
  <c r="P1899" i="1"/>
  <c r="O1899" i="1"/>
  <c r="N1899" i="1"/>
  <c r="M1899" i="1"/>
  <c r="P1898" i="1"/>
  <c r="O1898" i="1"/>
  <c r="N1898" i="1"/>
  <c r="M1898" i="1"/>
  <c r="P1897" i="1"/>
  <c r="O1897" i="1"/>
  <c r="N1897" i="1"/>
  <c r="M1897" i="1"/>
  <c r="P1896" i="1"/>
  <c r="O1896" i="1"/>
  <c r="N1896" i="1"/>
  <c r="M1896" i="1"/>
  <c r="P1895" i="1"/>
  <c r="O1895" i="1"/>
  <c r="N1895" i="1"/>
  <c r="M1895" i="1"/>
  <c r="P1894" i="1"/>
  <c r="O1894" i="1"/>
  <c r="N1894" i="1"/>
  <c r="M1894" i="1"/>
  <c r="P1893" i="1"/>
  <c r="O1893" i="1"/>
  <c r="N1893" i="1"/>
  <c r="M1893" i="1"/>
  <c r="P1892" i="1"/>
  <c r="O1892" i="1"/>
  <c r="N1892" i="1"/>
  <c r="M1892" i="1"/>
  <c r="P1891" i="1"/>
  <c r="O1891" i="1"/>
  <c r="N1891" i="1"/>
  <c r="M1891" i="1"/>
  <c r="P1890" i="1"/>
  <c r="O1890" i="1"/>
  <c r="N1890" i="1"/>
  <c r="M1890" i="1"/>
  <c r="P1889" i="1"/>
  <c r="O1889" i="1"/>
  <c r="N1889" i="1"/>
  <c r="M1889" i="1"/>
  <c r="P1888" i="1"/>
  <c r="O1888" i="1"/>
  <c r="N1888" i="1"/>
  <c r="M1888" i="1"/>
  <c r="P1887" i="1"/>
  <c r="O1887" i="1"/>
  <c r="N1887" i="1"/>
  <c r="M1887" i="1"/>
  <c r="P1886" i="1"/>
  <c r="O1886" i="1"/>
  <c r="N1886" i="1"/>
  <c r="M1886" i="1"/>
  <c r="P1885" i="1"/>
  <c r="O1885" i="1"/>
  <c r="N1885" i="1"/>
  <c r="M1885" i="1"/>
  <c r="P1884" i="1"/>
  <c r="O1884" i="1"/>
  <c r="N1884" i="1"/>
  <c r="M1884" i="1"/>
  <c r="P1883" i="1"/>
  <c r="O1883" i="1"/>
  <c r="N1883" i="1"/>
  <c r="M1883" i="1"/>
  <c r="P1882" i="1"/>
  <c r="O1882" i="1"/>
  <c r="N1882" i="1"/>
  <c r="M1882" i="1"/>
  <c r="P1881" i="1"/>
  <c r="O1881" i="1"/>
  <c r="N1881" i="1"/>
  <c r="M1881" i="1"/>
  <c r="P1880" i="1"/>
  <c r="O1880" i="1"/>
  <c r="N1880" i="1"/>
  <c r="M1880" i="1"/>
  <c r="P1879" i="1"/>
  <c r="O1879" i="1"/>
  <c r="N1879" i="1"/>
  <c r="M1879" i="1"/>
  <c r="P1878" i="1"/>
  <c r="O1878" i="1"/>
  <c r="N1878" i="1"/>
  <c r="M1878" i="1"/>
  <c r="P1877" i="1"/>
  <c r="O1877" i="1"/>
  <c r="N1877" i="1"/>
  <c r="M1877" i="1"/>
  <c r="P1876" i="1"/>
  <c r="O1876" i="1"/>
  <c r="N1876" i="1"/>
  <c r="M1876" i="1"/>
  <c r="P1875" i="1"/>
  <c r="O1875" i="1"/>
  <c r="N1875" i="1"/>
  <c r="M1875" i="1"/>
  <c r="P1874" i="1"/>
  <c r="O1874" i="1"/>
  <c r="N1874" i="1"/>
  <c r="M1874" i="1"/>
  <c r="P1873" i="1"/>
  <c r="O1873" i="1"/>
  <c r="N1873" i="1"/>
  <c r="M1873" i="1"/>
  <c r="P1872" i="1"/>
  <c r="O1872" i="1"/>
  <c r="N1872" i="1"/>
  <c r="M1872" i="1"/>
  <c r="P1871" i="1"/>
  <c r="O1871" i="1"/>
  <c r="N1871" i="1"/>
  <c r="M1871" i="1"/>
  <c r="P1870" i="1"/>
  <c r="O1870" i="1"/>
  <c r="N1870" i="1"/>
  <c r="M1870" i="1"/>
  <c r="P1869" i="1"/>
  <c r="O1869" i="1"/>
  <c r="N1869" i="1"/>
  <c r="M1869" i="1"/>
  <c r="P1868" i="1"/>
  <c r="O1868" i="1"/>
  <c r="N1868" i="1"/>
  <c r="M1868" i="1"/>
  <c r="P1867" i="1"/>
  <c r="O1867" i="1"/>
  <c r="N1867" i="1"/>
  <c r="M1867" i="1"/>
  <c r="P1866" i="1"/>
  <c r="O1866" i="1"/>
  <c r="N1866" i="1"/>
  <c r="M1866" i="1"/>
  <c r="P1865" i="1"/>
  <c r="O1865" i="1"/>
  <c r="N1865" i="1"/>
  <c r="M1865" i="1"/>
  <c r="P1864" i="1"/>
  <c r="O1864" i="1"/>
  <c r="N1864" i="1"/>
  <c r="M1864" i="1"/>
  <c r="P1863" i="1"/>
  <c r="O1863" i="1"/>
  <c r="N1863" i="1"/>
  <c r="M1863" i="1"/>
  <c r="P1862" i="1"/>
  <c r="O1862" i="1"/>
  <c r="N1862" i="1"/>
  <c r="M1862" i="1"/>
  <c r="P1861" i="1"/>
  <c r="O1861" i="1"/>
  <c r="N1861" i="1"/>
  <c r="M1861" i="1"/>
  <c r="P1860" i="1"/>
  <c r="O1860" i="1"/>
  <c r="N1860" i="1"/>
  <c r="M1860" i="1"/>
  <c r="P1859" i="1"/>
  <c r="O1859" i="1"/>
  <c r="N1859" i="1"/>
  <c r="M1859" i="1"/>
  <c r="P1858" i="1"/>
  <c r="O1858" i="1"/>
  <c r="N1858" i="1"/>
  <c r="M1858" i="1"/>
  <c r="P1857" i="1"/>
  <c r="O1857" i="1"/>
  <c r="N1857" i="1"/>
  <c r="M1857" i="1"/>
  <c r="P1856" i="1"/>
  <c r="O1856" i="1"/>
  <c r="N1856" i="1"/>
  <c r="M1856" i="1"/>
  <c r="P1855" i="1"/>
  <c r="O1855" i="1"/>
  <c r="N1855" i="1"/>
  <c r="M1855" i="1"/>
  <c r="P1854" i="1"/>
  <c r="O1854" i="1"/>
  <c r="N1854" i="1"/>
  <c r="M1854" i="1"/>
  <c r="P1853" i="1"/>
  <c r="O1853" i="1"/>
  <c r="N1853" i="1"/>
  <c r="M1853" i="1"/>
  <c r="P1852" i="1"/>
  <c r="O1852" i="1"/>
  <c r="N1852" i="1"/>
  <c r="M1852" i="1"/>
  <c r="P1851" i="1"/>
  <c r="O1851" i="1"/>
  <c r="N1851" i="1"/>
  <c r="M1851" i="1"/>
  <c r="P1850" i="1"/>
  <c r="O1850" i="1"/>
  <c r="N1850" i="1"/>
  <c r="M1850" i="1"/>
  <c r="P1849" i="1"/>
  <c r="O1849" i="1"/>
  <c r="N1849" i="1"/>
  <c r="M1849" i="1"/>
  <c r="P1848" i="1"/>
  <c r="O1848" i="1"/>
  <c r="N1848" i="1"/>
  <c r="M1848" i="1"/>
  <c r="P1847" i="1"/>
  <c r="O1847" i="1"/>
  <c r="N1847" i="1"/>
  <c r="M1847" i="1"/>
  <c r="P1846" i="1"/>
  <c r="O1846" i="1"/>
  <c r="N1846" i="1"/>
  <c r="M1846" i="1"/>
  <c r="P1845" i="1"/>
  <c r="O1845" i="1"/>
  <c r="N1845" i="1"/>
  <c r="M1845" i="1"/>
  <c r="P1844" i="1"/>
  <c r="O1844" i="1"/>
  <c r="N1844" i="1"/>
  <c r="M1844" i="1"/>
  <c r="P1843" i="1"/>
  <c r="O1843" i="1"/>
  <c r="N1843" i="1"/>
  <c r="M1843" i="1"/>
  <c r="P1842" i="1"/>
  <c r="O1842" i="1"/>
  <c r="N1842" i="1"/>
  <c r="M1842" i="1"/>
  <c r="P1841" i="1"/>
  <c r="O1841" i="1"/>
  <c r="N1841" i="1"/>
  <c r="M1841" i="1"/>
  <c r="P1840" i="1"/>
  <c r="O1840" i="1"/>
  <c r="N1840" i="1"/>
  <c r="M1840" i="1"/>
  <c r="P1839" i="1"/>
  <c r="O1839" i="1"/>
  <c r="N1839" i="1"/>
  <c r="M1839" i="1"/>
  <c r="P1838" i="1"/>
  <c r="O1838" i="1"/>
  <c r="N1838" i="1"/>
  <c r="M1838" i="1"/>
  <c r="P1837" i="1"/>
  <c r="O1837" i="1"/>
  <c r="N1837" i="1"/>
  <c r="M1837" i="1"/>
  <c r="P1836" i="1"/>
  <c r="O1836" i="1"/>
  <c r="N1836" i="1"/>
  <c r="M1836" i="1"/>
  <c r="P1835" i="1"/>
  <c r="O1835" i="1"/>
  <c r="N1835" i="1"/>
  <c r="M1835" i="1"/>
  <c r="P1834" i="1"/>
  <c r="O1834" i="1"/>
  <c r="N1834" i="1"/>
  <c r="M1834" i="1"/>
  <c r="P1833" i="1"/>
  <c r="O1833" i="1"/>
  <c r="N1833" i="1"/>
  <c r="M1833" i="1"/>
  <c r="P1832" i="1"/>
  <c r="O1832" i="1"/>
  <c r="N1832" i="1"/>
  <c r="M1832" i="1"/>
  <c r="P1831" i="1"/>
  <c r="O1831" i="1"/>
  <c r="N1831" i="1"/>
  <c r="M1831" i="1"/>
  <c r="P1830" i="1"/>
  <c r="O1830" i="1"/>
  <c r="N1830" i="1"/>
  <c r="M1830" i="1"/>
  <c r="P1829" i="1"/>
  <c r="O1829" i="1"/>
  <c r="N1829" i="1"/>
  <c r="M1829" i="1"/>
  <c r="P1828" i="1"/>
  <c r="O1828" i="1"/>
  <c r="N1828" i="1"/>
  <c r="M1828" i="1"/>
  <c r="P1827" i="1"/>
  <c r="O1827" i="1"/>
  <c r="N1827" i="1"/>
  <c r="M1827" i="1"/>
  <c r="P1826" i="1"/>
  <c r="O1826" i="1"/>
  <c r="N1826" i="1"/>
  <c r="M1826" i="1"/>
  <c r="P1825" i="1"/>
  <c r="O1825" i="1"/>
  <c r="N1825" i="1"/>
  <c r="M1825" i="1"/>
  <c r="P1824" i="1"/>
  <c r="O1824" i="1"/>
  <c r="N1824" i="1"/>
  <c r="M1824" i="1"/>
  <c r="P1823" i="1"/>
  <c r="O1823" i="1"/>
  <c r="N1823" i="1"/>
  <c r="M1823" i="1"/>
  <c r="P1822" i="1"/>
  <c r="O1822" i="1"/>
  <c r="N1822" i="1"/>
  <c r="M1822" i="1"/>
  <c r="P1821" i="1"/>
  <c r="O1821" i="1"/>
  <c r="N1821" i="1"/>
  <c r="M1821" i="1"/>
  <c r="P1820" i="1"/>
  <c r="O1820" i="1"/>
  <c r="N1820" i="1"/>
  <c r="M1820" i="1"/>
  <c r="P1819" i="1"/>
  <c r="O1819" i="1"/>
  <c r="N1819" i="1"/>
  <c r="M1819" i="1"/>
  <c r="P1818" i="1"/>
  <c r="O1818" i="1"/>
  <c r="N1818" i="1"/>
  <c r="M1818" i="1"/>
  <c r="P1817" i="1"/>
  <c r="O1817" i="1"/>
  <c r="N1817" i="1"/>
  <c r="M1817" i="1"/>
  <c r="P1816" i="1"/>
  <c r="O1816" i="1"/>
  <c r="N1816" i="1"/>
  <c r="M1816" i="1"/>
  <c r="P1815" i="1"/>
  <c r="O1815" i="1"/>
  <c r="N1815" i="1"/>
  <c r="M1815" i="1"/>
  <c r="P1814" i="1"/>
  <c r="O1814" i="1"/>
  <c r="N1814" i="1"/>
  <c r="M1814" i="1"/>
  <c r="P1813" i="1"/>
  <c r="O1813" i="1"/>
  <c r="N1813" i="1"/>
  <c r="M1813" i="1"/>
  <c r="P1812" i="1"/>
  <c r="O1812" i="1"/>
  <c r="N1812" i="1"/>
  <c r="M1812" i="1"/>
  <c r="P1811" i="1"/>
  <c r="O1811" i="1"/>
  <c r="N1811" i="1"/>
  <c r="M1811" i="1"/>
  <c r="P1810" i="1"/>
  <c r="O1810" i="1"/>
  <c r="N1810" i="1"/>
  <c r="M1810" i="1"/>
  <c r="P1809" i="1"/>
  <c r="O1809" i="1"/>
  <c r="N1809" i="1"/>
  <c r="M1809" i="1"/>
  <c r="P1808" i="1"/>
  <c r="O1808" i="1"/>
  <c r="N1808" i="1"/>
  <c r="M1808" i="1"/>
  <c r="P1807" i="1"/>
  <c r="O1807" i="1"/>
  <c r="N1807" i="1"/>
  <c r="M1807" i="1"/>
  <c r="P1806" i="1"/>
  <c r="O1806" i="1"/>
  <c r="N1806" i="1"/>
  <c r="M1806" i="1"/>
  <c r="P1805" i="1"/>
  <c r="O1805" i="1"/>
  <c r="N1805" i="1"/>
  <c r="M1805" i="1"/>
  <c r="P1804" i="1"/>
  <c r="O1804" i="1"/>
  <c r="N1804" i="1"/>
  <c r="M1804" i="1"/>
  <c r="P1803" i="1"/>
  <c r="O1803" i="1"/>
  <c r="N1803" i="1"/>
  <c r="M1803" i="1"/>
  <c r="P1802" i="1"/>
  <c r="O1802" i="1"/>
  <c r="N1802" i="1"/>
  <c r="M1802" i="1"/>
  <c r="P1801" i="1"/>
  <c r="O1801" i="1"/>
  <c r="N1801" i="1"/>
  <c r="M1801" i="1"/>
  <c r="P1800" i="1"/>
  <c r="O1800" i="1"/>
  <c r="N1800" i="1"/>
  <c r="M1800" i="1"/>
  <c r="P1799" i="1"/>
  <c r="O1799" i="1"/>
  <c r="N1799" i="1"/>
  <c r="M1799" i="1"/>
  <c r="P1798" i="1"/>
  <c r="O1798" i="1"/>
  <c r="N1798" i="1"/>
  <c r="M1798" i="1"/>
  <c r="P1797" i="1"/>
  <c r="O1797" i="1"/>
  <c r="N1797" i="1"/>
  <c r="M1797" i="1"/>
  <c r="P1796" i="1"/>
  <c r="O1796" i="1"/>
  <c r="N1796" i="1"/>
  <c r="M1796" i="1"/>
  <c r="P1795" i="1"/>
  <c r="O1795" i="1"/>
  <c r="N1795" i="1"/>
  <c r="M1795" i="1"/>
  <c r="P1794" i="1"/>
  <c r="O1794" i="1"/>
  <c r="N1794" i="1"/>
  <c r="M1794" i="1"/>
  <c r="P1793" i="1"/>
  <c r="O1793" i="1"/>
  <c r="N1793" i="1"/>
  <c r="M1793" i="1"/>
  <c r="P1792" i="1"/>
  <c r="O1792" i="1"/>
  <c r="N1792" i="1"/>
  <c r="M1792" i="1"/>
  <c r="P1791" i="1"/>
  <c r="O1791" i="1"/>
  <c r="N1791" i="1"/>
  <c r="M1791" i="1"/>
  <c r="P1790" i="1"/>
  <c r="O1790" i="1"/>
  <c r="N1790" i="1"/>
  <c r="M1790" i="1"/>
  <c r="P1789" i="1"/>
  <c r="O1789" i="1"/>
  <c r="N1789" i="1"/>
  <c r="M1789" i="1"/>
  <c r="P1788" i="1"/>
  <c r="O1788" i="1"/>
  <c r="N1788" i="1"/>
  <c r="M1788" i="1"/>
  <c r="P1787" i="1"/>
  <c r="O1787" i="1"/>
  <c r="N1787" i="1"/>
  <c r="M1787" i="1"/>
  <c r="P1786" i="1"/>
  <c r="O1786" i="1"/>
  <c r="N1786" i="1"/>
  <c r="M1786" i="1"/>
  <c r="P1785" i="1"/>
  <c r="O1785" i="1"/>
  <c r="N1785" i="1"/>
  <c r="M1785" i="1"/>
  <c r="P1784" i="1"/>
  <c r="O1784" i="1"/>
  <c r="N1784" i="1"/>
  <c r="M1784" i="1"/>
  <c r="P1783" i="1"/>
  <c r="O1783" i="1"/>
  <c r="N1783" i="1"/>
  <c r="M1783" i="1"/>
  <c r="P1782" i="1"/>
  <c r="O1782" i="1"/>
  <c r="N1782" i="1"/>
  <c r="M1782" i="1"/>
  <c r="P1781" i="1"/>
  <c r="O1781" i="1"/>
  <c r="N1781" i="1"/>
  <c r="M1781" i="1"/>
  <c r="P1780" i="1"/>
  <c r="O1780" i="1"/>
  <c r="N1780" i="1"/>
  <c r="M1780" i="1"/>
  <c r="P1779" i="1"/>
  <c r="O1779" i="1"/>
  <c r="N1779" i="1"/>
  <c r="M1779" i="1"/>
  <c r="P1778" i="1"/>
  <c r="O1778" i="1"/>
  <c r="N1778" i="1"/>
  <c r="M1778" i="1"/>
  <c r="P1777" i="1"/>
  <c r="O1777" i="1"/>
  <c r="N1777" i="1"/>
  <c r="M1777" i="1"/>
  <c r="P1776" i="1"/>
  <c r="O1776" i="1"/>
  <c r="N1776" i="1"/>
  <c r="M1776" i="1"/>
  <c r="P1775" i="1"/>
  <c r="O1775" i="1"/>
  <c r="N1775" i="1"/>
  <c r="M1775" i="1"/>
  <c r="P1774" i="1"/>
  <c r="O1774" i="1"/>
  <c r="N1774" i="1"/>
  <c r="M1774" i="1"/>
  <c r="P1773" i="1"/>
  <c r="O1773" i="1"/>
  <c r="N1773" i="1"/>
  <c r="M1773" i="1"/>
  <c r="P1772" i="1"/>
  <c r="O1772" i="1"/>
  <c r="N1772" i="1"/>
  <c r="M1772" i="1"/>
  <c r="P1771" i="1"/>
  <c r="O1771" i="1"/>
  <c r="N1771" i="1"/>
  <c r="M1771" i="1"/>
  <c r="P1770" i="1"/>
  <c r="O1770" i="1"/>
  <c r="N1770" i="1"/>
  <c r="M1770" i="1"/>
  <c r="P1769" i="1"/>
  <c r="O1769" i="1"/>
  <c r="N1769" i="1"/>
  <c r="M1769" i="1"/>
  <c r="P1768" i="1"/>
  <c r="O1768" i="1"/>
  <c r="N1768" i="1"/>
  <c r="M1768" i="1"/>
  <c r="P1767" i="1"/>
  <c r="O1767" i="1"/>
  <c r="N1767" i="1"/>
  <c r="M1767" i="1"/>
  <c r="P1766" i="1"/>
  <c r="O1766" i="1"/>
  <c r="N1766" i="1"/>
  <c r="M1766" i="1"/>
  <c r="P1765" i="1"/>
  <c r="O1765" i="1"/>
  <c r="N1765" i="1"/>
  <c r="M1765" i="1"/>
  <c r="P1764" i="1"/>
  <c r="O1764" i="1"/>
  <c r="N1764" i="1"/>
  <c r="M1764" i="1"/>
  <c r="P1763" i="1"/>
  <c r="O1763" i="1"/>
  <c r="N1763" i="1"/>
  <c r="M1763" i="1"/>
  <c r="P1762" i="1"/>
  <c r="O1762" i="1"/>
  <c r="N1762" i="1"/>
  <c r="M1762" i="1"/>
  <c r="P1761" i="1"/>
  <c r="O1761" i="1"/>
  <c r="N1761" i="1"/>
  <c r="M1761" i="1"/>
  <c r="P1760" i="1"/>
  <c r="O1760" i="1"/>
  <c r="N1760" i="1"/>
  <c r="M1760" i="1"/>
  <c r="P1759" i="1"/>
  <c r="O1759" i="1"/>
  <c r="N1759" i="1"/>
  <c r="M1759" i="1"/>
  <c r="P1758" i="1"/>
  <c r="O1758" i="1"/>
  <c r="N1758" i="1"/>
  <c r="M1758" i="1"/>
  <c r="P1757" i="1"/>
  <c r="O1757" i="1"/>
  <c r="N1757" i="1"/>
  <c r="M1757" i="1"/>
  <c r="P1756" i="1"/>
  <c r="O1756" i="1"/>
  <c r="N1756" i="1"/>
  <c r="M1756" i="1"/>
  <c r="P1755" i="1"/>
  <c r="O1755" i="1"/>
  <c r="N1755" i="1"/>
  <c r="M1755" i="1"/>
  <c r="P1754" i="1"/>
  <c r="O1754" i="1"/>
  <c r="N1754" i="1"/>
  <c r="M1754" i="1"/>
  <c r="P1753" i="1"/>
  <c r="O1753" i="1"/>
  <c r="N1753" i="1"/>
  <c r="M1753" i="1"/>
  <c r="P1752" i="1"/>
  <c r="O1752" i="1"/>
  <c r="N1752" i="1"/>
  <c r="M1752" i="1"/>
  <c r="P1751" i="1"/>
  <c r="O1751" i="1"/>
  <c r="N1751" i="1"/>
  <c r="M1751" i="1"/>
  <c r="P1750" i="1"/>
  <c r="O1750" i="1"/>
  <c r="N1750" i="1"/>
  <c r="M1750" i="1"/>
  <c r="P1749" i="1"/>
  <c r="O1749" i="1"/>
  <c r="N1749" i="1"/>
  <c r="M1749" i="1"/>
  <c r="P1748" i="1"/>
  <c r="O1748" i="1"/>
  <c r="N1748" i="1"/>
  <c r="M1748" i="1"/>
  <c r="P1747" i="1"/>
  <c r="O1747" i="1"/>
  <c r="N1747" i="1"/>
  <c r="M1747" i="1"/>
  <c r="P1746" i="1"/>
  <c r="O1746" i="1"/>
  <c r="N1746" i="1"/>
  <c r="M1746" i="1"/>
  <c r="P1745" i="1"/>
  <c r="O1745" i="1"/>
  <c r="N1745" i="1"/>
  <c r="M1745" i="1"/>
  <c r="P1744" i="1"/>
  <c r="O1744" i="1"/>
  <c r="N1744" i="1"/>
  <c r="M1744" i="1"/>
  <c r="P1743" i="1"/>
  <c r="O1743" i="1"/>
  <c r="N1743" i="1"/>
  <c r="M1743" i="1"/>
  <c r="P1742" i="1"/>
  <c r="O1742" i="1"/>
  <c r="N1742" i="1"/>
  <c r="M1742" i="1"/>
  <c r="P1741" i="1"/>
  <c r="O1741" i="1"/>
  <c r="N1741" i="1"/>
  <c r="M1741" i="1"/>
  <c r="P1740" i="1"/>
  <c r="O1740" i="1"/>
  <c r="N1740" i="1"/>
  <c r="M1740" i="1"/>
  <c r="P1739" i="1"/>
  <c r="O1739" i="1"/>
  <c r="N1739" i="1"/>
  <c r="M1739" i="1"/>
  <c r="P1738" i="1"/>
  <c r="O1738" i="1"/>
  <c r="N1738" i="1"/>
  <c r="M1738" i="1"/>
  <c r="P1737" i="1"/>
  <c r="O1737" i="1"/>
  <c r="N1737" i="1"/>
  <c r="M1737" i="1"/>
  <c r="P1736" i="1"/>
  <c r="O1736" i="1"/>
  <c r="N1736" i="1"/>
  <c r="M1736" i="1"/>
  <c r="P1735" i="1"/>
  <c r="O1735" i="1"/>
  <c r="N1735" i="1"/>
  <c r="M1735" i="1"/>
  <c r="P1734" i="1"/>
  <c r="O1734" i="1"/>
  <c r="N1734" i="1"/>
  <c r="M1734" i="1"/>
  <c r="P1733" i="1"/>
  <c r="O1733" i="1"/>
  <c r="N1733" i="1"/>
  <c r="M1733" i="1"/>
  <c r="P1732" i="1"/>
  <c r="O1732" i="1"/>
  <c r="N1732" i="1"/>
  <c r="M1732" i="1"/>
  <c r="P1731" i="1"/>
  <c r="O1731" i="1"/>
  <c r="N1731" i="1"/>
  <c r="M1731" i="1"/>
  <c r="P1730" i="1"/>
  <c r="O1730" i="1"/>
  <c r="N1730" i="1"/>
  <c r="M1730" i="1"/>
  <c r="P1729" i="1"/>
  <c r="O1729" i="1"/>
  <c r="N1729" i="1"/>
  <c r="M1729" i="1"/>
  <c r="P1728" i="1"/>
  <c r="O1728" i="1"/>
  <c r="N1728" i="1"/>
  <c r="M1728" i="1"/>
  <c r="P1727" i="1"/>
  <c r="O1727" i="1"/>
  <c r="N1727" i="1"/>
  <c r="M1727" i="1"/>
  <c r="P1726" i="1"/>
  <c r="O1726" i="1"/>
  <c r="N1726" i="1"/>
  <c r="M1726" i="1"/>
  <c r="P1725" i="1"/>
  <c r="O1725" i="1"/>
  <c r="N1725" i="1"/>
  <c r="M1725" i="1"/>
  <c r="P1724" i="1"/>
  <c r="O1724" i="1"/>
  <c r="N1724" i="1"/>
  <c r="M1724" i="1"/>
  <c r="P1723" i="1"/>
  <c r="O1723" i="1"/>
  <c r="N1723" i="1"/>
  <c r="M1723" i="1"/>
  <c r="P1722" i="1"/>
  <c r="O1722" i="1"/>
  <c r="N1722" i="1"/>
  <c r="M1722" i="1"/>
  <c r="P1721" i="1"/>
  <c r="O1721" i="1"/>
  <c r="N1721" i="1"/>
  <c r="M1721" i="1"/>
  <c r="P1720" i="1"/>
  <c r="O1720" i="1"/>
  <c r="N1720" i="1"/>
  <c r="M1720" i="1"/>
  <c r="P1719" i="1"/>
  <c r="O1719" i="1"/>
  <c r="N1719" i="1"/>
  <c r="M1719" i="1"/>
  <c r="P1718" i="1"/>
  <c r="O1718" i="1"/>
  <c r="N1718" i="1"/>
  <c r="M1718" i="1"/>
  <c r="P1717" i="1"/>
  <c r="O1717" i="1"/>
  <c r="N1717" i="1"/>
  <c r="M1717" i="1"/>
  <c r="P1716" i="1"/>
  <c r="O1716" i="1"/>
  <c r="N1716" i="1"/>
  <c r="M1716" i="1"/>
  <c r="P1715" i="1"/>
  <c r="O1715" i="1"/>
  <c r="N1715" i="1"/>
  <c r="M1715" i="1"/>
  <c r="P1714" i="1"/>
  <c r="O1714" i="1"/>
  <c r="N1714" i="1"/>
  <c r="M1714" i="1"/>
  <c r="P1713" i="1"/>
  <c r="O1713" i="1"/>
  <c r="N1713" i="1"/>
  <c r="M1713" i="1"/>
  <c r="P1712" i="1"/>
  <c r="O1712" i="1"/>
  <c r="N1712" i="1"/>
  <c r="M1712" i="1"/>
  <c r="P1711" i="1"/>
  <c r="O1711" i="1"/>
  <c r="N1711" i="1"/>
  <c r="M1711" i="1"/>
  <c r="P1710" i="1"/>
  <c r="O1710" i="1"/>
  <c r="N1710" i="1"/>
  <c r="M1710" i="1"/>
  <c r="P1709" i="1"/>
  <c r="O1709" i="1"/>
  <c r="N1709" i="1"/>
  <c r="M1709" i="1"/>
  <c r="P1708" i="1"/>
  <c r="O1708" i="1"/>
  <c r="N1708" i="1"/>
  <c r="M1708" i="1"/>
  <c r="P1707" i="1"/>
  <c r="O1707" i="1"/>
  <c r="N1707" i="1"/>
  <c r="M1707" i="1"/>
  <c r="P1706" i="1"/>
  <c r="O1706" i="1"/>
  <c r="N1706" i="1"/>
  <c r="M1706" i="1"/>
  <c r="P1705" i="1"/>
  <c r="O1705" i="1"/>
  <c r="N1705" i="1"/>
  <c r="M1705" i="1"/>
  <c r="P1704" i="1"/>
  <c r="O1704" i="1"/>
  <c r="N1704" i="1"/>
  <c r="M1704" i="1"/>
  <c r="P1703" i="1"/>
  <c r="O1703" i="1"/>
  <c r="N1703" i="1"/>
  <c r="M1703" i="1"/>
  <c r="P1702" i="1"/>
  <c r="O1702" i="1"/>
  <c r="N1702" i="1"/>
  <c r="M1702" i="1"/>
  <c r="P1701" i="1"/>
  <c r="O1701" i="1"/>
  <c r="N1701" i="1"/>
  <c r="M1701" i="1"/>
  <c r="P1700" i="1"/>
  <c r="O1700" i="1"/>
  <c r="N1700" i="1"/>
  <c r="M1700" i="1"/>
  <c r="P1699" i="1"/>
  <c r="O1699" i="1"/>
  <c r="N1699" i="1"/>
  <c r="M1699" i="1"/>
  <c r="P1698" i="1"/>
  <c r="O1698" i="1"/>
  <c r="N1698" i="1"/>
  <c r="M1698" i="1"/>
  <c r="P1697" i="1"/>
  <c r="O1697" i="1"/>
  <c r="N1697" i="1"/>
  <c r="M1697" i="1"/>
  <c r="P1696" i="1"/>
  <c r="O1696" i="1"/>
  <c r="N1696" i="1"/>
  <c r="M1696" i="1"/>
  <c r="P1695" i="1"/>
  <c r="O1695" i="1"/>
  <c r="N1695" i="1"/>
  <c r="M1695" i="1"/>
  <c r="P1694" i="1"/>
  <c r="O1694" i="1"/>
  <c r="N1694" i="1"/>
  <c r="M1694" i="1"/>
  <c r="P1693" i="1"/>
  <c r="O1693" i="1"/>
  <c r="N1693" i="1"/>
  <c r="M1693" i="1"/>
  <c r="P1692" i="1"/>
  <c r="O1692" i="1"/>
  <c r="N1692" i="1"/>
  <c r="M1692" i="1"/>
  <c r="P1691" i="1"/>
  <c r="O1691" i="1"/>
  <c r="N1691" i="1"/>
  <c r="M1691" i="1"/>
  <c r="P1690" i="1"/>
  <c r="O1690" i="1"/>
  <c r="N1690" i="1"/>
  <c r="M1690" i="1"/>
  <c r="P1689" i="1"/>
  <c r="O1689" i="1"/>
  <c r="N1689" i="1"/>
  <c r="M1689" i="1"/>
  <c r="P1688" i="1"/>
  <c r="O1688" i="1"/>
  <c r="N1688" i="1"/>
  <c r="M1688" i="1"/>
  <c r="P1687" i="1"/>
  <c r="O1687" i="1"/>
  <c r="N1687" i="1"/>
  <c r="M1687" i="1"/>
  <c r="P1686" i="1"/>
  <c r="O1686" i="1"/>
  <c r="N1686" i="1"/>
  <c r="M1686" i="1"/>
  <c r="P1685" i="1"/>
  <c r="O1685" i="1"/>
  <c r="N1685" i="1"/>
  <c r="M1685" i="1"/>
  <c r="P1684" i="1"/>
  <c r="O1684" i="1"/>
  <c r="N1684" i="1"/>
  <c r="M1684" i="1"/>
  <c r="P1683" i="1"/>
  <c r="O1683" i="1"/>
  <c r="N1683" i="1"/>
  <c r="M1683" i="1"/>
  <c r="P1682" i="1"/>
  <c r="O1682" i="1"/>
  <c r="N1682" i="1"/>
  <c r="M1682" i="1"/>
  <c r="P1681" i="1"/>
  <c r="O1681" i="1"/>
  <c r="N1681" i="1"/>
  <c r="M1681" i="1"/>
  <c r="P1680" i="1"/>
  <c r="O1680" i="1"/>
  <c r="N1680" i="1"/>
  <c r="M1680" i="1"/>
  <c r="P1679" i="1"/>
  <c r="O1679" i="1"/>
  <c r="N1679" i="1"/>
  <c r="M1679" i="1"/>
  <c r="P1678" i="1"/>
  <c r="O1678" i="1"/>
  <c r="N1678" i="1"/>
  <c r="M1678" i="1"/>
  <c r="P1677" i="1"/>
  <c r="O1677" i="1"/>
  <c r="N1677" i="1"/>
  <c r="M1677" i="1"/>
  <c r="P1676" i="1"/>
  <c r="O1676" i="1"/>
  <c r="N1676" i="1"/>
  <c r="M1676" i="1"/>
  <c r="P1675" i="1"/>
  <c r="O1675" i="1"/>
  <c r="N1675" i="1"/>
  <c r="M1675" i="1"/>
  <c r="P1674" i="1"/>
  <c r="O1674" i="1"/>
  <c r="N1674" i="1"/>
  <c r="M1674" i="1"/>
  <c r="P1673" i="1"/>
  <c r="O1673" i="1"/>
  <c r="N1673" i="1"/>
  <c r="M1673" i="1"/>
  <c r="P1672" i="1"/>
  <c r="O1672" i="1"/>
  <c r="N1672" i="1"/>
  <c r="M1672" i="1"/>
  <c r="P1671" i="1"/>
  <c r="O1671" i="1"/>
  <c r="N1671" i="1"/>
  <c r="M1671" i="1"/>
  <c r="P1670" i="1"/>
  <c r="O1670" i="1"/>
  <c r="N1670" i="1"/>
  <c r="M1670" i="1"/>
  <c r="P1669" i="1"/>
  <c r="O1669" i="1"/>
  <c r="N1669" i="1"/>
  <c r="M1669" i="1"/>
  <c r="P1668" i="1"/>
  <c r="O1668" i="1"/>
  <c r="N1668" i="1"/>
  <c r="M1668" i="1"/>
  <c r="P1667" i="1"/>
  <c r="O1667" i="1"/>
  <c r="N1667" i="1"/>
  <c r="M1667" i="1"/>
  <c r="P1666" i="1"/>
  <c r="O1666" i="1"/>
  <c r="N1666" i="1"/>
  <c r="M1666" i="1"/>
  <c r="P1665" i="1"/>
  <c r="O1665" i="1"/>
  <c r="N1665" i="1"/>
  <c r="M1665" i="1"/>
  <c r="P1664" i="1"/>
  <c r="O1664" i="1"/>
  <c r="N1664" i="1"/>
  <c r="M1664" i="1"/>
  <c r="P1663" i="1"/>
  <c r="O1663" i="1"/>
  <c r="N1663" i="1"/>
  <c r="M1663" i="1"/>
  <c r="P1662" i="1"/>
  <c r="O1662" i="1"/>
  <c r="N1662" i="1"/>
  <c r="M1662" i="1"/>
  <c r="P1661" i="1"/>
  <c r="O1661" i="1"/>
  <c r="N1661" i="1"/>
  <c r="M1661" i="1"/>
  <c r="P1660" i="1"/>
  <c r="O1660" i="1"/>
  <c r="N1660" i="1"/>
  <c r="M1660" i="1"/>
  <c r="P1659" i="1"/>
  <c r="O1659" i="1"/>
  <c r="N1659" i="1"/>
  <c r="M1659" i="1"/>
  <c r="P1658" i="1"/>
  <c r="O1658" i="1"/>
  <c r="N1658" i="1"/>
  <c r="M1658" i="1"/>
  <c r="P1657" i="1"/>
  <c r="O1657" i="1"/>
  <c r="N1657" i="1"/>
  <c r="M1657" i="1"/>
  <c r="P1656" i="1"/>
  <c r="O1656" i="1"/>
  <c r="N1656" i="1"/>
  <c r="M1656" i="1"/>
  <c r="P1655" i="1"/>
  <c r="O1655" i="1"/>
  <c r="N1655" i="1"/>
  <c r="M1655" i="1"/>
  <c r="P1654" i="1"/>
  <c r="O1654" i="1"/>
  <c r="N1654" i="1"/>
  <c r="M1654" i="1"/>
  <c r="P1653" i="1"/>
  <c r="O1653" i="1"/>
  <c r="N1653" i="1"/>
  <c r="M1653" i="1"/>
  <c r="P1652" i="1"/>
  <c r="O1652" i="1"/>
  <c r="N1652" i="1"/>
  <c r="M1652" i="1"/>
  <c r="P1651" i="1"/>
  <c r="O1651" i="1"/>
  <c r="N1651" i="1"/>
  <c r="M1651" i="1"/>
  <c r="P1650" i="1"/>
  <c r="O1650" i="1"/>
  <c r="N1650" i="1"/>
  <c r="M1650" i="1"/>
  <c r="P1649" i="1"/>
  <c r="O1649" i="1"/>
  <c r="N1649" i="1"/>
  <c r="M1649" i="1"/>
  <c r="P1648" i="1"/>
  <c r="O1648" i="1"/>
  <c r="N1648" i="1"/>
  <c r="M1648" i="1"/>
  <c r="P1647" i="1"/>
  <c r="O1647" i="1"/>
  <c r="N1647" i="1"/>
  <c r="M1647" i="1"/>
  <c r="P1646" i="1"/>
  <c r="O1646" i="1"/>
  <c r="N1646" i="1"/>
  <c r="M1646" i="1"/>
  <c r="P1645" i="1"/>
  <c r="O1645" i="1"/>
  <c r="N1645" i="1"/>
  <c r="M1645" i="1"/>
  <c r="P1644" i="1"/>
  <c r="O1644" i="1"/>
  <c r="N1644" i="1"/>
  <c r="M1644" i="1"/>
  <c r="P1643" i="1"/>
  <c r="O1643" i="1"/>
  <c r="N1643" i="1"/>
  <c r="M1643" i="1"/>
  <c r="P1642" i="1"/>
  <c r="O1642" i="1"/>
  <c r="N1642" i="1"/>
  <c r="M1642" i="1"/>
  <c r="P1641" i="1"/>
  <c r="O1641" i="1"/>
  <c r="N1641" i="1"/>
  <c r="M1641" i="1"/>
  <c r="P1640" i="1"/>
  <c r="O1640" i="1"/>
  <c r="N1640" i="1"/>
  <c r="M1640" i="1"/>
  <c r="P1639" i="1"/>
  <c r="O1639" i="1"/>
  <c r="N1639" i="1"/>
  <c r="M1639" i="1"/>
  <c r="P1638" i="1"/>
  <c r="O1638" i="1"/>
  <c r="N1638" i="1"/>
  <c r="M1638" i="1"/>
  <c r="P1637" i="1"/>
  <c r="O1637" i="1"/>
  <c r="N1637" i="1"/>
  <c r="M1637" i="1"/>
  <c r="P1636" i="1"/>
  <c r="O1636" i="1"/>
  <c r="N1636" i="1"/>
  <c r="M1636" i="1"/>
  <c r="P1635" i="1"/>
  <c r="O1635" i="1"/>
  <c r="N1635" i="1"/>
  <c r="M1635" i="1"/>
  <c r="P1634" i="1"/>
  <c r="O1634" i="1"/>
  <c r="N1634" i="1"/>
  <c r="M1634" i="1"/>
  <c r="P1633" i="1"/>
  <c r="O1633" i="1"/>
  <c r="N1633" i="1"/>
  <c r="M1633" i="1"/>
  <c r="P1632" i="1"/>
  <c r="O1632" i="1"/>
  <c r="N1632" i="1"/>
  <c r="M1632" i="1"/>
  <c r="P1631" i="1"/>
  <c r="O1631" i="1"/>
  <c r="N1631" i="1"/>
  <c r="M1631" i="1"/>
  <c r="P1630" i="1"/>
  <c r="O1630" i="1"/>
  <c r="N1630" i="1"/>
  <c r="M1630" i="1"/>
  <c r="P1629" i="1"/>
  <c r="O1629" i="1"/>
  <c r="N1629" i="1"/>
  <c r="M1629" i="1"/>
  <c r="P1628" i="1"/>
  <c r="O1628" i="1"/>
  <c r="N1628" i="1"/>
  <c r="M1628" i="1"/>
  <c r="P1627" i="1"/>
  <c r="O1627" i="1"/>
  <c r="N1627" i="1"/>
  <c r="M1627" i="1"/>
  <c r="P1626" i="1"/>
  <c r="O1626" i="1"/>
  <c r="N1626" i="1"/>
  <c r="M1626" i="1"/>
  <c r="P1625" i="1"/>
  <c r="O1625" i="1"/>
  <c r="N1625" i="1"/>
  <c r="M1625" i="1"/>
  <c r="P1624" i="1"/>
  <c r="O1624" i="1"/>
  <c r="N1624" i="1"/>
  <c r="M1624" i="1"/>
  <c r="P1623" i="1"/>
  <c r="O1623" i="1"/>
  <c r="N1623" i="1"/>
  <c r="M1623" i="1"/>
  <c r="P1622" i="1"/>
  <c r="O1622" i="1"/>
  <c r="N1622" i="1"/>
  <c r="M1622" i="1"/>
  <c r="P1621" i="1"/>
  <c r="O1621" i="1"/>
  <c r="N1621" i="1"/>
  <c r="M1621" i="1"/>
  <c r="P1620" i="1"/>
  <c r="O1620" i="1"/>
  <c r="N1620" i="1"/>
  <c r="M1620" i="1"/>
  <c r="P1619" i="1"/>
  <c r="O1619" i="1"/>
  <c r="N1619" i="1"/>
  <c r="M1619" i="1"/>
  <c r="P1618" i="1"/>
  <c r="O1618" i="1"/>
  <c r="N1618" i="1"/>
  <c r="M1618" i="1"/>
  <c r="P1617" i="1"/>
  <c r="O1617" i="1"/>
  <c r="N1617" i="1"/>
  <c r="M1617" i="1"/>
  <c r="P1616" i="1"/>
  <c r="O1616" i="1"/>
  <c r="N1616" i="1"/>
  <c r="M1616" i="1"/>
  <c r="P1615" i="1"/>
  <c r="O1615" i="1"/>
  <c r="N1615" i="1"/>
  <c r="M1615" i="1"/>
  <c r="P1614" i="1"/>
  <c r="O1614" i="1"/>
  <c r="N1614" i="1"/>
  <c r="M1614" i="1"/>
  <c r="P1613" i="1"/>
  <c r="O1613" i="1"/>
  <c r="N1613" i="1"/>
  <c r="M1613" i="1"/>
  <c r="P1612" i="1"/>
  <c r="O1612" i="1"/>
  <c r="N1612" i="1"/>
  <c r="M1612" i="1"/>
  <c r="P1611" i="1"/>
  <c r="O1611" i="1"/>
  <c r="N1611" i="1"/>
  <c r="M1611" i="1"/>
  <c r="P1610" i="1"/>
  <c r="O1610" i="1"/>
  <c r="N1610" i="1"/>
  <c r="M1610" i="1"/>
  <c r="P1609" i="1"/>
  <c r="O1609" i="1"/>
  <c r="N1609" i="1"/>
  <c r="M1609" i="1"/>
  <c r="P1608" i="1"/>
  <c r="O1608" i="1"/>
  <c r="N1608" i="1"/>
  <c r="M1608" i="1"/>
  <c r="P1607" i="1"/>
  <c r="O1607" i="1"/>
  <c r="N1607" i="1"/>
  <c r="M1607" i="1"/>
  <c r="P1606" i="1"/>
  <c r="O1606" i="1"/>
  <c r="N1606" i="1"/>
  <c r="M1606" i="1"/>
  <c r="P1605" i="1"/>
  <c r="O1605" i="1"/>
  <c r="N1605" i="1"/>
  <c r="M1605" i="1"/>
  <c r="P1604" i="1"/>
  <c r="O1604" i="1"/>
  <c r="N1604" i="1"/>
  <c r="M1604" i="1"/>
  <c r="P1603" i="1"/>
  <c r="O1603" i="1"/>
  <c r="N1603" i="1"/>
  <c r="M1603" i="1"/>
  <c r="P1602" i="1"/>
  <c r="O1602" i="1"/>
  <c r="N1602" i="1"/>
  <c r="M1602" i="1"/>
  <c r="P1601" i="1"/>
  <c r="O1601" i="1"/>
  <c r="N1601" i="1"/>
  <c r="M1601" i="1"/>
  <c r="P1600" i="1"/>
  <c r="O1600" i="1"/>
  <c r="N1600" i="1"/>
  <c r="M1600" i="1"/>
  <c r="P1599" i="1"/>
  <c r="O1599" i="1"/>
  <c r="N1599" i="1"/>
  <c r="M1599" i="1"/>
  <c r="P1598" i="1"/>
  <c r="O1598" i="1"/>
  <c r="N1598" i="1"/>
  <c r="M1598" i="1"/>
  <c r="P1597" i="1"/>
  <c r="O1597" i="1"/>
  <c r="N1597" i="1"/>
  <c r="M1597" i="1"/>
  <c r="P1596" i="1"/>
  <c r="O1596" i="1"/>
  <c r="N1596" i="1"/>
  <c r="M1596" i="1"/>
  <c r="P1595" i="1"/>
  <c r="O1595" i="1"/>
  <c r="N1595" i="1"/>
  <c r="M1595" i="1"/>
  <c r="P1594" i="1"/>
  <c r="O1594" i="1"/>
  <c r="N1594" i="1"/>
  <c r="M1594" i="1"/>
  <c r="P1593" i="1"/>
  <c r="O1593" i="1"/>
  <c r="N1593" i="1"/>
  <c r="M1593" i="1"/>
  <c r="P1592" i="1"/>
  <c r="O1592" i="1"/>
  <c r="N1592" i="1"/>
  <c r="M1592" i="1"/>
  <c r="P1591" i="1"/>
  <c r="O1591" i="1"/>
  <c r="N1591" i="1"/>
  <c r="M1591" i="1"/>
  <c r="P1590" i="1"/>
  <c r="O1590" i="1"/>
  <c r="N1590" i="1"/>
  <c r="M1590" i="1"/>
  <c r="P1589" i="1"/>
  <c r="O1589" i="1"/>
  <c r="N1589" i="1"/>
  <c r="M1589" i="1"/>
  <c r="P1588" i="1"/>
  <c r="O1588" i="1"/>
  <c r="N1588" i="1"/>
  <c r="M1588" i="1"/>
  <c r="P1587" i="1"/>
  <c r="O1587" i="1"/>
  <c r="N1587" i="1"/>
  <c r="M1587" i="1"/>
  <c r="P1586" i="1"/>
  <c r="O1586" i="1"/>
  <c r="N1586" i="1"/>
  <c r="M1586" i="1"/>
  <c r="P1585" i="1"/>
  <c r="O1585" i="1"/>
  <c r="N1585" i="1"/>
  <c r="M1585" i="1"/>
  <c r="P1584" i="1"/>
  <c r="O1584" i="1"/>
  <c r="N1584" i="1"/>
  <c r="M1584" i="1"/>
  <c r="P1583" i="1"/>
  <c r="O1583" i="1"/>
  <c r="N1583" i="1"/>
  <c r="M1583" i="1"/>
  <c r="P1582" i="1"/>
  <c r="O1582" i="1"/>
  <c r="N1582" i="1"/>
  <c r="M1582" i="1"/>
  <c r="P1581" i="1"/>
  <c r="O1581" i="1"/>
  <c r="N1581" i="1"/>
  <c r="M1581" i="1"/>
  <c r="P1580" i="1"/>
  <c r="O1580" i="1"/>
  <c r="N1580" i="1"/>
  <c r="M1580" i="1"/>
  <c r="P1579" i="1"/>
  <c r="O1579" i="1"/>
  <c r="N1579" i="1"/>
  <c r="M1579" i="1"/>
  <c r="P1578" i="1"/>
  <c r="O1578" i="1"/>
  <c r="N1578" i="1"/>
  <c r="M1578" i="1"/>
  <c r="P1577" i="1"/>
  <c r="O1577" i="1"/>
  <c r="N1577" i="1"/>
  <c r="M1577" i="1"/>
  <c r="P1576" i="1"/>
  <c r="O1576" i="1"/>
  <c r="N1576" i="1"/>
  <c r="M1576" i="1"/>
  <c r="P1575" i="1"/>
  <c r="O1575" i="1"/>
  <c r="N1575" i="1"/>
  <c r="M1575" i="1"/>
  <c r="P1574" i="1"/>
  <c r="O1574" i="1"/>
  <c r="N1574" i="1"/>
  <c r="M1574" i="1"/>
  <c r="P1573" i="1"/>
  <c r="O1573" i="1"/>
  <c r="N1573" i="1"/>
  <c r="M1573" i="1"/>
  <c r="P1572" i="1"/>
  <c r="O1572" i="1"/>
  <c r="N1572" i="1"/>
  <c r="M1572" i="1"/>
  <c r="P1571" i="1"/>
  <c r="O1571" i="1"/>
  <c r="N1571" i="1"/>
  <c r="M1571" i="1"/>
  <c r="P1570" i="1"/>
  <c r="O1570" i="1"/>
  <c r="N1570" i="1"/>
  <c r="M1570" i="1"/>
  <c r="P1569" i="1"/>
  <c r="O1569" i="1"/>
  <c r="N1569" i="1"/>
  <c r="M1569" i="1"/>
  <c r="P1568" i="1"/>
  <c r="O1568" i="1"/>
  <c r="N1568" i="1"/>
  <c r="M1568" i="1"/>
  <c r="P1567" i="1"/>
  <c r="O1567" i="1"/>
  <c r="N1567" i="1"/>
  <c r="M1567" i="1"/>
  <c r="P1566" i="1"/>
  <c r="O1566" i="1"/>
  <c r="N1566" i="1"/>
  <c r="M1566" i="1"/>
  <c r="P1565" i="1"/>
  <c r="O1565" i="1"/>
  <c r="N1565" i="1"/>
  <c r="M1565" i="1"/>
  <c r="P1564" i="1"/>
  <c r="O1564" i="1"/>
  <c r="N1564" i="1"/>
  <c r="M1564" i="1"/>
  <c r="P1563" i="1"/>
  <c r="O1563" i="1"/>
  <c r="N1563" i="1"/>
  <c r="M1563" i="1"/>
  <c r="P1562" i="1"/>
  <c r="O1562" i="1"/>
  <c r="N1562" i="1"/>
  <c r="M1562" i="1"/>
  <c r="P1561" i="1"/>
  <c r="O1561" i="1"/>
  <c r="N1561" i="1"/>
  <c r="M1561" i="1"/>
  <c r="P1560" i="1"/>
  <c r="O1560" i="1"/>
  <c r="N1560" i="1"/>
  <c r="M1560" i="1"/>
  <c r="P1559" i="1"/>
  <c r="O1559" i="1"/>
  <c r="N1559" i="1"/>
  <c r="M1559" i="1"/>
  <c r="P1558" i="1"/>
  <c r="O1558" i="1"/>
  <c r="N1558" i="1"/>
  <c r="M1558" i="1"/>
  <c r="P1557" i="1"/>
  <c r="O1557" i="1"/>
  <c r="N1557" i="1"/>
  <c r="M1557" i="1"/>
  <c r="P1556" i="1"/>
  <c r="O1556" i="1"/>
  <c r="N1556" i="1"/>
  <c r="M1556" i="1"/>
  <c r="P1555" i="1"/>
  <c r="O1555" i="1"/>
  <c r="N1555" i="1"/>
  <c r="M1555" i="1"/>
  <c r="P1554" i="1"/>
  <c r="O1554" i="1"/>
  <c r="N1554" i="1"/>
  <c r="M1554" i="1"/>
  <c r="P1553" i="1"/>
  <c r="O1553" i="1"/>
  <c r="N1553" i="1"/>
  <c r="M1553" i="1"/>
  <c r="P1552" i="1"/>
  <c r="O1552" i="1"/>
  <c r="N1552" i="1"/>
  <c r="M1552" i="1"/>
  <c r="P1551" i="1"/>
  <c r="O1551" i="1"/>
  <c r="N1551" i="1"/>
  <c r="M1551" i="1"/>
  <c r="P1550" i="1"/>
  <c r="O1550" i="1"/>
  <c r="N1550" i="1"/>
  <c r="M1550" i="1"/>
  <c r="P1549" i="1"/>
  <c r="O1549" i="1"/>
  <c r="N1549" i="1"/>
  <c r="M1549" i="1"/>
  <c r="P1548" i="1"/>
  <c r="O1548" i="1"/>
  <c r="N1548" i="1"/>
  <c r="M1548" i="1"/>
  <c r="P1547" i="1"/>
  <c r="O1547" i="1"/>
  <c r="N1547" i="1"/>
  <c r="M1547" i="1"/>
  <c r="P1546" i="1"/>
  <c r="O1546" i="1"/>
  <c r="N1546" i="1"/>
  <c r="M1546" i="1"/>
  <c r="P1545" i="1"/>
  <c r="O1545" i="1"/>
  <c r="N1545" i="1"/>
  <c r="M1545" i="1"/>
  <c r="P1544" i="1"/>
  <c r="O1544" i="1"/>
  <c r="N1544" i="1"/>
  <c r="M1544" i="1"/>
  <c r="P1543" i="1"/>
  <c r="O1543" i="1"/>
  <c r="N1543" i="1"/>
  <c r="M1543" i="1"/>
  <c r="P1542" i="1"/>
  <c r="O1542" i="1"/>
  <c r="N1542" i="1"/>
  <c r="M1542" i="1"/>
  <c r="P1541" i="1"/>
  <c r="O1541" i="1"/>
  <c r="N1541" i="1"/>
  <c r="M1541" i="1"/>
  <c r="P1540" i="1"/>
  <c r="O1540" i="1"/>
  <c r="N1540" i="1"/>
  <c r="M1540" i="1"/>
  <c r="P1539" i="1"/>
  <c r="O1539" i="1"/>
  <c r="N1539" i="1"/>
  <c r="M1539" i="1"/>
  <c r="P1538" i="1"/>
  <c r="O1538" i="1"/>
  <c r="N1538" i="1"/>
  <c r="M1538" i="1"/>
  <c r="P1537" i="1"/>
  <c r="O1537" i="1"/>
  <c r="N1537" i="1"/>
  <c r="M1537" i="1"/>
  <c r="P1536" i="1"/>
  <c r="O1536" i="1"/>
  <c r="N1536" i="1"/>
  <c r="M1536" i="1"/>
  <c r="P1535" i="1"/>
  <c r="O1535" i="1"/>
  <c r="N1535" i="1"/>
  <c r="M1535" i="1"/>
  <c r="P1534" i="1"/>
  <c r="O1534" i="1"/>
  <c r="N1534" i="1"/>
  <c r="M1534" i="1"/>
  <c r="P1533" i="1"/>
  <c r="O1533" i="1"/>
  <c r="N1533" i="1"/>
  <c r="M1533" i="1"/>
  <c r="P1532" i="1"/>
  <c r="O1532" i="1"/>
  <c r="N1532" i="1"/>
  <c r="M1532" i="1"/>
  <c r="P1531" i="1"/>
  <c r="O1531" i="1"/>
  <c r="N1531" i="1"/>
  <c r="M1531" i="1"/>
  <c r="P1530" i="1"/>
  <c r="O1530" i="1"/>
  <c r="N1530" i="1"/>
  <c r="M1530" i="1"/>
  <c r="P1529" i="1"/>
  <c r="O1529" i="1"/>
  <c r="N1529" i="1"/>
  <c r="M1529" i="1"/>
  <c r="P1528" i="1"/>
  <c r="O1528" i="1"/>
  <c r="N1528" i="1"/>
  <c r="M1528" i="1"/>
  <c r="P1527" i="1"/>
  <c r="O1527" i="1"/>
  <c r="N1527" i="1"/>
  <c r="M1527" i="1"/>
  <c r="P1526" i="1"/>
  <c r="O1526" i="1"/>
  <c r="N1526" i="1"/>
  <c r="M1526" i="1"/>
  <c r="P1525" i="1"/>
  <c r="O1525" i="1"/>
  <c r="N1525" i="1"/>
  <c r="M1525" i="1"/>
  <c r="P1524" i="1"/>
  <c r="O1524" i="1"/>
  <c r="N1524" i="1"/>
  <c r="M1524" i="1"/>
  <c r="P1523" i="1"/>
  <c r="O1523" i="1"/>
  <c r="N1523" i="1"/>
  <c r="M1523" i="1"/>
  <c r="P1522" i="1"/>
  <c r="O1522" i="1"/>
  <c r="N1522" i="1"/>
  <c r="M1522" i="1"/>
  <c r="P1521" i="1"/>
  <c r="O1521" i="1"/>
  <c r="N1521" i="1"/>
  <c r="M1521" i="1"/>
  <c r="P1520" i="1"/>
  <c r="O1520" i="1"/>
  <c r="N1520" i="1"/>
  <c r="M1520" i="1"/>
  <c r="P1519" i="1"/>
  <c r="O1519" i="1"/>
  <c r="N1519" i="1"/>
  <c r="M1519" i="1"/>
  <c r="P1518" i="1"/>
  <c r="O1518" i="1"/>
  <c r="N1518" i="1"/>
  <c r="M1518" i="1"/>
  <c r="P1517" i="1"/>
  <c r="O1517" i="1"/>
  <c r="N1517" i="1"/>
  <c r="M1517" i="1"/>
  <c r="P1516" i="1"/>
  <c r="O1516" i="1"/>
  <c r="N1516" i="1"/>
  <c r="M1516" i="1"/>
  <c r="P1515" i="1"/>
  <c r="O1515" i="1"/>
  <c r="N1515" i="1"/>
  <c r="M1515" i="1"/>
  <c r="P1514" i="1"/>
  <c r="O1514" i="1"/>
  <c r="N1514" i="1"/>
  <c r="M1514" i="1"/>
  <c r="P1513" i="1"/>
  <c r="O1513" i="1"/>
  <c r="N1513" i="1"/>
  <c r="M1513" i="1"/>
  <c r="P1512" i="1"/>
  <c r="O1512" i="1"/>
  <c r="N1512" i="1"/>
  <c r="M1512" i="1"/>
  <c r="P1511" i="1"/>
  <c r="O1511" i="1"/>
  <c r="N1511" i="1"/>
  <c r="M1511" i="1"/>
  <c r="P1510" i="1"/>
  <c r="O1510" i="1"/>
  <c r="N1510" i="1"/>
  <c r="M1510" i="1"/>
  <c r="P1509" i="1"/>
  <c r="O1509" i="1"/>
  <c r="N1509" i="1"/>
  <c r="M1509" i="1"/>
  <c r="P1508" i="1"/>
  <c r="O1508" i="1"/>
  <c r="N1508" i="1"/>
  <c r="M1508" i="1"/>
  <c r="P1507" i="1"/>
  <c r="O1507" i="1"/>
  <c r="N1507" i="1"/>
  <c r="M1507" i="1"/>
  <c r="P1506" i="1"/>
  <c r="O1506" i="1"/>
  <c r="N1506" i="1"/>
  <c r="M1506" i="1"/>
  <c r="P1505" i="1"/>
  <c r="O1505" i="1"/>
  <c r="N1505" i="1"/>
  <c r="M1505" i="1"/>
  <c r="P1504" i="1"/>
  <c r="O1504" i="1"/>
  <c r="N1504" i="1"/>
  <c r="M1504" i="1"/>
  <c r="P1503" i="1"/>
  <c r="O1503" i="1"/>
  <c r="N1503" i="1"/>
  <c r="M1503" i="1"/>
  <c r="P1502" i="1"/>
  <c r="O1502" i="1"/>
  <c r="N1502" i="1"/>
  <c r="M1502" i="1"/>
  <c r="P1501" i="1"/>
  <c r="O1501" i="1"/>
  <c r="N1501" i="1"/>
  <c r="M1501" i="1"/>
  <c r="P1500" i="1"/>
  <c r="O1500" i="1"/>
  <c r="N1500" i="1"/>
  <c r="M1500" i="1"/>
  <c r="P1499" i="1"/>
  <c r="O1499" i="1"/>
  <c r="N1499" i="1"/>
  <c r="M1499" i="1"/>
  <c r="P1498" i="1"/>
  <c r="O1498" i="1"/>
  <c r="N1498" i="1"/>
  <c r="M1498" i="1"/>
  <c r="P1497" i="1"/>
  <c r="O1497" i="1"/>
  <c r="N1497" i="1"/>
  <c r="M1497" i="1"/>
  <c r="P1496" i="1"/>
  <c r="O1496" i="1"/>
  <c r="N1496" i="1"/>
  <c r="M1496" i="1"/>
  <c r="P1495" i="1"/>
  <c r="O1495" i="1"/>
  <c r="N1495" i="1"/>
  <c r="M1495" i="1"/>
  <c r="P1494" i="1"/>
  <c r="O1494" i="1"/>
  <c r="N1494" i="1"/>
  <c r="M1494" i="1"/>
  <c r="P1493" i="1"/>
  <c r="O1493" i="1"/>
  <c r="N1493" i="1"/>
  <c r="M1493" i="1"/>
  <c r="P1492" i="1"/>
  <c r="O1492" i="1"/>
  <c r="N1492" i="1"/>
  <c r="M1492" i="1"/>
  <c r="P1491" i="1"/>
  <c r="O1491" i="1"/>
  <c r="N1491" i="1"/>
  <c r="M1491" i="1"/>
  <c r="P1490" i="1"/>
  <c r="O1490" i="1"/>
  <c r="N1490" i="1"/>
  <c r="M1490" i="1"/>
  <c r="P1489" i="1"/>
  <c r="O1489" i="1"/>
  <c r="N1489" i="1"/>
  <c r="M1489" i="1"/>
  <c r="P1488" i="1"/>
  <c r="O1488" i="1"/>
  <c r="N1488" i="1"/>
  <c r="M1488" i="1"/>
  <c r="P1487" i="1"/>
  <c r="O1487" i="1"/>
  <c r="N1487" i="1"/>
  <c r="M1487" i="1"/>
  <c r="P1486" i="1"/>
  <c r="O1486" i="1"/>
  <c r="N1486" i="1"/>
  <c r="M1486" i="1"/>
  <c r="P1485" i="1"/>
  <c r="O1485" i="1"/>
  <c r="N1485" i="1"/>
  <c r="M1485" i="1"/>
  <c r="P1484" i="1"/>
  <c r="O1484" i="1"/>
  <c r="N1484" i="1"/>
  <c r="M1484" i="1"/>
  <c r="P1483" i="1"/>
  <c r="O1483" i="1"/>
  <c r="N1483" i="1"/>
  <c r="M1483" i="1"/>
  <c r="P1482" i="1"/>
  <c r="O1482" i="1"/>
  <c r="N1482" i="1"/>
  <c r="M1482" i="1"/>
  <c r="P1481" i="1"/>
  <c r="O1481" i="1"/>
  <c r="N1481" i="1"/>
  <c r="M1481" i="1"/>
  <c r="P1480" i="1"/>
  <c r="O1480" i="1"/>
  <c r="N1480" i="1"/>
  <c r="M1480" i="1"/>
  <c r="P1479" i="1"/>
  <c r="O1479" i="1"/>
  <c r="N1479" i="1"/>
  <c r="M1479" i="1"/>
  <c r="P1478" i="1"/>
  <c r="O1478" i="1"/>
  <c r="N1478" i="1"/>
  <c r="M1478" i="1"/>
  <c r="P1477" i="1"/>
  <c r="O1477" i="1"/>
  <c r="N1477" i="1"/>
  <c r="M1477" i="1"/>
  <c r="P1476" i="1"/>
  <c r="O1476" i="1"/>
  <c r="N1476" i="1"/>
  <c r="M1476" i="1"/>
  <c r="P1475" i="1"/>
  <c r="O1475" i="1"/>
  <c r="N1475" i="1"/>
  <c r="M1475" i="1"/>
  <c r="P1474" i="1"/>
  <c r="O1474" i="1"/>
  <c r="N1474" i="1"/>
  <c r="M1474" i="1"/>
  <c r="P1473" i="1"/>
  <c r="O1473" i="1"/>
  <c r="N1473" i="1"/>
  <c r="M1473" i="1"/>
  <c r="P1472" i="1"/>
  <c r="O1472" i="1"/>
  <c r="N1472" i="1"/>
  <c r="M1472" i="1"/>
  <c r="P1471" i="1"/>
  <c r="O1471" i="1"/>
  <c r="N1471" i="1"/>
  <c r="M1471" i="1"/>
  <c r="P1470" i="1"/>
  <c r="O1470" i="1"/>
  <c r="N1470" i="1"/>
  <c r="M1470" i="1"/>
  <c r="P1469" i="1"/>
  <c r="O1469" i="1"/>
  <c r="N1469" i="1"/>
  <c r="M1469" i="1"/>
  <c r="P1468" i="1"/>
  <c r="O1468" i="1"/>
  <c r="N1468" i="1"/>
  <c r="M1468" i="1"/>
  <c r="P1467" i="1"/>
  <c r="O1467" i="1"/>
  <c r="N1467" i="1"/>
  <c r="M1467" i="1"/>
  <c r="P1466" i="1"/>
  <c r="O1466" i="1"/>
  <c r="N1466" i="1"/>
  <c r="M1466" i="1"/>
  <c r="P1465" i="1"/>
  <c r="O1465" i="1"/>
  <c r="N1465" i="1"/>
  <c r="M1465" i="1"/>
  <c r="P1464" i="1"/>
  <c r="O1464" i="1"/>
  <c r="N1464" i="1"/>
  <c r="M1464" i="1"/>
  <c r="P1463" i="1"/>
  <c r="O1463" i="1"/>
  <c r="N1463" i="1"/>
  <c r="M1463" i="1"/>
  <c r="P1462" i="1"/>
  <c r="O1462" i="1"/>
  <c r="N1462" i="1"/>
  <c r="M1462" i="1"/>
  <c r="P1461" i="1"/>
  <c r="O1461" i="1"/>
  <c r="N1461" i="1"/>
  <c r="M1461" i="1"/>
  <c r="P1460" i="1"/>
  <c r="O1460" i="1"/>
  <c r="N1460" i="1"/>
  <c r="M1460" i="1"/>
  <c r="P1459" i="1"/>
  <c r="O1459" i="1"/>
  <c r="N1459" i="1"/>
  <c r="M1459" i="1"/>
  <c r="P1458" i="1"/>
  <c r="O1458" i="1"/>
  <c r="N1458" i="1"/>
  <c r="M1458" i="1"/>
  <c r="P1457" i="1"/>
  <c r="O1457" i="1"/>
  <c r="N1457" i="1"/>
  <c r="M1457" i="1"/>
  <c r="P1456" i="1"/>
  <c r="O1456" i="1"/>
  <c r="N1456" i="1"/>
  <c r="M1456" i="1"/>
  <c r="P1455" i="1"/>
  <c r="O1455" i="1"/>
  <c r="N1455" i="1"/>
  <c r="M1455" i="1"/>
  <c r="P1454" i="1"/>
  <c r="O1454" i="1"/>
  <c r="N1454" i="1"/>
  <c r="M1454" i="1"/>
  <c r="P1453" i="1"/>
  <c r="O1453" i="1"/>
  <c r="N1453" i="1"/>
  <c r="M1453" i="1"/>
  <c r="P1452" i="1"/>
  <c r="O1452" i="1"/>
  <c r="N1452" i="1"/>
  <c r="M1452" i="1"/>
  <c r="P1451" i="1"/>
  <c r="O1451" i="1"/>
  <c r="N1451" i="1"/>
  <c r="M1451" i="1"/>
  <c r="P1450" i="1"/>
  <c r="O1450" i="1"/>
  <c r="N1450" i="1"/>
  <c r="M1450" i="1"/>
  <c r="P1449" i="1"/>
  <c r="O1449" i="1"/>
  <c r="N1449" i="1"/>
  <c r="M1449" i="1"/>
  <c r="P1448" i="1"/>
  <c r="O1448" i="1"/>
  <c r="N1448" i="1"/>
  <c r="M1448" i="1"/>
  <c r="P1447" i="1"/>
  <c r="O1447" i="1"/>
  <c r="N1447" i="1"/>
  <c r="M1447" i="1"/>
  <c r="P1446" i="1"/>
  <c r="O1446" i="1"/>
  <c r="N1446" i="1"/>
  <c r="M1446" i="1"/>
  <c r="P1445" i="1"/>
  <c r="O1445" i="1"/>
  <c r="N1445" i="1"/>
  <c r="M1445" i="1"/>
  <c r="P1444" i="1"/>
  <c r="O1444" i="1"/>
  <c r="N1444" i="1"/>
  <c r="M1444" i="1"/>
  <c r="P1443" i="1"/>
  <c r="O1443" i="1"/>
  <c r="N1443" i="1"/>
  <c r="M1443" i="1"/>
  <c r="P1442" i="1"/>
  <c r="O1442" i="1"/>
  <c r="N1442" i="1"/>
  <c r="M1442" i="1"/>
  <c r="P1441" i="1"/>
  <c r="O1441" i="1"/>
  <c r="N1441" i="1"/>
  <c r="M1441" i="1"/>
  <c r="P1440" i="1"/>
  <c r="O1440" i="1"/>
  <c r="N1440" i="1"/>
  <c r="M1440" i="1"/>
  <c r="P1439" i="1"/>
  <c r="O1439" i="1"/>
  <c r="N1439" i="1"/>
  <c r="M1439" i="1"/>
  <c r="P1438" i="1"/>
  <c r="O1438" i="1"/>
  <c r="N1438" i="1"/>
  <c r="M1438" i="1"/>
  <c r="P1437" i="1"/>
  <c r="O1437" i="1"/>
  <c r="N1437" i="1"/>
  <c r="M1437" i="1"/>
  <c r="P1436" i="1"/>
  <c r="O1436" i="1"/>
  <c r="N1436" i="1"/>
  <c r="M1436" i="1"/>
  <c r="P1435" i="1"/>
  <c r="O1435" i="1"/>
  <c r="N1435" i="1"/>
  <c r="M1435" i="1"/>
  <c r="P1434" i="1"/>
  <c r="O1434" i="1"/>
  <c r="N1434" i="1"/>
  <c r="M1434" i="1"/>
  <c r="P1433" i="1"/>
  <c r="O1433" i="1"/>
  <c r="N1433" i="1"/>
  <c r="M1433" i="1"/>
  <c r="P1432" i="1"/>
  <c r="O1432" i="1"/>
  <c r="N1432" i="1"/>
  <c r="M1432" i="1"/>
  <c r="P1431" i="1"/>
  <c r="O1431" i="1"/>
  <c r="N1431" i="1"/>
  <c r="M1431" i="1"/>
  <c r="P1430" i="1"/>
  <c r="O1430" i="1"/>
  <c r="N1430" i="1"/>
  <c r="M1430" i="1"/>
  <c r="P1429" i="1"/>
  <c r="O1429" i="1"/>
  <c r="N1429" i="1"/>
  <c r="M1429" i="1"/>
  <c r="P1428" i="1"/>
  <c r="O1428" i="1"/>
  <c r="N1428" i="1"/>
  <c r="M1428" i="1"/>
  <c r="P1427" i="1"/>
  <c r="O1427" i="1"/>
  <c r="N1427" i="1"/>
  <c r="M1427" i="1"/>
  <c r="P1426" i="1"/>
  <c r="O1426" i="1"/>
  <c r="N1426" i="1"/>
  <c r="M1426" i="1"/>
  <c r="P1425" i="1"/>
  <c r="O1425" i="1"/>
  <c r="N1425" i="1"/>
  <c r="M1425" i="1"/>
  <c r="P1424" i="1"/>
  <c r="O1424" i="1"/>
  <c r="N1424" i="1"/>
  <c r="M1424" i="1"/>
  <c r="P1423" i="1"/>
  <c r="O1423" i="1"/>
  <c r="N1423" i="1"/>
  <c r="M1423" i="1"/>
  <c r="P1422" i="1"/>
  <c r="O1422" i="1"/>
  <c r="N1422" i="1"/>
  <c r="M1422" i="1"/>
  <c r="P1421" i="1"/>
  <c r="O1421" i="1"/>
  <c r="N1421" i="1"/>
  <c r="M1421" i="1"/>
  <c r="P1420" i="1"/>
  <c r="O1420" i="1"/>
  <c r="N1420" i="1"/>
  <c r="M1420" i="1"/>
  <c r="P1419" i="1"/>
  <c r="O1419" i="1"/>
  <c r="N1419" i="1"/>
  <c r="M1419" i="1"/>
  <c r="P1418" i="1"/>
  <c r="O1418" i="1"/>
  <c r="N1418" i="1"/>
  <c r="M1418" i="1"/>
  <c r="P1417" i="1"/>
  <c r="O1417" i="1"/>
  <c r="N1417" i="1"/>
  <c r="M1417" i="1"/>
  <c r="P1416" i="1"/>
  <c r="O1416" i="1"/>
  <c r="N1416" i="1"/>
  <c r="M1416" i="1"/>
  <c r="P1415" i="1"/>
  <c r="O1415" i="1"/>
  <c r="N1415" i="1"/>
  <c r="M1415" i="1"/>
  <c r="P1414" i="1"/>
  <c r="O1414" i="1"/>
  <c r="N1414" i="1"/>
  <c r="M1414" i="1"/>
  <c r="P1413" i="1"/>
  <c r="O1413" i="1"/>
  <c r="N1413" i="1"/>
  <c r="M1413" i="1"/>
  <c r="P1412" i="1"/>
  <c r="O1412" i="1"/>
  <c r="N1412" i="1"/>
  <c r="M1412" i="1"/>
  <c r="P1411" i="1"/>
  <c r="O1411" i="1"/>
  <c r="N1411" i="1"/>
  <c r="M1411" i="1"/>
  <c r="P1410" i="1"/>
  <c r="O1410" i="1"/>
  <c r="N1410" i="1"/>
  <c r="M1410" i="1"/>
  <c r="P1409" i="1"/>
  <c r="O1409" i="1"/>
  <c r="N1409" i="1"/>
  <c r="M1409" i="1"/>
  <c r="P1408" i="1"/>
  <c r="O1408" i="1"/>
  <c r="N1408" i="1"/>
  <c r="M1408" i="1"/>
  <c r="P1407" i="1"/>
  <c r="O1407" i="1"/>
  <c r="N1407" i="1"/>
  <c r="M1407" i="1"/>
  <c r="P1406" i="1"/>
  <c r="O1406" i="1"/>
  <c r="N1406" i="1"/>
  <c r="M1406" i="1"/>
  <c r="P1405" i="1"/>
  <c r="O1405" i="1"/>
  <c r="N1405" i="1"/>
  <c r="M1405" i="1"/>
  <c r="P1404" i="1"/>
  <c r="O1404" i="1"/>
  <c r="N1404" i="1"/>
  <c r="M1404" i="1"/>
  <c r="P1403" i="1"/>
  <c r="O1403" i="1"/>
  <c r="N1403" i="1"/>
  <c r="M1403" i="1"/>
  <c r="P1402" i="1"/>
  <c r="O1402" i="1"/>
  <c r="N1402" i="1"/>
  <c r="M1402" i="1"/>
  <c r="P1401" i="1"/>
  <c r="O1401" i="1"/>
  <c r="N1401" i="1"/>
  <c r="M1401" i="1"/>
  <c r="P1400" i="1"/>
  <c r="O1400" i="1"/>
  <c r="N1400" i="1"/>
  <c r="M1400" i="1"/>
  <c r="P1399" i="1"/>
  <c r="O1399" i="1"/>
  <c r="N1399" i="1"/>
  <c r="M1399" i="1"/>
  <c r="P1398" i="1"/>
  <c r="O1398" i="1"/>
  <c r="N1398" i="1"/>
  <c r="M1398" i="1"/>
  <c r="P1397" i="1"/>
  <c r="O1397" i="1"/>
  <c r="N1397" i="1"/>
  <c r="M1397" i="1"/>
  <c r="P1396" i="1"/>
  <c r="O1396" i="1"/>
  <c r="N1396" i="1"/>
  <c r="M1396" i="1"/>
  <c r="P1395" i="1"/>
  <c r="O1395" i="1"/>
  <c r="N1395" i="1"/>
  <c r="M1395" i="1"/>
  <c r="P1394" i="1"/>
  <c r="O1394" i="1"/>
  <c r="N1394" i="1"/>
  <c r="M1394" i="1"/>
  <c r="P1393" i="1"/>
  <c r="O1393" i="1"/>
  <c r="N1393" i="1"/>
  <c r="M1393" i="1"/>
  <c r="P1392" i="1"/>
  <c r="O1392" i="1"/>
  <c r="N1392" i="1"/>
  <c r="M1392" i="1"/>
  <c r="P1391" i="1"/>
  <c r="O1391" i="1"/>
  <c r="N1391" i="1"/>
  <c r="M1391" i="1"/>
  <c r="P1390" i="1"/>
  <c r="O1390" i="1"/>
  <c r="N1390" i="1"/>
  <c r="M1390" i="1"/>
  <c r="P1389" i="1"/>
  <c r="O1389" i="1"/>
  <c r="N1389" i="1"/>
  <c r="M1389" i="1"/>
  <c r="P1388" i="1"/>
  <c r="O1388" i="1"/>
  <c r="N1388" i="1"/>
  <c r="M1388" i="1"/>
  <c r="P1387" i="1"/>
  <c r="O1387" i="1"/>
  <c r="N1387" i="1"/>
  <c r="M1387" i="1"/>
  <c r="P1386" i="1"/>
  <c r="O1386" i="1"/>
  <c r="N1386" i="1"/>
  <c r="M1386" i="1"/>
  <c r="P1385" i="1"/>
  <c r="O1385" i="1"/>
  <c r="N1385" i="1"/>
  <c r="M1385" i="1"/>
  <c r="P1384" i="1"/>
  <c r="O1384" i="1"/>
  <c r="N1384" i="1"/>
  <c r="M1384" i="1"/>
  <c r="P1383" i="1"/>
  <c r="O1383" i="1"/>
  <c r="N1383" i="1"/>
  <c r="M1383" i="1"/>
  <c r="P1382" i="1"/>
  <c r="O1382" i="1"/>
  <c r="N1382" i="1"/>
  <c r="M1382" i="1"/>
  <c r="P1381" i="1"/>
  <c r="O1381" i="1"/>
  <c r="N1381" i="1"/>
  <c r="M1381" i="1"/>
  <c r="P1380" i="1"/>
  <c r="O1380" i="1"/>
  <c r="N1380" i="1"/>
  <c r="M1380" i="1"/>
  <c r="P1379" i="1"/>
  <c r="O1379" i="1"/>
  <c r="N1379" i="1"/>
  <c r="M1379" i="1"/>
  <c r="P1378" i="1"/>
  <c r="O1378" i="1"/>
  <c r="N1378" i="1"/>
  <c r="M1378" i="1"/>
  <c r="P1377" i="1"/>
  <c r="O1377" i="1"/>
  <c r="N1377" i="1"/>
  <c r="M1377" i="1"/>
  <c r="P1376" i="1"/>
  <c r="O1376" i="1"/>
  <c r="N1376" i="1"/>
  <c r="M1376" i="1"/>
  <c r="P1375" i="1"/>
  <c r="O1375" i="1"/>
  <c r="N1375" i="1"/>
  <c r="M1375" i="1"/>
  <c r="P1374" i="1"/>
  <c r="O1374" i="1"/>
  <c r="N1374" i="1"/>
  <c r="M1374" i="1"/>
  <c r="P1373" i="1"/>
  <c r="O1373" i="1"/>
  <c r="N1373" i="1"/>
  <c r="M1373" i="1"/>
  <c r="P1372" i="1"/>
  <c r="O1372" i="1"/>
  <c r="N1372" i="1"/>
  <c r="M1372" i="1"/>
  <c r="P1371" i="1"/>
  <c r="O1371" i="1"/>
  <c r="N1371" i="1"/>
  <c r="M1371" i="1"/>
  <c r="P1370" i="1"/>
  <c r="O1370" i="1"/>
  <c r="N1370" i="1"/>
  <c r="M1370" i="1"/>
  <c r="P1369" i="1"/>
  <c r="O1369" i="1"/>
  <c r="N1369" i="1"/>
  <c r="M1369" i="1"/>
  <c r="P1368" i="1"/>
  <c r="O1368" i="1"/>
  <c r="N1368" i="1"/>
  <c r="M1368" i="1"/>
  <c r="P1367" i="1"/>
  <c r="O1367" i="1"/>
  <c r="N1367" i="1"/>
  <c r="M1367" i="1"/>
  <c r="P1366" i="1"/>
  <c r="O1366" i="1"/>
  <c r="N1366" i="1"/>
  <c r="M1366" i="1"/>
  <c r="P1365" i="1"/>
  <c r="O1365" i="1"/>
  <c r="N1365" i="1"/>
  <c r="M1365" i="1"/>
  <c r="P1364" i="1"/>
  <c r="O1364" i="1"/>
  <c r="N1364" i="1"/>
  <c r="M1364" i="1"/>
  <c r="P1363" i="1"/>
  <c r="O1363" i="1"/>
  <c r="N1363" i="1"/>
  <c r="M1363" i="1"/>
  <c r="P1362" i="1"/>
  <c r="O1362" i="1"/>
  <c r="N1362" i="1"/>
  <c r="M1362" i="1"/>
  <c r="P1361" i="1"/>
  <c r="O1361" i="1"/>
  <c r="N1361" i="1"/>
  <c r="M1361" i="1"/>
  <c r="P1360" i="1"/>
  <c r="O1360" i="1"/>
  <c r="N1360" i="1"/>
  <c r="M1360" i="1"/>
  <c r="P1359" i="1"/>
  <c r="O1359" i="1"/>
  <c r="N1359" i="1"/>
  <c r="M1359" i="1"/>
  <c r="P1358" i="1"/>
  <c r="O1358" i="1"/>
  <c r="N1358" i="1"/>
  <c r="M1358" i="1"/>
  <c r="P1357" i="1"/>
  <c r="O1357" i="1"/>
  <c r="N1357" i="1"/>
  <c r="M1357" i="1"/>
  <c r="P1356" i="1"/>
  <c r="O1356" i="1"/>
  <c r="N1356" i="1"/>
  <c r="M1356" i="1"/>
  <c r="P1355" i="1"/>
  <c r="O1355" i="1"/>
  <c r="N1355" i="1"/>
  <c r="M1355" i="1"/>
  <c r="P1354" i="1"/>
  <c r="O1354" i="1"/>
  <c r="N1354" i="1"/>
  <c r="M1354" i="1"/>
  <c r="P1353" i="1"/>
  <c r="O1353" i="1"/>
  <c r="N1353" i="1"/>
  <c r="M1353" i="1"/>
  <c r="P1352" i="1"/>
  <c r="O1352" i="1"/>
  <c r="N1352" i="1"/>
  <c r="M1352" i="1"/>
  <c r="P1351" i="1"/>
  <c r="O1351" i="1"/>
  <c r="N1351" i="1"/>
  <c r="M1351" i="1"/>
  <c r="P1350" i="1"/>
  <c r="O1350" i="1"/>
  <c r="N1350" i="1"/>
  <c r="M1350" i="1"/>
  <c r="P1349" i="1"/>
  <c r="O1349" i="1"/>
  <c r="N1349" i="1"/>
  <c r="M1349" i="1"/>
  <c r="P1348" i="1"/>
  <c r="O1348" i="1"/>
  <c r="N1348" i="1"/>
  <c r="M1348" i="1"/>
  <c r="P1347" i="1"/>
  <c r="O1347" i="1"/>
  <c r="N1347" i="1"/>
  <c r="M1347" i="1"/>
  <c r="P1346" i="1"/>
  <c r="O1346" i="1"/>
  <c r="N1346" i="1"/>
  <c r="M1346" i="1"/>
  <c r="P1345" i="1"/>
  <c r="O1345" i="1"/>
  <c r="N1345" i="1"/>
  <c r="M1345" i="1"/>
  <c r="P1344" i="1"/>
  <c r="O1344" i="1"/>
  <c r="N1344" i="1"/>
  <c r="M1344" i="1"/>
  <c r="P1343" i="1"/>
  <c r="O1343" i="1"/>
  <c r="N1343" i="1"/>
  <c r="M1343" i="1"/>
  <c r="P1342" i="1"/>
  <c r="O1342" i="1"/>
  <c r="N1342" i="1"/>
  <c r="M1342" i="1"/>
  <c r="P1341" i="1"/>
  <c r="O1341" i="1"/>
  <c r="N1341" i="1"/>
  <c r="M1341" i="1"/>
  <c r="P1340" i="1"/>
  <c r="O1340" i="1"/>
  <c r="N1340" i="1"/>
  <c r="M1340" i="1"/>
  <c r="P1339" i="1"/>
  <c r="O1339" i="1"/>
  <c r="N1339" i="1"/>
  <c r="M1339" i="1"/>
  <c r="P1338" i="1"/>
  <c r="O1338" i="1"/>
  <c r="N1338" i="1"/>
  <c r="M1338" i="1"/>
  <c r="P1337" i="1"/>
  <c r="O1337" i="1"/>
  <c r="N1337" i="1"/>
  <c r="M1337" i="1"/>
  <c r="P1336" i="1"/>
  <c r="O1336" i="1"/>
  <c r="N1336" i="1"/>
  <c r="M1336" i="1"/>
  <c r="P1335" i="1"/>
  <c r="O1335" i="1"/>
  <c r="N1335" i="1"/>
  <c r="M1335" i="1"/>
  <c r="P1334" i="1"/>
  <c r="O1334" i="1"/>
  <c r="N1334" i="1"/>
  <c r="M1334" i="1"/>
  <c r="P1333" i="1"/>
  <c r="O1333" i="1"/>
  <c r="N1333" i="1"/>
  <c r="M1333" i="1"/>
  <c r="P1332" i="1"/>
  <c r="O1332" i="1"/>
  <c r="N1332" i="1"/>
  <c r="M1332" i="1"/>
  <c r="P1331" i="1"/>
  <c r="O1331" i="1"/>
  <c r="N1331" i="1"/>
  <c r="M1331" i="1"/>
  <c r="P1330" i="1"/>
  <c r="O1330" i="1"/>
  <c r="N1330" i="1"/>
  <c r="M1330" i="1"/>
  <c r="P1329" i="1"/>
  <c r="O1329" i="1"/>
  <c r="N1329" i="1"/>
  <c r="M1329" i="1"/>
  <c r="P1328" i="1"/>
  <c r="O1328" i="1"/>
  <c r="N1328" i="1"/>
  <c r="M1328" i="1"/>
  <c r="P1327" i="1"/>
  <c r="O1327" i="1"/>
  <c r="N1327" i="1"/>
  <c r="M1327" i="1"/>
  <c r="P1326" i="1"/>
  <c r="O1326" i="1"/>
  <c r="N1326" i="1"/>
  <c r="M1326" i="1"/>
  <c r="P1325" i="1"/>
  <c r="O1325" i="1"/>
  <c r="N1325" i="1"/>
  <c r="M1325" i="1"/>
  <c r="P1324" i="1"/>
  <c r="O1324" i="1"/>
  <c r="N1324" i="1"/>
  <c r="M1324" i="1"/>
  <c r="P1323" i="1"/>
  <c r="O1323" i="1"/>
  <c r="N1323" i="1"/>
  <c r="M1323" i="1"/>
  <c r="P1322" i="1"/>
  <c r="O1322" i="1"/>
  <c r="N1322" i="1"/>
  <c r="M1322" i="1"/>
  <c r="P1321" i="1"/>
  <c r="O1321" i="1"/>
  <c r="N1321" i="1"/>
  <c r="M1321" i="1"/>
  <c r="P1320" i="1"/>
  <c r="O1320" i="1"/>
  <c r="N1320" i="1"/>
  <c r="M1320" i="1"/>
  <c r="P1319" i="1"/>
  <c r="O1319" i="1"/>
  <c r="N1319" i="1"/>
  <c r="M1319" i="1"/>
  <c r="P1318" i="1"/>
  <c r="O1318" i="1"/>
  <c r="N1318" i="1"/>
  <c r="M1318" i="1"/>
  <c r="P1317" i="1"/>
  <c r="O1317" i="1"/>
  <c r="N1317" i="1"/>
  <c r="M1317" i="1"/>
  <c r="P1316" i="1"/>
  <c r="O1316" i="1"/>
  <c r="N1316" i="1"/>
  <c r="M1316" i="1"/>
  <c r="P1315" i="1"/>
  <c r="O1315" i="1"/>
  <c r="N1315" i="1"/>
  <c r="M1315" i="1"/>
  <c r="P1314" i="1"/>
  <c r="O1314" i="1"/>
  <c r="N1314" i="1"/>
  <c r="M1314" i="1"/>
  <c r="P1313" i="1"/>
  <c r="O1313" i="1"/>
  <c r="N1313" i="1"/>
  <c r="M1313" i="1"/>
  <c r="P1312" i="1"/>
  <c r="O1312" i="1"/>
  <c r="N1312" i="1"/>
  <c r="M1312" i="1"/>
  <c r="P1311" i="1"/>
  <c r="O1311" i="1"/>
  <c r="N1311" i="1"/>
  <c r="M1311" i="1"/>
  <c r="P1310" i="1"/>
  <c r="O1310" i="1"/>
  <c r="N1310" i="1"/>
  <c r="M1310" i="1"/>
  <c r="P1309" i="1"/>
  <c r="O1309" i="1"/>
  <c r="N1309" i="1"/>
  <c r="M1309" i="1"/>
  <c r="P1308" i="1"/>
  <c r="O1308" i="1"/>
  <c r="N1308" i="1"/>
  <c r="M1308" i="1"/>
  <c r="P1307" i="1"/>
  <c r="O1307" i="1"/>
  <c r="N1307" i="1"/>
  <c r="M1307" i="1"/>
  <c r="P1306" i="1"/>
  <c r="O1306" i="1"/>
  <c r="N1306" i="1"/>
  <c r="M1306" i="1"/>
  <c r="P1305" i="1"/>
  <c r="O1305" i="1"/>
  <c r="N1305" i="1"/>
  <c r="M1305" i="1"/>
  <c r="P1304" i="1"/>
  <c r="O1304" i="1"/>
  <c r="N1304" i="1"/>
  <c r="M1304" i="1"/>
  <c r="P1303" i="1"/>
  <c r="O1303" i="1"/>
  <c r="N1303" i="1"/>
  <c r="M1303" i="1"/>
  <c r="P1302" i="1"/>
  <c r="O1302" i="1"/>
  <c r="N1302" i="1"/>
  <c r="M1302" i="1"/>
  <c r="P1301" i="1"/>
  <c r="O1301" i="1"/>
  <c r="N1301" i="1"/>
  <c r="M1301" i="1"/>
  <c r="P1300" i="1"/>
  <c r="O1300" i="1"/>
  <c r="N1300" i="1"/>
  <c r="M1300" i="1"/>
  <c r="P1299" i="1"/>
  <c r="O1299" i="1"/>
  <c r="N1299" i="1"/>
  <c r="M1299" i="1"/>
  <c r="P1298" i="1"/>
  <c r="O1298" i="1"/>
  <c r="N1298" i="1"/>
  <c r="M1298" i="1"/>
  <c r="P1297" i="1"/>
  <c r="O1297" i="1"/>
  <c r="N1297" i="1"/>
  <c r="M1297" i="1"/>
  <c r="P1296" i="1"/>
  <c r="O1296" i="1"/>
  <c r="N1296" i="1"/>
  <c r="M1296" i="1"/>
  <c r="P1295" i="1"/>
  <c r="O1295" i="1"/>
  <c r="N1295" i="1"/>
  <c r="M1295" i="1"/>
  <c r="P1294" i="1"/>
  <c r="O1294" i="1"/>
  <c r="N1294" i="1"/>
  <c r="M1294" i="1"/>
  <c r="P1293" i="1"/>
  <c r="O1293" i="1"/>
  <c r="N1293" i="1"/>
  <c r="M1293" i="1"/>
  <c r="P1292" i="1"/>
  <c r="O1292" i="1"/>
  <c r="N1292" i="1"/>
  <c r="M1292" i="1"/>
  <c r="P1291" i="1"/>
  <c r="O1291" i="1"/>
  <c r="N1291" i="1"/>
  <c r="M1291" i="1"/>
  <c r="P1290" i="1"/>
  <c r="O1290" i="1"/>
  <c r="N1290" i="1"/>
  <c r="M1290" i="1"/>
  <c r="P1289" i="1"/>
  <c r="O1289" i="1"/>
  <c r="N1289" i="1"/>
  <c r="M1289" i="1"/>
  <c r="P1288" i="1"/>
  <c r="O1288" i="1"/>
  <c r="N1288" i="1"/>
  <c r="M1288" i="1"/>
  <c r="P1287" i="1"/>
  <c r="O1287" i="1"/>
  <c r="N1287" i="1"/>
  <c r="M1287" i="1"/>
  <c r="P1286" i="1"/>
  <c r="O1286" i="1"/>
  <c r="N1286" i="1"/>
  <c r="M1286" i="1"/>
  <c r="P1285" i="1"/>
  <c r="O1285" i="1"/>
  <c r="N1285" i="1"/>
  <c r="M1285" i="1"/>
  <c r="P1284" i="1"/>
  <c r="O1284" i="1"/>
  <c r="N1284" i="1"/>
  <c r="M1284" i="1"/>
  <c r="P1283" i="1"/>
  <c r="O1283" i="1"/>
  <c r="N1283" i="1"/>
  <c r="M1283" i="1"/>
  <c r="P1282" i="1"/>
  <c r="O1282" i="1"/>
  <c r="N1282" i="1"/>
  <c r="M1282" i="1"/>
  <c r="P1281" i="1"/>
  <c r="O1281" i="1"/>
  <c r="N1281" i="1"/>
  <c r="M1281" i="1"/>
  <c r="P1280" i="1"/>
  <c r="O1280" i="1"/>
  <c r="N1280" i="1"/>
  <c r="M1280" i="1"/>
  <c r="P1279" i="1"/>
  <c r="O1279" i="1"/>
  <c r="N1279" i="1"/>
  <c r="M1279" i="1"/>
  <c r="P1278" i="1"/>
  <c r="O1278" i="1"/>
  <c r="N1278" i="1"/>
  <c r="M1278" i="1"/>
  <c r="P1277" i="1"/>
  <c r="O1277" i="1"/>
  <c r="N1277" i="1"/>
  <c r="M1277" i="1"/>
  <c r="P1276" i="1"/>
  <c r="O1276" i="1"/>
  <c r="N1276" i="1"/>
  <c r="M1276" i="1"/>
  <c r="P1275" i="1"/>
  <c r="O1275" i="1"/>
  <c r="N1275" i="1"/>
  <c r="M1275" i="1"/>
  <c r="P1274" i="1"/>
  <c r="O1274" i="1"/>
  <c r="N1274" i="1"/>
  <c r="M1274" i="1"/>
  <c r="P1273" i="1"/>
  <c r="O1273" i="1"/>
  <c r="N1273" i="1"/>
  <c r="M1273" i="1"/>
  <c r="P1272" i="1"/>
  <c r="O1272" i="1"/>
  <c r="N1272" i="1"/>
  <c r="M1272" i="1"/>
  <c r="P1271" i="1"/>
  <c r="O1271" i="1"/>
  <c r="N1271" i="1"/>
  <c r="M1271" i="1"/>
  <c r="P1270" i="1"/>
  <c r="O1270" i="1"/>
  <c r="N1270" i="1"/>
  <c r="M1270" i="1"/>
  <c r="P1269" i="1"/>
  <c r="O1269" i="1"/>
  <c r="N1269" i="1"/>
  <c r="M1269" i="1"/>
  <c r="P1268" i="1"/>
  <c r="O1268" i="1"/>
  <c r="N1268" i="1"/>
  <c r="M1268" i="1"/>
  <c r="P1267" i="1"/>
  <c r="O1267" i="1"/>
  <c r="N1267" i="1"/>
  <c r="M1267" i="1"/>
  <c r="P1266" i="1"/>
  <c r="O1266" i="1"/>
  <c r="N1266" i="1"/>
  <c r="M1266" i="1"/>
  <c r="P1265" i="1"/>
  <c r="O1265" i="1"/>
  <c r="N1265" i="1"/>
  <c r="M1265" i="1"/>
  <c r="P1264" i="1"/>
  <c r="O1264" i="1"/>
  <c r="N1264" i="1"/>
  <c r="M1264" i="1"/>
  <c r="P1263" i="1"/>
  <c r="O1263" i="1"/>
  <c r="N1263" i="1"/>
  <c r="M1263" i="1"/>
  <c r="P1262" i="1"/>
  <c r="O1262" i="1"/>
  <c r="N1262" i="1"/>
  <c r="M1262" i="1"/>
  <c r="P1261" i="1"/>
  <c r="O1261" i="1"/>
  <c r="N1261" i="1"/>
  <c r="M1261" i="1"/>
  <c r="P1260" i="1"/>
  <c r="O1260" i="1"/>
  <c r="N1260" i="1"/>
  <c r="M1260" i="1"/>
  <c r="P1259" i="1"/>
  <c r="O1259" i="1"/>
  <c r="N1259" i="1"/>
  <c r="M1259" i="1"/>
  <c r="P1258" i="1"/>
  <c r="O1258" i="1"/>
  <c r="N1258" i="1"/>
  <c r="M1258" i="1"/>
  <c r="P1257" i="1"/>
  <c r="O1257" i="1"/>
  <c r="N1257" i="1"/>
  <c r="M1257" i="1"/>
  <c r="P1256" i="1"/>
  <c r="O1256" i="1"/>
  <c r="N1256" i="1"/>
  <c r="M1256" i="1"/>
  <c r="P1255" i="1"/>
  <c r="O1255" i="1"/>
  <c r="N1255" i="1"/>
  <c r="M1255" i="1"/>
  <c r="P1254" i="1"/>
  <c r="O1254" i="1"/>
  <c r="N1254" i="1"/>
  <c r="M1254" i="1"/>
  <c r="P1253" i="1"/>
  <c r="O1253" i="1"/>
  <c r="N1253" i="1"/>
  <c r="M1253" i="1"/>
  <c r="P1252" i="1"/>
  <c r="O1252" i="1"/>
  <c r="N1252" i="1"/>
  <c r="M1252" i="1"/>
  <c r="P1251" i="1"/>
  <c r="O1251" i="1"/>
  <c r="N1251" i="1"/>
  <c r="M1251" i="1"/>
  <c r="P1250" i="1"/>
  <c r="O1250" i="1"/>
  <c r="N1250" i="1"/>
  <c r="M1250" i="1"/>
  <c r="P1249" i="1"/>
  <c r="O1249" i="1"/>
  <c r="N1249" i="1"/>
  <c r="M1249" i="1"/>
  <c r="P1248" i="1"/>
  <c r="O1248" i="1"/>
  <c r="N1248" i="1"/>
  <c r="M1248" i="1"/>
  <c r="P1247" i="1"/>
  <c r="O1247" i="1"/>
  <c r="N1247" i="1"/>
  <c r="M1247" i="1"/>
  <c r="P1246" i="1"/>
  <c r="O1246" i="1"/>
  <c r="N1246" i="1"/>
  <c r="M1246" i="1"/>
  <c r="P1245" i="1"/>
  <c r="O1245" i="1"/>
  <c r="N1245" i="1"/>
  <c r="M1245" i="1"/>
  <c r="P1244" i="1"/>
  <c r="O1244" i="1"/>
  <c r="N1244" i="1"/>
  <c r="M1244" i="1"/>
  <c r="P1243" i="1"/>
  <c r="O1243" i="1"/>
  <c r="N1243" i="1"/>
  <c r="M1243" i="1"/>
  <c r="P1242" i="1"/>
  <c r="O1242" i="1"/>
  <c r="N1242" i="1"/>
  <c r="M1242" i="1"/>
  <c r="P1241" i="1"/>
  <c r="O1241" i="1"/>
  <c r="N1241" i="1"/>
  <c r="M1241" i="1"/>
  <c r="P1240" i="1"/>
  <c r="O1240" i="1"/>
  <c r="N1240" i="1"/>
  <c r="M1240" i="1"/>
  <c r="P1239" i="1"/>
  <c r="O1239" i="1"/>
  <c r="N1239" i="1"/>
  <c r="M1239" i="1"/>
  <c r="P1238" i="1"/>
  <c r="O1238" i="1"/>
  <c r="N1238" i="1"/>
  <c r="M1238" i="1"/>
  <c r="P1237" i="1"/>
  <c r="O1237" i="1"/>
  <c r="N1237" i="1"/>
  <c r="M1237" i="1"/>
  <c r="P1236" i="1"/>
  <c r="O1236" i="1"/>
  <c r="N1236" i="1"/>
  <c r="M1236" i="1"/>
  <c r="P1235" i="1"/>
  <c r="O1235" i="1"/>
  <c r="N1235" i="1"/>
  <c r="M1235" i="1"/>
  <c r="P1234" i="1"/>
  <c r="O1234" i="1"/>
  <c r="N1234" i="1"/>
  <c r="M1234" i="1"/>
  <c r="P1233" i="1"/>
  <c r="O1233" i="1"/>
  <c r="N1233" i="1"/>
  <c r="M1233" i="1"/>
  <c r="P1232" i="1"/>
  <c r="O1232" i="1"/>
  <c r="N1232" i="1"/>
  <c r="M1232" i="1"/>
  <c r="P1231" i="1"/>
  <c r="O1231" i="1"/>
  <c r="N1231" i="1"/>
  <c r="M1231" i="1"/>
  <c r="P1230" i="1"/>
  <c r="O1230" i="1"/>
  <c r="N1230" i="1"/>
  <c r="M1230" i="1"/>
  <c r="P1229" i="1"/>
  <c r="O1229" i="1"/>
  <c r="N1229" i="1"/>
  <c r="M1229" i="1"/>
  <c r="P1228" i="1"/>
  <c r="O1228" i="1"/>
  <c r="N1228" i="1"/>
  <c r="M1228" i="1"/>
  <c r="P1227" i="1"/>
  <c r="O1227" i="1"/>
  <c r="N1227" i="1"/>
  <c r="M1227" i="1"/>
  <c r="P1226" i="1"/>
  <c r="O1226" i="1"/>
  <c r="N1226" i="1"/>
  <c r="M1226" i="1"/>
  <c r="P1225" i="1"/>
  <c r="O1225" i="1"/>
  <c r="N1225" i="1"/>
  <c r="M1225" i="1"/>
  <c r="P1224" i="1"/>
  <c r="O1224" i="1"/>
  <c r="N1224" i="1"/>
  <c r="M1224" i="1"/>
  <c r="P1223" i="1"/>
  <c r="O1223" i="1"/>
  <c r="N1223" i="1"/>
  <c r="M1223" i="1"/>
  <c r="P1222" i="1"/>
  <c r="O1222" i="1"/>
  <c r="N1222" i="1"/>
  <c r="M1222" i="1"/>
  <c r="P1221" i="1"/>
  <c r="O1221" i="1"/>
  <c r="N1221" i="1"/>
  <c r="M1221" i="1"/>
  <c r="P1220" i="1"/>
  <c r="O1220" i="1"/>
  <c r="N1220" i="1"/>
  <c r="M1220" i="1"/>
  <c r="P1219" i="1"/>
  <c r="O1219" i="1"/>
  <c r="N1219" i="1"/>
  <c r="M1219" i="1"/>
  <c r="P1218" i="1"/>
  <c r="O1218" i="1"/>
  <c r="N1218" i="1"/>
  <c r="M1218" i="1"/>
  <c r="P1217" i="1"/>
  <c r="O1217" i="1"/>
  <c r="N1217" i="1"/>
  <c r="M1217" i="1"/>
  <c r="P1216" i="1"/>
  <c r="O1216" i="1"/>
  <c r="N1216" i="1"/>
  <c r="M1216" i="1"/>
  <c r="P1215" i="1"/>
  <c r="O1215" i="1"/>
  <c r="N1215" i="1"/>
  <c r="M1215" i="1"/>
  <c r="P1214" i="1"/>
  <c r="O1214" i="1"/>
  <c r="N1214" i="1"/>
  <c r="M1214" i="1"/>
  <c r="P1213" i="1"/>
  <c r="O1213" i="1"/>
  <c r="N1213" i="1"/>
  <c r="M1213" i="1"/>
  <c r="P1212" i="1"/>
  <c r="O1212" i="1"/>
  <c r="N1212" i="1"/>
  <c r="M1212" i="1"/>
  <c r="P1211" i="1"/>
  <c r="O1211" i="1"/>
  <c r="N1211" i="1"/>
  <c r="M1211" i="1"/>
  <c r="P1210" i="1"/>
  <c r="O1210" i="1"/>
  <c r="N1210" i="1"/>
  <c r="M1210" i="1"/>
  <c r="P1209" i="1"/>
  <c r="O1209" i="1"/>
  <c r="N1209" i="1"/>
  <c r="M1209" i="1"/>
  <c r="P1208" i="1"/>
  <c r="O1208" i="1"/>
  <c r="N1208" i="1"/>
  <c r="M1208" i="1"/>
  <c r="P1207" i="1"/>
  <c r="O1207" i="1"/>
  <c r="N1207" i="1"/>
  <c r="M1207" i="1"/>
  <c r="P1206" i="1"/>
  <c r="O1206" i="1"/>
  <c r="N1206" i="1"/>
  <c r="M1206" i="1"/>
  <c r="P1205" i="1"/>
  <c r="O1205" i="1"/>
  <c r="N1205" i="1"/>
  <c r="M1205" i="1"/>
  <c r="P1204" i="1"/>
  <c r="O1204" i="1"/>
  <c r="N1204" i="1"/>
  <c r="M1204" i="1"/>
  <c r="P1203" i="1"/>
  <c r="O1203" i="1"/>
  <c r="N1203" i="1"/>
  <c r="M1203" i="1"/>
  <c r="P1202" i="1"/>
  <c r="O1202" i="1"/>
  <c r="N1202" i="1"/>
  <c r="M1202" i="1"/>
  <c r="P1201" i="1"/>
  <c r="O1201" i="1"/>
  <c r="N1201" i="1"/>
  <c r="M1201" i="1"/>
  <c r="P1200" i="1"/>
  <c r="O1200" i="1"/>
  <c r="N1200" i="1"/>
  <c r="M1200" i="1"/>
  <c r="P1199" i="1"/>
  <c r="O1199" i="1"/>
  <c r="N1199" i="1"/>
  <c r="M1199" i="1"/>
  <c r="P1198" i="1"/>
  <c r="O1198" i="1"/>
  <c r="N1198" i="1"/>
  <c r="M1198" i="1"/>
  <c r="P1197" i="1"/>
  <c r="O1197" i="1"/>
  <c r="N1197" i="1"/>
  <c r="M1197" i="1"/>
  <c r="P1196" i="1"/>
  <c r="O1196" i="1"/>
  <c r="N1196" i="1"/>
  <c r="M1196" i="1"/>
  <c r="P1195" i="1"/>
  <c r="O1195" i="1"/>
  <c r="N1195" i="1"/>
  <c r="M1195" i="1"/>
  <c r="P1194" i="1"/>
  <c r="O1194" i="1"/>
  <c r="N1194" i="1"/>
  <c r="M1194" i="1"/>
  <c r="P1193" i="1"/>
  <c r="O1193" i="1"/>
  <c r="N1193" i="1"/>
  <c r="M1193" i="1"/>
  <c r="P1192" i="1"/>
  <c r="O1192" i="1"/>
  <c r="N1192" i="1"/>
  <c r="M1192" i="1"/>
  <c r="P1191" i="1"/>
  <c r="O1191" i="1"/>
  <c r="N1191" i="1"/>
  <c r="M1191" i="1"/>
  <c r="P1190" i="1"/>
  <c r="O1190" i="1"/>
  <c r="N1190" i="1"/>
  <c r="M1190" i="1"/>
  <c r="P1189" i="1"/>
  <c r="O1189" i="1"/>
  <c r="N1189" i="1"/>
  <c r="M1189" i="1"/>
  <c r="P1188" i="1"/>
  <c r="O1188" i="1"/>
  <c r="N1188" i="1"/>
  <c r="M1188" i="1"/>
  <c r="P1187" i="1"/>
  <c r="O1187" i="1"/>
  <c r="N1187" i="1"/>
  <c r="M1187" i="1"/>
  <c r="P1186" i="1"/>
  <c r="O1186" i="1"/>
  <c r="N1186" i="1"/>
  <c r="M1186" i="1"/>
  <c r="P1185" i="1"/>
  <c r="O1185" i="1"/>
  <c r="N1185" i="1"/>
  <c r="M1185" i="1"/>
  <c r="P1184" i="1"/>
  <c r="O1184" i="1"/>
  <c r="N1184" i="1"/>
  <c r="M1184" i="1"/>
  <c r="P1183" i="1"/>
  <c r="O1183" i="1"/>
  <c r="N1183" i="1"/>
  <c r="M1183" i="1"/>
  <c r="P1182" i="1"/>
  <c r="O1182" i="1"/>
  <c r="N1182" i="1"/>
  <c r="M1182" i="1"/>
  <c r="P1181" i="1"/>
  <c r="O1181" i="1"/>
  <c r="N1181" i="1"/>
  <c r="M1181" i="1"/>
  <c r="P1180" i="1"/>
  <c r="O1180" i="1"/>
  <c r="N1180" i="1"/>
  <c r="M1180" i="1"/>
  <c r="P1179" i="1"/>
  <c r="O1179" i="1"/>
  <c r="N1179" i="1"/>
  <c r="M1179" i="1"/>
  <c r="P1178" i="1"/>
  <c r="O1178" i="1"/>
  <c r="N1178" i="1"/>
  <c r="M1178" i="1"/>
  <c r="P1177" i="1"/>
  <c r="O1177" i="1"/>
  <c r="N1177" i="1"/>
  <c r="M1177" i="1"/>
  <c r="P1176" i="1"/>
  <c r="O1176" i="1"/>
  <c r="N1176" i="1"/>
  <c r="M1176" i="1"/>
  <c r="P1175" i="1"/>
  <c r="O1175" i="1"/>
  <c r="N1175" i="1"/>
  <c r="M1175" i="1"/>
  <c r="P1174" i="1"/>
  <c r="O1174" i="1"/>
  <c r="N1174" i="1"/>
  <c r="M1174" i="1"/>
  <c r="P1173" i="1"/>
  <c r="O1173" i="1"/>
  <c r="N1173" i="1"/>
  <c r="M1173" i="1"/>
  <c r="P1172" i="1"/>
  <c r="O1172" i="1"/>
  <c r="N1172" i="1"/>
  <c r="M1172" i="1"/>
  <c r="P1171" i="1"/>
  <c r="O1171" i="1"/>
  <c r="N1171" i="1"/>
  <c r="M1171" i="1"/>
  <c r="P1170" i="1"/>
  <c r="O1170" i="1"/>
  <c r="N1170" i="1"/>
  <c r="M1170" i="1"/>
  <c r="P1169" i="1"/>
  <c r="O1169" i="1"/>
  <c r="N1169" i="1"/>
  <c r="M1169" i="1"/>
  <c r="P1168" i="1"/>
  <c r="O1168" i="1"/>
  <c r="N1168" i="1"/>
  <c r="M1168" i="1"/>
  <c r="P1167" i="1"/>
  <c r="O1167" i="1"/>
  <c r="N1167" i="1"/>
  <c r="M1167" i="1"/>
  <c r="P1166" i="1"/>
  <c r="O1166" i="1"/>
  <c r="N1166" i="1"/>
  <c r="M1166" i="1"/>
  <c r="P1165" i="1"/>
  <c r="O1165" i="1"/>
  <c r="N1165" i="1"/>
  <c r="M1165" i="1"/>
  <c r="P1164" i="1"/>
  <c r="O1164" i="1"/>
  <c r="N1164" i="1"/>
  <c r="M1164" i="1"/>
  <c r="P1163" i="1"/>
  <c r="O1163" i="1"/>
  <c r="N1163" i="1"/>
  <c r="M1163" i="1"/>
  <c r="P1162" i="1"/>
  <c r="O1162" i="1"/>
  <c r="N1162" i="1"/>
  <c r="M1162" i="1"/>
  <c r="P1161" i="1"/>
  <c r="O1161" i="1"/>
  <c r="N1161" i="1"/>
  <c r="M1161" i="1"/>
  <c r="P1160" i="1"/>
  <c r="O1160" i="1"/>
  <c r="N1160" i="1"/>
  <c r="M1160" i="1"/>
  <c r="P1159" i="1"/>
  <c r="O1159" i="1"/>
  <c r="N1159" i="1"/>
  <c r="M1159" i="1"/>
  <c r="P1158" i="1"/>
  <c r="O1158" i="1"/>
  <c r="N1158" i="1"/>
  <c r="M1158" i="1"/>
  <c r="P1157" i="1"/>
  <c r="O1157" i="1"/>
  <c r="N1157" i="1"/>
  <c r="M1157" i="1"/>
  <c r="P1156" i="1"/>
  <c r="O1156" i="1"/>
  <c r="N1156" i="1"/>
  <c r="M1156" i="1"/>
  <c r="P1155" i="1"/>
  <c r="O1155" i="1"/>
  <c r="N1155" i="1"/>
  <c r="M1155" i="1"/>
  <c r="P1154" i="1"/>
  <c r="O1154" i="1"/>
  <c r="N1154" i="1"/>
  <c r="M1154" i="1"/>
  <c r="P1153" i="1"/>
  <c r="O1153" i="1"/>
  <c r="N1153" i="1"/>
  <c r="M1153" i="1"/>
  <c r="P1152" i="1"/>
  <c r="O1152" i="1"/>
  <c r="N1152" i="1"/>
  <c r="M1152" i="1"/>
  <c r="P1151" i="1"/>
  <c r="O1151" i="1"/>
  <c r="N1151" i="1"/>
  <c r="M1151" i="1"/>
  <c r="P1150" i="1"/>
  <c r="O1150" i="1"/>
  <c r="N1150" i="1"/>
  <c r="M1150" i="1"/>
  <c r="P1149" i="1"/>
  <c r="O1149" i="1"/>
  <c r="N1149" i="1"/>
  <c r="M1149" i="1"/>
  <c r="P1148" i="1"/>
  <c r="O1148" i="1"/>
  <c r="N1148" i="1"/>
  <c r="M1148" i="1"/>
  <c r="P1147" i="1"/>
  <c r="O1147" i="1"/>
  <c r="N1147" i="1"/>
  <c r="M1147" i="1"/>
  <c r="P1146" i="1"/>
  <c r="O1146" i="1"/>
  <c r="N1146" i="1"/>
  <c r="M1146" i="1"/>
  <c r="P1145" i="1"/>
  <c r="O1145" i="1"/>
  <c r="N1145" i="1"/>
  <c r="M1145" i="1"/>
  <c r="P1144" i="1"/>
  <c r="O1144" i="1"/>
  <c r="N1144" i="1"/>
  <c r="M1144" i="1"/>
  <c r="P1143" i="1"/>
  <c r="O1143" i="1"/>
  <c r="N1143" i="1"/>
  <c r="M1143" i="1"/>
  <c r="P1142" i="1"/>
  <c r="O1142" i="1"/>
  <c r="N1142" i="1"/>
  <c r="M1142" i="1"/>
  <c r="P1141" i="1"/>
  <c r="O1141" i="1"/>
  <c r="N1141" i="1"/>
  <c r="M1141" i="1"/>
  <c r="P1140" i="1"/>
  <c r="O1140" i="1"/>
  <c r="N1140" i="1"/>
  <c r="M1140" i="1"/>
  <c r="P1139" i="1"/>
  <c r="O1139" i="1"/>
  <c r="N1139" i="1"/>
  <c r="M1139" i="1"/>
  <c r="P1138" i="1"/>
  <c r="O1138" i="1"/>
  <c r="N1138" i="1"/>
  <c r="M1138" i="1"/>
  <c r="P1137" i="1"/>
  <c r="O1137" i="1"/>
  <c r="N1137" i="1"/>
  <c r="M1137" i="1"/>
  <c r="P1136" i="1"/>
  <c r="O1136" i="1"/>
  <c r="N1136" i="1"/>
  <c r="M1136" i="1"/>
  <c r="P1135" i="1"/>
  <c r="O1135" i="1"/>
  <c r="N1135" i="1"/>
  <c r="M1135" i="1"/>
  <c r="P1134" i="1"/>
  <c r="O1134" i="1"/>
  <c r="N1134" i="1"/>
  <c r="M1134" i="1"/>
  <c r="P1133" i="1"/>
  <c r="O1133" i="1"/>
  <c r="N1133" i="1"/>
  <c r="M1133" i="1"/>
  <c r="P1132" i="1"/>
  <c r="O1132" i="1"/>
  <c r="N1132" i="1"/>
  <c r="M1132" i="1"/>
  <c r="P1131" i="1"/>
  <c r="O1131" i="1"/>
  <c r="N1131" i="1"/>
  <c r="M1131" i="1"/>
  <c r="P1130" i="1"/>
  <c r="O1130" i="1"/>
  <c r="N1130" i="1"/>
  <c r="M1130" i="1"/>
  <c r="P1129" i="1"/>
  <c r="O1129" i="1"/>
  <c r="N1129" i="1"/>
  <c r="M1129" i="1"/>
  <c r="P1128" i="1"/>
  <c r="O1128" i="1"/>
  <c r="N1128" i="1"/>
  <c r="M1128" i="1"/>
  <c r="P1127" i="1"/>
  <c r="O1127" i="1"/>
  <c r="N1127" i="1"/>
  <c r="M1127" i="1"/>
  <c r="P1126" i="1"/>
  <c r="O1126" i="1"/>
  <c r="N1126" i="1"/>
  <c r="M1126" i="1"/>
  <c r="P1125" i="1"/>
  <c r="O1125" i="1"/>
  <c r="N1125" i="1"/>
  <c r="M1125" i="1"/>
  <c r="P1124" i="1"/>
  <c r="O1124" i="1"/>
  <c r="N1124" i="1"/>
  <c r="M1124" i="1"/>
  <c r="P1123" i="1"/>
  <c r="O1123" i="1"/>
  <c r="N1123" i="1"/>
  <c r="M1123" i="1"/>
  <c r="P1122" i="1"/>
  <c r="O1122" i="1"/>
  <c r="N1122" i="1"/>
  <c r="M1122" i="1"/>
  <c r="P1121" i="1"/>
  <c r="O1121" i="1"/>
  <c r="N1121" i="1"/>
  <c r="M1121" i="1"/>
  <c r="P1120" i="1"/>
  <c r="O1120" i="1"/>
  <c r="N1120" i="1"/>
  <c r="M1120" i="1"/>
  <c r="P1119" i="1"/>
  <c r="O1119" i="1"/>
  <c r="N1119" i="1"/>
  <c r="M1119" i="1"/>
  <c r="P1118" i="1"/>
  <c r="O1118" i="1"/>
  <c r="N1118" i="1"/>
  <c r="M1118" i="1"/>
  <c r="P1117" i="1"/>
  <c r="O1117" i="1"/>
  <c r="N1117" i="1"/>
  <c r="M1117" i="1"/>
  <c r="P1116" i="1"/>
  <c r="O1116" i="1"/>
  <c r="N1116" i="1"/>
  <c r="M1116" i="1"/>
  <c r="P1115" i="1"/>
  <c r="O1115" i="1"/>
  <c r="N1115" i="1"/>
  <c r="M1115" i="1"/>
  <c r="P1114" i="1"/>
  <c r="O1114" i="1"/>
  <c r="N1114" i="1"/>
  <c r="M1114" i="1"/>
  <c r="P1113" i="1"/>
  <c r="O1113" i="1"/>
  <c r="N1113" i="1"/>
  <c r="M1113" i="1"/>
  <c r="P1112" i="1"/>
  <c r="O1112" i="1"/>
  <c r="N1112" i="1"/>
  <c r="M1112" i="1"/>
  <c r="P1111" i="1"/>
  <c r="O1111" i="1"/>
  <c r="N1111" i="1"/>
  <c r="M1111" i="1"/>
  <c r="P1110" i="1"/>
  <c r="O1110" i="1"/>
  <c r="N1110" i="1"/>
  <c r="M1110" i="1"/>
  <c r="P1109" i="1"/>
  <c r="O1109" i="1"/>
  <c r="N1109" i="1"/>
  <c r="M1109" i="1"/>
  <c r="P1108" i="1"/>
  <c r="O1108" i="1"/>
  <c r="N1108" i="1"/>
  <c r="M1108" i="1"/>
  <c r="P1107" i="1"/>
  <c r="O1107" i="1"/>
  <c r="N1107" i="1"/>
  <c r="M1107" i="1"/>
  <c r="P1106" i="1"/>
  <c r="O1106" i="1"/>
  <c r="N1106" i="1"/>
  <c r="M1106" i="1"/>
  <c r="P1105" i="1"/>
  <c r="O1105" i="1"/>
  <c r="N1105" i="1"/>
  <c r="M1105" i="1"/>
  <c r="P1104" i="1"/>
  <c r="O1104" i="1"/>
  <c r="N1104" i="1"/>
  <c r="M1104" i="1"/>
  <c r="P1103" i="1"/>
  <c r="O1103" i="1"/>
  <c r="N1103" i="1"/>
  <c r="M1103" i="1"/>
  <c r="P1102" i="1"/>
  <c r="O1102" i="1"/>
  <c r="N1102" i="1"/>
  <c r="M1102" i="1"/>
  <c r="P1101" i="1"/>
  <c r="O1101" i="1"/>
  <c r="N1101" i="1"/>
  <c r="M1101" i="1"/>
  <c r="P1100" i="1"/>
  <c r="O1100" i="1"/>
  <c r="N1100" i="1"/>
  <c r="M1100" i="1"/>
  <c r="P1099" i="1"/>
  <c r="O1099" i="1"/>
  <c r="N1099" i="1"/>
  <c r="M1099" i="1"/>
  <c r="P1098" i="1"/>
  <c r="O1098" i="1"/>
  <c r="N1098" i="1"/>
  <c r="M1098" i="1"/>
  <c r="P1097" i="1"/>
  <c r="O1097" i="1"/>
  <c r="N1097" i="1"/>
  <c r="M1097" i="1"/>
  <c r="P1096" i="1"/>
  <c r="O1096" i="1"/>
  <c r="N1096" i="1"/>
  <c r="M1096" i="1"/>
  <c r="P1095" i="1"/>
  <c r="O1095" i="1"/>
  <c r="N1095" i="1"/>
  <c r="M1095" i="1"/>
  <c r="P1094" i="1"/>
  <c r="O1094" i="1"/>
  <c r="N1094" i="1"/>
  <c r="M1094" i="1"/>
  <c r="P1093" i="1"/>
  <c r="O1093" i="1"/>
  <c r="N1093" i="1"/>
  <c r="M1093" i="1"/>
  <c r="P1092" i="1"/>
  <c r="O1092" i="1"/>
  <c r="N1092" i="1"/>
  <c r="M1092" i="1"/>
  <c r="P1091" i="1"/>
  <c r="O1091" i="1"/>
  <c r="N1091" i="1"/>
  <c r="M1091" i="1"/>
  <c r="P1090" i="1"/>
  <c r="O1090" i="1"/>
  <c r="N1090" i="1"/>
  <c r="M1090" i="1"/>
  <c r="P1089" i="1"/>
  <c r="O1089" i="1"/>
  <c r="N1089" i="1"/>
  <c r="M1089" i="1"/>
  <c r="P1088" i="1"/>
  <c r="O1088" i="1"/>
  <c r="N1088" i="1"/>
  <c r="M1088" i="1"/>
  <c r="P1087" i="1"/>
  <c r="O1087" i="1"/>
  <c r="N1087" i="1"/>
  <c r="M1087" i="1"/>
  <c r="P1086" i="1"/>
  <c r="O1086" i="1"/>
  <c r="N1086" i="1"/>
  <c r="M1086" i="1"/>
  <c r="P1085" i="1"/>
  <c r="O1085" i="1"/>
  <c r="N1085" i="1"/>
  <c r="M1085" i="1"/>
  <c r="P1084" i="1"/>
  <c r="O1084" i="1"/>
  <c r="N1084" i="1"/>
  <c r="M1084" i="1"/>
  <c r="P1083" i="1"/>
  <c r="O1083" i="1"/>
  <c r="N1083" i="1"/>
  <c r="M1083" i="1"/>
  <c r="P1082" i="1"/>
  <c r="O1082" i="1"/>
  <c r="N1082" i="1"/>
  <c r="M1082" i="1"/>
  <c r="P1081" i="1"/>
  <c r="O1081" i="1"/>
  <c r="N1081" i="1"/>
  <c r="M1081" i="1"/>
  <c r="P1080" i="1"/>
  <c r="O1080" i="1"/>
  <c r="N1080" i="1"/>
  <c r="M1080" i="1"/>
  <c r="P1079" i="1"/>
  <c r="O1079" i="1"/>
  <c r="N1079" i="1"/>
  <c r="M1079" i="1"/>
  <c r="P1078" i="1"/>
  <c r="O1078" i="1"/>
  <c r="N1078" i="1"/>
  <c r="M1078" i="1"/>
  <c r="P1077" i="1"/>
  <c r="O1077" i="1"/>
  <c r="N1077" i="1"/>
  <c r="M1077" i="1"/>
  <c r="P1076" i="1"/>
  <c r="O1076" i="1"/>
  <c r="N1076" i="1"/>
  <c r="M1076" i="1"/>
  <c r="P1075" i="1"/>
  <c r="O1075" i="1"/>
  <c r="N1075" i="1"/>
  <c r="M1075" i="1"/>
  <c r="P1074" i="1"/>
  <c r="O1074" i="1"/>
  <c r="N1074" i="1"/>
  <c r="M1074" i="1"/>
  <c r="P1073" i="1"/>
  <c r="O1073" i="1"/>
  <c r="N1073" i="1"/>
  <c r="M1073" i="1"/>
  <c r="P1072" i="1"/>
  <c r="O1072" i="1"/>
  <c r="N1072" i="1"/>
  <c r="M1072" i="1"/>
  <c r="P1071" i="1"/>
  <c r="O1071" i="1"/>
  <c r="N1071" i="1"/>
  <c r="M1071" i="1"/>
  <c r="P1070" i="1"/>
  <c r="O1070" i="1"/>
  <c r="N1070" i="1"/>
  <c r="M1070" i="1"/>
  <c r="P1069" i="1"/>
  <c r="O1069" i="1"/>
  <c r="N1069" i="1"/>
  <c r="M1069" i="1"/>
  <c r="P1068" i="1"/>
  <c r="O1068" i="1"/>
  <c r="N1068" i="1"/>
  <c r="M1068" i="1"/>
  <c r="P1067" i="1"/>
  <c r="O1067" i="1"/>
  <c r="N1067" i="1"/>
  <c r="M1067" i="1"/>
  <c r="P1066" i="1"/>
  <c r="O1066" i="1"/>
  <c r="N1066" i="1"/>
  <c r="M1066" i="1"/>
  <c r="P1065" i="1"/>
  <c r="O1065" i="1"/>
  <c r="N1065" i="1"/>
  <c r="M1065" i="1"/>
  <c r="P1064" i="1"/>
  <c r="O1064" i="1"/>
  <c r="N1064" i="1"/>
  <c r="M1064" i="1"/>
  <c r="P1063" i="1"/>
  <c r="O1063" i="1"/>
  <c r="N1063" i="1"/>
  <c r="M1063" i="1"/>
  <c r="P1062" i="1"/>
  <c r="O1062" i="1"/>
  <c r="N1062" i="1"/>
  <c r="M1062" i="1"/>
  <c r="P1061" i="1"/>
  <c r="O1061" i="1"/>
  <c r="N1061" i="1"/>
  <c r="M1061" i="1"/>
  <c r="P1060" i="1"/>
  <c r="O1060" i="1"/>
  <c r="N1060" i="1"/>
  <c r="M1060" i="1"/>
  <c r="P1059" i="1"/>
  <c r="O1059" i="1"/>
  <c r="N1059" i="1"/>
  <c r="M1059" i="1"/>
  <c r="P1058" i="1"/>
  <c r="O1058" i="1"/>
  <c r="N1058" i="1"/>
  <c r="M1058" i="1"/>
  <c r="P1057" i="1"/>
  <c r="O1057" i="1"/>
  <c r="N1057" i="1"/>
  <c r="M1057" i="1"/>
  <c r="P1056" i="1"/>
  <c r="O1056" i="1"/>
  <c r="N1056" i="1"/>
  <c r="M1056" i="1"/>
  <c r="P1055" i="1"/>
  <c r="O1055" i="1"/>
  <c r="N1055" i="1"/>
  <c r="M1055" i="1"/>
  <c r="P1054" i="1"/>
  <c r="O1054" i="1"/>
  <c r="N1054" i="1"/>
  <c r="M1054" i="1"/>
  <c r="P1053" i="1"/>
  <c r="O1053" i="1"/>
  <c r="N1053" i="1"/>
  <c r="M1053" i="1"/>
  <c r="P1052" i="1"/>
  <c r="O1052" i="1"/>
  <c r="N1052" i="1"/>
  <c r="M1052" i="1"/>
  <c r="P1051" i="1"/>
  <c r="O1051" i="1"/>
  <c r="N1051" i="1"/>
  <c r="M1051" i="1"/>
  <c r="P1050" i="1"/>
  <c r="O1050" i="1"/>
  <c r="N1050" i="1"/>
  <c r="M1050" i="1"/>
  <c r="P1049" i="1"/>
  <c r="O1049" i="1"/>
  <c r="N1049" i="1"/>
  <c r="M1049" i="1"/>
  <c r="P1048" i="1"/>
  <c r="O1048" i="1"/>
  <c r="N1048" i="1"/>
  <c r="M1048" i="1"/>
  <c r="P1047" i="1"/>
  <c r="O1047" i="1"/>
  <c r="N1047" i="1"/>
  <c r="M1047" i="1"/>
  <c r="P1046" i="1"/>
  <c r="O1046" i="1"/>
  <c r="N1046" i="1"/>
  <c r="M1046" i="1"/>
  <c r="P1045" i="1"/>
  <c r="O1045" i="1"/>
  <c r="N1045" i="1"/>
  <c r="M1045" i="1"/>
  <c r="P1044" i="1"/>
  <c r="O1044" i="1"/>
  <c r="N1044" i="1"/>
  <c r="M1044" i="1"/>
  <c r="P1043" i="1"/>
  <c r="O1043" i="1"/>
  <c r="N1043" i="1"/>
  <c r="M1043" i="1"/>
  <c r="P1042" i="1"/>
  <c r="O1042" i="1"/>
  <c r="N1042" i="1"/>
  <c r="M1042" i="1"/>
  <c r="P1041" i="1"/>
  <c r="O1041" i="1"/>
  <c r="N1041" i="1"/>
  <c r="M1041" i="1"/>
  <c r="P1040" i="1"/>
  <c r="O1040" i="1"/>
  <c r="N1040" i="1"/>
  <c r="M1040" i="1"/>
  <c r="P1039" i="1"/>
  <c r="O1039" i="1"/>
  <c r="N1039" i="1"/>
  <c r="M1039" i="1"/>
  <c r="P1038" i="1"/>
  <c r="O1038" i="1"/>
  <c r="N1038" i="1"/>
  <c r="M1038" i="1"/>
  <c r="P1037" i="1"/>
  <c r="O1037" i="1"/>
  <c r="N1037" i="1"/>
  <c r="M1037" i="1"/>
  <c r="P1036" i="1"/>
  <c r="O1036" i="1"/>
  <c r="N1036" i="1"/>
  <c r="M1036" i="1"/>
  <c r="P1035" i="1"/>
  <c r="O1035" i="1"/>
  <c r="N1035" i="1"/>
  <c r="M1035" i="1"/>
  <c r="P1034" i="1"/>
  <c r="O1034" i="1"/>
  <c r="N1034" i="1"/>
  <c r="M1034" i="1"/>
  <c r="P1033" i="1"/>
  <c r="O1033" i="1"/>
  <c r="N1033" i="1"/>
  <c r="M1033" i="1"/>
  <c r="P1032" i="1"/>
  <c r="O1032" i="1"/>
  <c r="N1032" i="1"/>
  <c r="M1032" i="1"/>
  <c r="P1031" i="1"/>
  <c r="O1031" i="1"/>
  <c r="N1031" i="1"/>
  <c r="M1031" i="1"/>
  <c r="P1030" i="1"/>
  <c r="O1030" i="1"/>
  <c r="N1030" i="1"/>
  <c r="M1030" i="1"/>
  <c r="P1029" i="1"/>
  <c r="O1029" i="1"/>
  <c r="N1029" i="1"/>
  <c r="M1029" i="1"/>
  <c r="P1028" i="1"/>
  <c r="O1028" i="1"/>
  <c r="N1028" i="1"/>
  <c r="M1028" i="1"/>
  <c r="P1027" i="1"/>
  <c r="O1027" i="1"/>
  <c r="N1027" i="1"/>
  <c r="M1027" i="1"/>
  <c r="P1026" i="1"/>
  <c r="O1026" i="1"/>
  <c r="N1026" i="1"/>
  <c r="M1026" i="1"/>
  <c r="P1025" i="1"/>
  <c r="O1025" i="1"/>
  <c r="N1025" i="1"/>
  <c r="M1025" i="1"/>
  <c r="P1024" i="1"/>
  <c r="O1024" i="1"/>
  <c r="N1024" i="1"/>
  <c r="M1024" i="1"/>
  <c r="P1023" i="1"/>
  <c r="O1023" i="1"/>
  <c r="N1023" i="1"/>
  <c r="M1023" i="1"/>
  <c r="P1022" i="1"/>
  <c r="O1022" i="1"/>
  <c r="N1022" i="1"/>
  <c r="M1022" i="1"/>
  <c r="P1021" i="1"/>
  <c r="O1021" i="1"/>
  <c r="N1021" i="1"/>
  <c r="M1021" i="1"/>
  <c r="P1020" i="1"/>
  <c r="O1020" i="1"/>
  <c r="N1020" i="1"/>
  <c r="M1020" i="1"/>
  <c r="P1019" i="1"/>
  <c r="O1019" i="1"/>
  <c r="N1019" i="1"/>
  <c r="M1019" i="1"/>
  <c r="P1018" i="1"/>
  <c r="O1018" i="1"/>
  <c r="N1018" i="1"/>
  <c r="M1018" i="1"/>
  <c r="P1017" i="1"/>
  <c r="O1017" i="1"/>
  <c r="N1017" i="1"/>
  <c r="M1017" i="1"/>
  <c r="P1016" i="1"/>
  <c r="O1016" i="1"/>
  <c r="N1016" i="1"/>
  <c r="M1016" i="1"/>
  <c r="P1015" i="1"/>
  <c r="O1015" i="1"/>
  <c r="N1015" i="1"/>
  <c r="M1015" i="1"/>
  <c r="P1014" i="1"/>
  <c r="O1014" i="1"/>
  <c r="N1014" i="1"/>
  <c r="M1014" i="1"/>
  <c r="P1013" i="1"/>
  <c r="O1013" i="1"/>
  <c r="N1013" i="1"/>
  <c r="M1013" i="1"/>
  <c r="P1012" i="1"/>
  <c r="O1012" i="1"/>
  <c r="N1012" i="1"/>
  <c r="M1012" i="1"/>
  <c r="P1011" i="1"/>
  <c r="O1011" i="1"/>
  <c r="N1011" i="1"/>
  <c r="M1011" i="1"/>
  <c r="P1010" i="1"/>
  <c r="O1010" i="1"/>
  <c r="N1010" i="1"/>
  <c r="M1010" i="1"/>
  <c r="P1009" i="1"/>
  <c r="O1009" i="1"/>
  <c r="N1009" i="1"/>
  <c r="M1009" i="1"/>
  <c r="P1008" i="1"/>
  <c r="O1008" i="1"/>
  <c r="N1008" i="1"/>
  <c r="M1008" i="1"/>
  <c r="P1007" i="1"/>
  <c r="O1007" i="1"/>
  <c r="N1007" i="1"/>
  <c r="M1007" i="1"/>
  <c r="P1006" i="1"/>
  <c r="O1006" i="1"/>
  <c r="N1006" i="1"/>
  <c r="M1006" i="1"/>
  <c r="P1005" i="1"/>
  <c r="O1005" i="1"/>
  <c r="N1005" i="1"/>
  <c r="M1005" i="1"/>
  <c r="P1004" i="1"/>
  <c r="O1004" i="1"/>
  <c r="N1004" i="1"/>
  <c r="M1004" i="1"/>
  <c r="P1003" i="1"/>
  <c r="O1003" i="1"/>
  <c r="N1003" i="1"/>
  <c r="M1003" i="1"/>
  <c r="P1002" i="1"/>
  <c r="O1002" i="1"/>
  <c r="N1002" i="1"/>
  <c r="M1002" i="1"/>
  <c r="P1001" i="1"/>
  <c r="O1001" i="1"/>
  <c r="N1001" i="1"/>
  <c r="M1001" i="1"/>
  <c r="P1000" i="1"/>
  <c r="O1000" i="1"/>
  <c r="N1000" i="1"/>
  <c r="M1000" i="1"/>
  <c r="P999" i="1"/>
  <c r="O999" i="1"/>
  <c r="N999" i="1"/>
  <c r="M999" i="1"/>
  <c r="P998" i="1"/>
  <c r="O998" i="1"/>
  <c r="N998" i="1"/>
  <c r="M998" i="1"/>
  <c r="P997" i="1"/>
  <c r="O997" i="1"/>
  <c r="N997" i="1"/>
  <c r="M997" i="1"/>
  <c r="P996" i="1"/>
  <c r="O996" i="1"/>
  <c r="N996" i="1"/>
  <c r="M996" i="1"/>
  <c r="P995" i="1"/>
  <c r="O995" i="1"/>
  <c r="N995" i="1"/>
  <c r="M995" i="1"/>
  <c r="P994" i="1"/>
  <c r="O994" i="1"/>
  <c r="N994" i="1"/>
  <c r="M994" i="1"/>
  <c r="P993" i="1"/>
  <c r="O993" i="1"/>
  <c r="N993" i="1"/>
  <c r="M993" i="1"/>
  <c r="P992" i="1"/>
  <c r="O992" i="1"/>
  <c r="N992" i="1"/>
  <c r="M992" i="1"/>
  <c r="P991" i="1"/>
  <c r="O991" i="1"/>
  <c r="N991" i="1"/>
  <c r="M991" i="1"/>
  <c r="P990" i="1"/>
  <c r="O990" i="1"/>
  <c r="N990" i="1"/>
  <c r="M990" i="1"/>
  <c r="P989" i="1"/>
  <c r="O989" i="1"/>
  <c r="N989" i="1"/>
  <c r="M989" i="1"/>
  <c r="P988" i="1"/>
  <c r="O988" i="1"/>
  <c r="N988" i="1"/>
  <c r="M988" i="1"/>
  <c r="P987" i="1"/>
  <c r="O987" i="1"/>
  <c r="N987" i="1"/>
  <c r="M987" i="1"/>
  <c r="P986" i="1"/>
  <c r="O986" i="1"/>
  <c r="N986" i="1"/>
  <c r="M986" i="1"/>
  <c r="P985" i="1"/>
  <c r="O985" i="1"/>
  <c r="N985" i="1"/>
  <c r="M985" i="1"/>
  <c r="P984" i="1"/>
  <c r="O984" i="1"/>
  <c r="N984" i="1"/>
  <c r="M984" i="1"/>
  <c r="P983" i="1"/>
  <c r="O983" i="1"/>
  <c r="N983" i="1"/>
  <c r="M983" i="1"/>
  <c r="P982" i="1"/>
  <c r="O982" i="1"/>
  <c r="N982" i="1"/>
  <c r="M982" i="1"/>
  <c r="P981" i="1"/>
  <c r="O981" i="1"/>
  <c r="N981" i="1"/>
  <c r="M981" i="1"/>
  <c r="P980" i="1"/>
  <c r="O980" i="1"/>
  <c r="N980" i="1"/>
  <c r="M980" i="1"/>
  <c r="P979" i="1"/>
  <c r="O979" i="1"/>
  <c r="N979" i="1"/>
  <c r="M979" i="1"/>
  <c r="P978" i="1"/>
  <c r="O978" i="1"/>
  <c r="N978" i="1"/>
  <c r="M978" i="1"/>
  <c r="P977" i="1"/>
  <c r="O977" i="1"/>
  <c r="N977" i="1"/>
  <c r="M977" i="1"/>
  <c r="P976" i="1"/>
  <c r="O976" i="1"/>
  <c r="N976" i="1"/>
  <c r="M976" i="1"/>
  <c r="P975" i="1"/>
  <c r="O975" i="1"/>
  <c r="N975" i="1"/>
  <c r="M975" i="1"/>
  <c r="P974" i="1"/>
  <c r="O974" i="1"/>
  <c r="N974" i="1"/>
  <c r="M974" i="1"/>
  <c r="P973" i="1"/>
  <c r="O973" i="1"/>
  <c r="N973" i="1"/>
  <c r="M973" i="1"/>
  <c r="P972" i="1"/>
  <c r="O972" i="1"/>
  <c r="N972" i="1"/>
  <c r="M972" i="1"/>
  <c r="P971" i="1"/>
  <c r="O971" i="1"/>
  <c r="N971" i="1"/>
  <c r="M971" i="1"/>
  <c r="P970" i="1"/>
  <c r="O970" i="1"/>
  <c r="N970" i="1"/>
  <c r="M970" i="1"/>
  <c r="P969" i="1"/>
  <c r="O969" i="1"/>
  <c r="N969" i="1"/>
  <c r="M969" i="1"/>
  <c r="P968" i="1"/>
  <c r="O968" i="1"/>
  <c r="N968" i="1"/>
  <c r="M968" i="1"/>
  <c r="P967" i="1"/>
  <c r="O967" i="1"/>
  <c r="N967" i="1"/>
  <c r="M967" i="1"/>
  <c r="P966" i="1"/>
  <c r="O966" i="1"/>
  <c r="N966" i="1"/>
  <c r="M966" i="1"/>
  <c r="P965" i="1"/>
  <c r="O965" i="1"/>
  <c r="N965" i="1"/>
  <c r="M965" i="1"/>
  <c r="P964" i="1"/>
  <c r="O964" i="1"/>
  <c r="N964" i="1"/>
  <c r="M964" i="1"/>
  <c r="P963" i="1"/>
  <c r="O963" i="1"/>
  <c r="N963" i="1"/>
  <c r="M963" i="1"/>
  <c r="P962" i="1"/>
  <c r="O962" i="1"/>
  <c r="N962" i="1"/>
  <c r="M962" i="1"/>
  <c r="P961" i="1"/>
  <c r="O961" i="1"/>
  <c r="N961" i="1"/>
  <c r="M961" i="1"/>
  <c r="P960" i="1"/>
  <c r="O960" i="1"/>
  <c r="N960" i="1"/>
  <c r="M960" i="1"/>
  <c r="P959" i="1"/>
  <c r="O959" i="1"/>
  <c r="N959" i="1"/>
  <c r="M959" i="1"/>
  <c r="P958" i="1"/>
  <c r="O958" i="1"/>
  <c r="N958" i="1"/>
  <c r="M958" i="1"/>
  <c r="P957" i="1"/>
  <c r="O957" i="1"/>
  <c r="N957" i="1"/>
  <c r="M957" i="1"/>
  <c r="P956" i="1"/>
  <c r="O956" i="1"/>
  <c r="N956" i="1"/>
  <c r="M956" i="1"/>
  <c r="P955" i="1"/>
  <c r="O955" i="1"/>
  <c r="N955" i="1"/>
  <c r="M955" i="1"/>
  <c r="P954" i="1"/>
  <c r="O954" i="1"/>
  <c r="N954" i="1"/>
  <c r="M954" i="1"/>
  <c r="P953" i="1"/>
  <c r="O953" i="1"/>
  <c r="N953" i="1"/>
  <c r="M953" i="1"/>
  <c r="P952" i="1"/>
  <c r="O952" i="1"/>
  <c r="N952" i="1"/>
  <c r="M952" i="1"/>
  <c r="P951" i="1"/>
  <c r="O951" i="1"/>
  <c r="N951" i="1"/>
  <c r="M951" i="1"/>
  <c r="P950" i="1"/>
  <c r="O950" i="1"/>
  <c r="N950" i="1"/>
  <c r="M950" i="1"/>
  <c r="P949" i="1"/>
  <c r="O949" i="1"/>
  <c r="N949" i="1"/>
  <c r="M949" i="1"/>
  <c r="P948" i="1"/>
  <c r="O948" i="1"/>
  <c r="N948" i="1"/>
  <c r="M948" i="1"/>
  <c r="P947" i="1"/>
  <c r="O947" i="1"/>
  <c r="N947" i="1"/>
  <c r="M947" i="1"/>
  <c r="P946" i="1"/>
  <c r="O946" i="1"/>
  <c r="N946" i="1"/>
  <c r="M946" i="1"/>
  <c r="P945" i="1"/>
  <c r="O945" i="1"/>
  <c r="N945" i="1"/>
  <c r="M945" i="1"/>
  <c r="P944" i="1"/>
  <c r="O944" i="1"/>
  <c r="N944" i="1"/>
  <c r="M944" i="1"/>
  <c r="P943" i="1"/>
  <c r="O943" i="1"/>
  <c r="N943" i="1"/>
  <c r="M943" i="1"/>
  <c r="P942" i="1"/>
  <c r="O942" i="1"/>
  <c r="N942" i="1"/>
  <c r="M942" i="1"/>
  <c r="P941" i="1"/>
  <c r="O941" i="1"/>
  <c r="N941" i="1"/>
  <c r="M941" i="1"/>
  <c r="P940" i="1"/>
  <c r="O940" i="1"/>
  <c r="N940" i="1"/>
  <c r="M940" i="1"/>
  <c r="P939" i="1"/>
  <c r="O939" i="1"/>
  <c r="N939" i="1"/>
  <c r="M939" i="1"/>
  <c r="P938" i="1"/>
  <c r="O938" i="1"/>
  <c r="N938" i="1"/>
  <c r="M938" i="1"/>
  <c r="P937" i="1"/>
  <c r="O937" i="1"/>
  <c r="N937" i="1"/>
  <c r="M937" i="1"/>
  <c r="P936" i="1"/>
  <c r="O936" i="1"/>
  <c r="N936" i="1"/>
  <c r="M936" i="1"/>
  <c r="P935" i="1"/>
  <c r="O935" i="1"/>
  <c r="N935" i="1"/>
  <c r="M935" i="1"/>
  <c r="P934" i="1"/>
  <c r="O934" i="1"/>
  <c r="N934" i="1"/>
  <c r="M934" i="1"/>
  <c r="P933" i="1"/>
  <c r="O933" i="1"/>
  <c r="N933" i="1"/>
  <c r="M933" i="1"/>
  <c r="P932" i="1"/>
  <c r="O932" i="1"/>
  <c r="N932" i="1"/>
  <c r="M932" i="1"/>
  <c r="P931" i="1"/>
  <c r="O931" i="1"/>
  <c r="N931" i="1"/>
  <c r="M931" i="1"/>
  <c r="P930" i="1"/>
  <c r="O930" i="1"/>
  <c r="N930" i="1"/>
  <c r="M930" i="1"/>
  <c r="P929" i="1"/>
  <c r="O929" i="1"/>
  <c r="N929" i="1"/>
  <c r="M929" i="1"/>
  <c r="P928" i="1"/>
  <c r="O928" i="1"/>
  <c r="N928" i="1"/>
  <c r="M928" i="1"/>
  <c r="P927" i="1"/>
  <c r="O927" i="1"/>
  <c r="N927" i="1"/>
  <c r="M927" i="1"/>
  <c r="P926" i="1"/>
  <c r="O926" i="1"/>
  <c r="N926" i="1"/>
  <c r="M926" i="1"/>
  <c r="P925" i="1"/>
  <c r="O925" i="1"/>
  <c r="N925" i="1"/>
  <c r="M925" i="1"/>
  <c r="P924" i="1"/>
  <c r="O924" i="1"/>
  <c r="N924" i="1"/>
  <c r="M924" i="1"/>
  <c r="P923" i="1"/>
  <c r="O923" i="1"/>
  <c r="N923" i="1"/>
  <c r="M923" i="1"/>
  <c r="P922" i="1"/>
  <c r="O922" i="1"/>
  <c r="N922" i="1"/>
  <c r="M922" i="1"/>
  <c r="P921" i="1"/>
  <c r="O921" i="1"/>
  <c r="N921" i="1"/>
  <c r="M921" i="1"/>
  <c r="P920" i="1"/>
  <c r="O920" i="1"/>
  <c r="N920" i="1"/>
  <c r="M920" i="1"/>
  <c r="P919" i="1"/>
  <c r="O919" i="1"/>
  <c r="N919" i="1"/>
  <c r="M919" i="1"/>
  <c r="P918" i="1"/>
  <c r="O918" i="1"/>
  <c r="N918" i="1"/>
  <c r="M918" i="1"/>
  <c r="P917" i="1"/>
  <c r="O917" i="1"/>
  <c r="N917" i="1"/>
  <c r="M917" i="1"/>
  <c r="P916" i="1"/>
  <c r="O916" i="1"/>
  <c r="N916" i="1"/>
  <c r="M916" i="1"/>
  <c r="P915" i="1"/>
  <c r="O915" i="1"/>
  <c r="N915" i="1"/>
  <c r="M915" i="1"/>
  <c r="P914" i="1"/>
  <c r="O914" i="1"/>
  <c r="N914" i="1"/>
  <c r="M914" i="1"/>
  <c r="P913" i="1"/>
  <c r="O913" i="1"/>
  <c r="N913" i="1"/>
  <c r="M913" i="1"/>
  <c r="P912" i="1"/>
  <c r="O912" i="1"/>
  <c r="N912" i="1"/>
  <c r="M912" i="1"/>
  <c r="P911" i="1"/>
  <c r="O911" i="1"/>
  <c r="N911" i="1"/>
  <c r="M911" i="1"/>
  <c r="P910" i="1"/>
  <c r="O910" i="1"/>
  <c r="N910" i="1"/>
  <c r="M910" i="1"/>
  <c r="P909" i="1"/>
  <c r="O909" i="1"/>
  <c r="N909" i="1"/>
  <c r="M909" i="1"/>
  <c r="P908" i="1"/>
  <c r="O908" i="1"/>
  <c r="N908" i="1"/>
  <c r="M908" i="1"/>
  <c r="P907" i="1"/>
  <c r="O907" i="1"/>
  <c r="N907" i="1"/>
  <c r="M907" i="1"/>
  <c r="P906" i="1"/>
  <c r="O906" i="1"/>
  <c r="N906" i="1"/>
  <c r="M906" i="1"/>
  <c r="P905" i="1"/>
  <c r="O905" i="1"/>
  <c r="N905" i="1"/>
  <c r="M905" i="1"/>
  <c r="P904" i="1"/>
  <c r="O904" i="1"/>
  <c r="N904" i="1"/>
  <c r="M904" i="1"/>
  <c r="P903" i="1"/>
  <c r="O903" i="1"/>
  <c r="N903" i="1"/>
  <c r="M903" i="1"/>
  <c r="P902" i="1"/>
  <c r="O902" i="1"/>
  <c r="N902" i="1"/>
  <c r="M902" i="1"/>
  <c r="P901" i="1"/>
  <c r="O901" i="1"/>
  <c r="N901" i="1"/>
  <c r="M901" i="1"/>
  <c r="P900" i="1"/>
  <c r="O900" i="1"/>
  <c r="N900" i="1"/>
  <c r="M900" i="1"/>
  <c r="P899" i="1"/>
  <c r="O899" i="1"/>
  <c r="N899" i="1"/>
  <c r="M899" i="1"/>
  <c r="P898" i="1"/>
  <c r="O898" i="1"/>
  <c r="N898" i="1"/>
  <c r="M898" i="1"/>
  <c r="P897" i="1"/>
  <c r="O897" i="1"/>
  <c r="N897" i="1"/>
  <c r="M897" i="1"/>
  <c r="P896" i="1"/>
  <c r="O896" i="1"/>
  <c r="N896" i="1"/>
  <c r="M896" i="1"/>
  <c r="P895" i="1"/>
  <c r="O895" i="1"/>
  <c r="N895" i="1"/>
  <c r="M895" i="1"/>
  <c r="P894" i="1"/>
  <c r="O894" i="1"/>
  <c r="N894" i="1"/>
  <c r="M894" i="1"/>
  <c r="P893" i="1"/>
  <c r="O893" i="1"/>
  <c r="N893" i="1"/>
  <c r="M893" i="1"/>
  <c r="P892" i="1"/>
  <c r="O892" i="1"/>
  <c r="N892" i="1"/>
  <c r="M892" i="1"/>
  <c r="P891" i="1"/>
  <c r="O891" i="1"/>
  <c r="N891" i="1"/>
  <c r="M891" i="1"/>
  <c r="P890" i="1"/>
  <c r="O890" i="1"/>
  <c r="N890" i="1"/>
  <c r="M890" i="1"/>
  <c r="P889" i="1"/>
  <c r="O889" i="1"/>
  <c r="N889" i="1"/>
  <c r="M889" i="1"/>
  <c r="P888" i="1"/>
  <c r="O888" i="1"/>
  <c r="N888" i="1"/>
  <c r="M888" i="1"/>
  <c r="P887" i="1"/>
  <c r="O887" i="1"/>
  <c r="N887" i="1"/>
  <c r="M887" i="1"/>
  <c r="P886" i="1"/>
  <c r="O886" i="1"/>
  <c r="N886" i="1"/>
  <c r="M886" i="1"/>
  <c r="P885" i="1"/>
  <c r="O885" i="1"/>
  <c r="N885" i="1"/>
  <c r="M885" i="1"/>
  <c r="P884" i="1"/>
  <c r="O884" i="1"/>
  <c r="N884" i="1"/>
  <c r="M884" i="1"/>
  <c r="P883" i="1"/>
  <c r="O883" i="1"/>
  <c r="N883" i="1"/>
  <c r="M883" i="1"/>
  <c r="P882" i="1"/>
  <c r="O882" i="1"/>
  <c r="N882" i="1"/>
  <c r="M882" i="1"/>
  <c r="P881" i="1"/>
  <c r="O881" i="1"/>
  <c r="N881" i="1"/>
  <c r="M881" i="1"/>
  <c r="P880" i="1"/>
  <c r="O880" i="1"/>
  <c r="N880" i="1"/>
  <c r="M880" i="1"/>
  <c r="P879" i="1"/>
  <c r="O879" i="1"/>
  <c r="N879" i="1"/>
  <c r="M879" i="1"/>
  <c r="P878" i="1"/>
  <c r="O878" i="1"/>
  <c r="N878" i="1"/>
  <c r="M878" i="1"/>
  <c r="P877" i="1"/>
  <c r="O877" i="1"/>
  <c r="N877" i="1"/>
  <c r="M877" i="1"/>
  <c r="P876" i="1"/>
  <c r="O876" i="1"/>
  <c r="N876" i="1"/>
  <c r="M876" i="1"/>
  <c r="P875" i="1"/>
  <c r="O875" i="1"/>
  <c r="N875" i="1"/>
  <c r="M875" i="1"/>
  <c r="P874" i="1"/>
  <c r="O874" i="1"/>
  <c r="N874" i="1"/>
  <c r="M874" i="1"/>
  <c r="P873" i="1"/>
  <c r="O873" i="1"/>
  <c r="N873" i="1"/>
  <c r="M873" i="1"/>
  <c r="P872" i="1"/>
  <c r="O872" i="1"/>
  <c r="N872" i="1"/>
  <c r="M872" i="1"/>
  <c r="P871" i="1"/>
  <c r="O871" i="1"/>
  <c r="N871" i="1"/>
  <c r="M871" i="1"/>
  <c r="P870" i="1"/>
  <c r="O870" i="1"/>
  <c r="N870" i="1"/>
  <c r="M870" i="1"/>
  <c r="P869" i="1"/>
  <c r="O869" i="1"/>
  <c r="N869" i="1"/>
  <c r="M869" i="1"/>
  <c r="P868" i="1"/>
  <c r="O868" i="1"/>
  <c r="N868" i="1"/>
  <c r="M868" i="1"/>
  <c r="P867" i="1"/>
  <c r="O867" i="1"/>
  <c r="N867" i="1"/>
  <c r="M867" i="1"/>
  <c r="P866" i="1"/>
  <c r="O866" i="1"/>
  <c r="N866" i="1"/>
  <c r="M866" i="1"/>
  <c r="P865" i="1"/>
  <c r="O865" i="1"/>
  <c r="N865" i="1"/>
  <c r="M865" i="1"/>
  <c r="P864" i="1"/>
  <c r="O864" i="1"/>
  <c r="N864" i="1"/>
  <c r="M864" i="1"/>
  <c r="P863" i="1"/>
  <c r="O863" i="1"/>
  <c r="N863" i="1"/>
  <c r="M863" i="1"/>
  <c r="P862" i="1"/>
  <c r="O862" i="1"/>
  <c r="N862" i="1"/>
  <c r="M862" i="1"/>
  <c r="P861" i="1"/>
  <c r="O861" i="1"/>
  <c r="N861" i="1"/>
  <c r="M861" i="1"/>
  <c r="P860" i="1"/>
  <c r="O860" i="1"/>
  <c r="N860" i="1"/>
  <c r="M860" i="1"/>
  <c r="P859" i="1"/>
  <c r="O859" i="1"/>
  <c r="N859" i="1"/>
  <c r="M859" i="1"/>
  <c r="P858" i="1"/>
  <c r="O858" i="1"/>
  <c r="N858" i="1"/>
  <c r="M858" i="1"/>
  <c r="P857" i="1"/>
  <c r="O857" i="1"/>
  <c r="N857" i="1"/>
  <c r="M857" i="1"/>
  <c r="P856" i="1"/>
  <c r="O856" i="1"/>
  <c r="N856" i="1"/>
  <c r="M856" i="1"/>
  <c r="P855" i="1"/>
  <c r="O855" i="1"/>
  <c r="N855" i="1"/>
  <c r="M855" i="1"/>
  <c r="P854" i="1"/>
  <c r="O854" i="1"/>
  <c r="N854" i="1"/>
  <c r="M854" i="1"/>
  <c r="P853" i="1"/>
  <c r="O853" i="1"/>
  <c r="N853" i="1"/>
  <c r="M853" i="1"/>
  <c r="P852" i="1"/>
  <c r="O852" i="1"/>
  <c r="N852" i="1"/>
  <c r="M852" i="1"/>
  <c r="P851" i="1"/>
  <c r="O851" i="1"/>
  <c r="N851" i="1"/>
  <c r="M851" i="1"/>
  <c r="P850" i="1"/>
  <c r="O850" i="1"/>
  <c r="N850" i="1"/>
  <c r="M850" i="1"/>
  <c r="P849" i="1"/>
  <c r="O849" i="1"/>
  <c r="N849" i="1"/>
  <c r="M849" i="1"/>
  <c r="P848" i="1"/>
  <c r="O848" i="1"/>
  <c r="N848" i="1"/>
  <c r="M848" i="1"/>
  <c r="P847" i="1"/>
  <c r="O847" i="1"/>
  <c r="N847" i="1"/>
  <c r="M847" i="1"/>
  <c r="P846" i="1"/>
  <c r="O846" i="1"/>
  <c r="N846" i="1"/>
  <c r="M846" i="1"/>
  <c r="P845" i="1"/>
  <c r="O845" i="1"/>
  <c r="N845" i="1"/>
  <c r="M845" i="1"/>
  <c r="P844" i="1"/>
  <c r="O844" i="1"/>
  <c r="N844" i="1"/>
  <c r="M844" i="1"/>
  <c r="P843" i="1"/>
  <c r="O843" i="1"/>
  <c r="N843" i="1"/>
  <c r="M843" i="1"/>
  <c r="P842" i="1"/>
  <c r="O842" i="1"/>
  <c r="N842" i="1"/>
  <c r="M842" i="1"/>
  <c r="P841" i="1"/>
  <c r="O841" i="1"/>
  <c r="N841" i="1"/>
  <c r="M841" i="1"/>
  <c r="P840" i="1"/>
  <c r="O840" i="1"/>
  <c r="N840" i="1"/>
  <c r="M840" i="1"/>
  <c r="P839" i="1"/>
  <c r="O839" i="1"/>
  <c r="N839" i="1"/>
  <c r="M839" i="1"/>
  <c r="P838" i="1"/>
  <c r="O838" i="1"/>
  <c r="N838" i="1"/>
  <c r="M838" i="1"/>
  <c r="P837" i="1"/>
  <c r="O837" i="1"/>
  <c r="N837" i="1"/>
  <c r="M837" i="1"/>
  <c r="P836" i="1"/>
  <c r="O836" i="1"/>
  <c r="N836" i="1"/>
  <c r="M836" i="1"/>
  <c r="P835" i="1"/>
  <c r="O835" i="1"/>
  <c r="N835" i="1"/>
  <c r="M835" i="1"/>
  <c r="P834" i="1"/>
  <c r="O834" i="1"/>
  <c r="N834" i="1"/>
  <c r="M834" i="1"/>
  <c r="P833" i="1"/>
  <c r="O833" i="1"/>
  <c r="N833" i="1"/>
  <c r="M833" i="1"/>
  <c r="P832" i="1"/>
  <c r="O832" i="1"/>
  <c r="N832" i="1"/>
  <c r="M832" i="1"/>
  <c r="P831" i="1"/>
  <c r="O831" i="1"/>
  <c r="N831" i="1"/>
  <c r="M831" i="1"/>
  <c r="P830" i="1"/>
  <c r="O830" i="1"/>
  <c r="N830" i="1"/>
  <c r="M830" i="1"/>
  <c r="P829" i="1"/>
  <c r="O829" i="1"/>
  <c r="N829" i="1"/>
  <c r="M829" i="1"/>
  <c r="P828" i="1"/>
  <c r="O828" i="1"/>
  <c r="N828" i="1"/>
  <c r="M828" i="1"/>
  <c r="P827" i="1"/>
  <c r="O827" i="1"/>
  <c r="N827" i="1"/>
  <c r="M827" i="1"/>
  <c r="P826" i="1"/>
  <c r="O826" i="1"/>
  <c r="N826" i="1"/>
  <c r="M826" i="1"/>
  <c r="P825" i="1"/>
  <c r="O825" i="1"/>
  <c r="N825" i="1"/>
  <c r="M825" i="1"/>
  <c r="P824" i="1"/>
  <c r="O824" i="1"/>
  <c r="N824" i="1"/>
  <c r="M824" i="1"/>
  <c r="P823" i="1"/>
  <c r="O823" i="1"/>
  <c r="N823" i="1"/>
  <c r="M823" i="1"/>
  <c r="P822" i="1"/>
  <c r="O822" i="1"/>
  <c r="N822" i="1"/>
  <c r="M822" i="1"/>
  <c r="P821" i="1"/>
  <c r="O821" i="1"/>
  <c r="N821" i="1"/>
  <c r="M821" i="1"/>
  <c r="P820" i="1"/>
  <c r="O820" i="1"/>
  <c r="N820" i="1"/>
  <c r="M820" i="1"/>
  <c r="P819" i="1"/>
  <c r="O819" i="1"/>
  <c r="N819" i="1"/>
  <c r="M819" i="1"/>
  <c r="P818" i="1"/>
  <c r="O818" i="1"/>
  <c r="N818" i="1"/>
  <c r="M818" i="1"/>
  <c r="P817" i="1"/>
  <c r="O817" i="1"/>
  <c r="N817" i="1"/>
  <c r="M817" i="1"/>
  <c r="P816" i="1"/>
  <c r="O816" i="1"/>
  <c r="N816" i="1"/>
  <c r="M816" i="1"/>
  <c r="P815" i="1"/>
  <c r="O815" i="1"/>
  <c r="N815" i="1"/>
  <c r="M815" i="1"/>
  <c r="P814" i="1"/>
  <c r="O814" i="1"/>
  <c r="N814" i="1"/>
  <c r="M814" i="1"/>
  <c r="P813" i="1"/>
  <c r="O813" i="1"/>
  <c r="N813" i="1"/>
  <c r="M813" i="1"/>
  <c r="P812" i="1"/>
  <c r="O812" i="1"/>
  <c r="N812" i="1"/>
  <c r="M812" i="1"/>
  <c r="P811" i="1"/>
  <c r="O811" i="1"/>
  <c r="N811" i="1"/>
  <c r="M811" i="1"/>
  <c r="P810" i="1"/>
  <c r="O810" i="1"/>
  <c r="N810" i="1"/>
  <c r="M810" i="1"/>
  <c r="P809" i="1"/>
  <c r="O809" i="1"/>
  <c r="N809" i="1"/>
  <c r="M809" i="1"/>
  <c r="P808" i="1"/>
  <c r="O808" i="1"/>
  <c r="N808" i="1"/>
  <c r="M808" i="1"/>
  <c r="P807" i="1"/>
  <c r="O807" i="1"/>
  <c r="N807" i="1"/>
  <c r="M807" i="1"/>
  <c r="P806" i="1"/>
  <c r="O806" i="1"/>
  <c r="N806" i="1"/>
  <c r="M806" i="1"/>
  <c r="P805" i="1"/>
  <c r="O805" i="1"/>
  <c r="N805" i="1"/>
  <c r="M805" i="1"/>
  <c r="P804" i="1"/>
  <c r="O804" i="1"/>
  <c r="N804" i="1"/>
  <c r="M804" i="1"/>
  <c r="P803" i="1"/>
  <c r="O803" i="1"/>
  <c r="N803" i="1"/>
  <c r="M803" i="1"/>
  <c r="P802" i="1"/>
  <c r="O802" i="1"/>
  <c r="N802" i="1"/>
  <c r="M802" i="1"/>
  <c r="P801" i="1"/>
  <c r="O801" i="1"/>
  <c r="N801" i="1"/>
  <c r="M801" i="1"/>
  <c r="P800" i="1"/>
  <c r="O800" i="1"/>
  <c r="N800" i="1"/>
  <c r="M800" i="1"/>
  <c r="P799" i="1"/>
  <c r="O799" i="1"/>
  <c r="N799" i="1"/>
  <c r="M799" i="1"/>
  <c r="P798" i="1"/>
  <c r="O798" i="1"/>
  <c r="N798" i="1"/>
  <c r="M798" i="1"/>
  <c r="P797" i="1"/>
  <c r="O797" i="1"/>
  <c r="N797" i="1"/>
  <c r="M797" i="1"/>
  <c r="P796" i="1"/>
  <c r="O796" i="1"/>
  <c r="N796" i="1"/>
  <c r="M796" i="1"/>
  <c r="P795" i="1"/>
  <c r="O795" i="1"/>
  <c r="N795" i="1"/>
  <c r="M795" i="1"/>
  <c r="P794" i="1"/>
  <c r="O794" i="1"/>
  <c r="N794" i="1"/>
  <c r="M794" i="1"/>
  <c r="P793" i="1"/>
  <c r="O793" i="1"/>
  <c r="N793" i="1"/>
  <c r="M793" i="1"/>
  <c r="P792" i="1"/>
  <c r="O792" i="1"/>
  <c r="N792" i="1"/>
  <c r="M792" i="1"/>
  <c r="P791" i="1"/>
  <c r="O791" i="1"/>
  <c r="N791" i="1"/>
  <c r="M791" i="1"/>
  <c r="P790" i="1"/>
  <c r="O790" i="1"/>
  <c r="N790" i="1"/>
  <c r="M790" i="1"/>
  <c r="P789" i="1"/>
  <c r="O789" i="1"/>
  <c r="N789" i="1"/>
  <c r="M789" i="1"/>
  <c r="P788" i="1"/>
  <c r="O788" i="1"/>
  <c r="N788" i="1"/>
  <c r="M788" i="1"/>
  <c r="P787" i="1"/>
  <c r="O787" i="1"/>
  <c r="N787" i="1"/>
  <c r="M787" i="1"/>
  <c r="P786" i="1"/>
  <c r="O786" i="1"/>
  <c r="N786" i="1"/>
  <c r="M786" i="1"/>
  <c r="P785" i="1"/>
  <c r="O785" i="1"/>
  <c r="N785" i="1"/>
  <c r="M785" i="1"/>
  <c r="P784" i="1"/>
  <c r="O784" i="1"/>
  <c r="N784" i="1"/>
  <c r="M784" i="1"/>
  <c r="P783" i="1"/>
  <c r="O783" i="1"/>
  <c r="N783" i="1"/>
  <c r="M783" i="1"/>
  <c r="P782" i="1"/>
  <c r="O782" i="1"/>
  <c r="N782" i="1"/>
  <c r="M782" i="1"/>
  <c r="P781" i="1"/>
  <c r="O781" i="1"/>
  <c r="N781" i="1"/>
  <c r="M781" i="1"/>
  <c r="P780" i="1"/>
  <c r="O780" i="1"/>
  <c r="N780" i="1"/>
  <c r="M780" i="1"/>
  <c r="P779" i="1"/>
  <c r="O779" i="1"/>
  <c r="N779" i="1"/>
  <c r="M779" i="1"/>
  <c r="P778" i="1"/>
  <c r="O778" i="1"/>
  <c r="N778" i="1"/>
  <c r="M778" i="1"/>
  <c r="P777" i="1"/>
  <c r="O777" i="1"/>
  <c r="N777" i="1"/>
  <c r="M777" i="1"/>
  <c r="P776" i="1"/>
  <c r="O776" i="1"/>
  <c r="N776" i="1"/>
  <c r="M776" i="1"/>
  <c r="P775" i="1"/>
  <c r="O775" i="1"/>
  <c r="N775" i="1"/>
  <c r="M775" i="1"/>
  <c r="P774" i="1"/>
  <c r="O774" i="1"/>
  <c r="N774" i="1"/>
  <c r="M774" i="1"/>
  <c r="P773" i="1"/>
  <c r="O773" i="1"/>
  <c r="N773" i="1"/>
  <c r="M773" i="1"/>
  <c r="P772" i="1"/>
  <c r="O772" i="1"/>
  <c r="N772" i="1"/>
  <c r="M772" i="1"/>
  <c r="P771" i="1"/>
  <c r="O771" i="1"/>
  <c r="N771" i="1"/>
  <c r="M771" i="1"/>
  <c r="P770" i="1"/>
  <c r="O770" i="1"/>
  <c r="N770" i="1"/>
  <c r="M770" i="1"/>
  <c r="P769" i="1"/>
  <c r="O769" i="1"/>
  <c r="N769" i="1"/>
  <c r="M769" i="1"/>
  <c r="P768" i="1"/>
  <c r="O768" i="1"/>
  <c r="N768" i="1"/>
  <c r="M768" i="1"/>
  <c r="P767" i="1"/>
  <c r="O767" i="1"/>
  <c r="N767" i="1"/>
  <c r="M767" i="1"/>
  <c r="P766" i="1"/>
  <c r="O766" i="1"/>
  <c r="N766" i="1"/>
  <c r="M766" i="1"/>
  <c r="P765" i="1"/>
  <c r="O765" i="1"/>
  <c r="N765" i="1"/>
  <c r="M765" i="1"/>
  <c r="P764" i="1"/>
  <c r="O764" i="1"/>
  <c r="N764" i="1"/>
  <c r="M764" i="1"/>
  <c r="P763" i="1"/>
  <c r="O763" i="1"/>
  <c r="N763" i="1"/>
  <c r="M763" i="1"/>
  <c r="P762" i="1"/>
  <c r="O762" i="1"/>
  <c r="N762" i="1"/>
  <c r="M762" i="1"/>
  <c r="P761" i="1"/>
  <c r="O761" i="1"/>
  <c r="N761" i="1"/>
  <c r="M761" i="1"/>
  <c r="P760" i="1"/>
  <c r="O760" i="1"/>
  <c r="N760" i="1"/>
  <c r="M760" i="1"/>
  <c r="P759" i="1"/>
  <c r="O759" i="1"/>
  <c r="N759" i="1"/>
  <c r="M759" i="1"/>
  <c r="P758" i="1"/>
  <c r="O758" i="1"/>
  <c r="N758" i="1"/>
  <c r="M758" i="1"/>
  <c r="P757" i="1"/>
  <c r="O757" i="1"/>
  <c r="N757" i="1"/>
  <c r="M757" i="1"/>
  <c r="P756" i="1"/>
  <c r="O756" i="1"/>
  <c r="N756" i="1"/>
  <c r="M756" i="1"/>
  <c r="P755" i="1"/>
  <c r="O755" i="1"/>
  <c r="N755" i="1"/>
  <c r="M755" i="1"/>
  <c r="P754" i="1"/>
  <c r="O754" i="1"/>
  <c r="N754" i="1"/>
  <c r="M754" i="1"/>
  <c r="P753" i="1"/>
  <c r="O753" i="1"/>
  <c r="N753" i="1"/>
  <c r="M753" i="1"/>
  <c r="P752" i="1"/>
  <c r="O752" i="1"/>
  <c r="N752" i="1"/>
  <c r="M752" i="1"/>
  <c r="P751" i="1"/>
  <c r="O751" i="1"/>
  <c r="N751" i="1"/>
  <c r="M751" i="1"/>
  <c r="P750" i="1"/>
  <c r="O750" i="1"/>
  <c r="N750" i="1"/>
  <c r="M750" i="1"/>
  <c r="P749" i="1"/>
  <c r="O749" i="1"/>
  <c r="N749" i="1"/>
  <c r="M749" i="1"/>
  <c r="P748" i="1"/>
  <c r="O748" i="1"/>
  <c r="N748" i="1"/>
  <c r="M748" i="1"/>
  <c r="P747" i="1"/>
  <c r="O747" i="1"/>
  <c r="N747" i="1"/>
  <c r="M747" i="1"/>
  <c r="P746" i="1"/>
  <c r="O746" i="1"/>
  <c r="N746" i="1"/>
  <c r="M746" i="1"/>
  <c r="P745" i="1"/>
  <c r="O745" i="1"/>
  <c r="N745" i="1"/>
  <c r="M745" i="1"/>
  <c r="P744" i="1"/>
  <c r="O744" i="1"/>
  <c r="N744" i="1"/>
  <c r="M744" i="1"/>
  <c r="P743" i="1"/>
  <c r="O743" i="1"/>
  <c r="N743" i="1"/>
  <c r="M743" i="1"/>
  <c r="P742" i="1"/>
  <c r="O742" i="1"/>
  <c r="N742" i="1"/>
  <c r="M742" i="1"/>
  <c r="P741" i="1"/>
  <c r="O741" i="1"/>
  <c r="N741" i="1"/>
  <c r="M741" i="1"/>
  <c r="P740" i="1"/>
  <c r="O740" i="1"/>
  <c r="N740" i="1"/>
  <c r="M740" i="1"/>
  <c r="P739" i="1"/>
  <c r="O739" i="1"/>
  <c r="N739" i="1"/>
  <c r="M739" i="1"/>
  <c r="P738" i="1"/>
  <c r="O738" i="1"/>
  <c r="N738" i="1"/>
  <c r="M738" i="1"/>
  <c r="P737" i="1"/>
  <c r="O737" i="1"/>
  <c r="N737" i="1"/>
  <c r="M737" i="1"/>
  <c r="P736" i="1"/>
  <c r="O736" i="1"/>
  <c r="N736" i="1"/>
  <c r="M736" i="1"/>
  <c r="P735" i="1"/>
  <c r="O735" i="1"/>
  <c r="N735" i="1"/>
  <c r="M735" i="1"/>
  <c r="P734" i="1"/>
  <c r="O734" i="1"/>
  <c r="N734" i="1"/>
  <c r="M734" i="1"/>
  <c r="P733" i="1"/>
  <c r="O733" i="1"/>
  <c r="N733" i="1"/>
  <c r="M733" i="1"/>
  <c r="P732" i="1"/>
  <c r="O732" i="1"/>
  <c r="N732" i="1"/>
  <c r="M732" i="1"/>
  <c r="P731" i="1"/>
  <c r="O731" i="1"/>
  <c r="N731" i="1"/>
  <c r="M731" i="1"/>
  <c r="P730" i="1"/>
  <c r="O730" i="1"/>
  <c r="N730" i="1"/>
  <c r="M730" i="1"/>
  <c r="P729" i="1"/>
  <c r="O729" i="1"/>
  <c r="N729" i="1"/>
  <c r="M729" i="1"/>
  <c r="P728" i="1"/>
  <c r="O728" i="1"/>
  <c r="N728" i="1"/>
  <c r="M728" i="1"/>
  <c r="P727" i="1"/>
  <c r="O727" i="1"/>
  <c r="N727" i="1"/>
  <c r="M727" i="1"/>
  <c r="P726" i="1"/>
  <c r="O726" i="1"/>
  <c r="N726" i="1"/>
  <c r="M726" i="1"/>
  <c r="P725" i="1"/>
  <c r="O725" i="1"/>
  <c r="N725" i="1"/>
  <c r="M725" i="1"/>
  <c r="P724" i="1"/>
  <c r="O724" i="1"/>
  <c r="N724" i="1"/>
  <c r="M724" i="1"/>
  <c r="P723" i="1"/>
  <c r="O723" i="1"/>
  <c r="N723" i="1"/>
  <c r="M723" i="1"/>
  <c r="P722" i="1"/>
  <c r="O722" i="1"/>
  <c r="N722" i="1"/>
  <c r="M722" i="1"/>
  <c r="P721" i="1"/>
  <c r="O721" i="1"/>
  <c r="N721" i="1"/>
  <c r="M721" i="1"/>
  <c r="P720" i="1"/>
  <c r="O720" i="1"/>
  <c r="N720" i="1"/>
  <c r="M720" i="1"/>
  <c r="P719" i="1"/>
  <c r="O719" i="1"/>
  <c r="N719" i="1"/>
  <c r="M719" i="1"/>
  <c r="P718" i="1"/>
  <c r="O718" i="1"/>
  <c r="N718" i="1"/>
  <c r="M718" i="1"/>
  <c r="P717" i="1"/>
  <c r="O717" i="1"/>
  <c r="N717" i="1"/>
  <c r="M717" i="1"/>
  <c r="P716" i="1"/>
  <c r="O716" i="1"/>
  <c r="N716" i="1"/>
  <c r="M716" i="1"/>
  <c r="P715" i="1"/>
  <c r="O715" i="1"/>
  <c r="N715" i="1"/>
  <c r="M715" i="1"/>
  <c r="P714" i="1"/>
  <c r="O714" i="1"/>
  <c r="N714" i="1"/>
  <c r="M714" i="1"/>
  <c r="P713" i="1"/>
  <c r="O713" i="1"/>
  <c r="N713" i="1"/>
  <c r="M713" i="1"/>
  <c r="P712" i="1"/>
  <c r="O712" i="1"/>
  <c r="N712" i="1"/>
  <c r="M712" i="1"/>
  <c r="P711" i="1"/>
  <c r="O711" i="1"/>
  <c r="N711" i="1"/>
  <c r="M711" i="1"/>
  <c r="P710" i="1"/>
  <c r="O710" i="1"/>
  <c r="N710" i="1"/>
  <c r="M710" i="1"/>
  <c r="P709" i="1"/>
  <c r="O709" i="1"/>
  <c r="N709" i="1"/>
  <c r="M709" i="1"/>
  <c r="P708" i="1"/>
  <c r="O708" i="1"/>
  <c r="N708" i="1"/>
  <c r="M708" i="1"/>
  <c r="P707" i="1"/>
  <c r="O707" i="1"/>
  <c r="N707" i="1"/>
  <c r="M707" i="1"/>
  <c r="P706" i="1"/>
  <c r="O706" i="1"/>
  <c r="N706" i="1"/>
  <c r="M706" i="1"/>
  <c r="P705" i="1"/>
  <c r="O705" i="1"/>
  <c r="N705" i="1"/>
  <c r="M705" i="1"/>
  <c r="P704" i="1"/>
  <c r="O704" i="1"/>
  <c r="N704" i="1"/>
  <c r="M704" i="1"/>
  <c r="P703" i="1"/>
  <c r="O703" i="1"/>
  <c r="N703" i="1"/>
  <c r="M703" i="1"/>
  <c r="P702" i="1"/>
  <c r="O702" i="1"/>
  <c r="N702" i="1"/>
  <c r="M702" i="1"/>
  <c r="P701" i="1"/>
  <c r="O701" i="1"/>
  <c r="N701" i="1"/>
  <c r="M701" i="1"/>
  <c r="P700" i="1"/>
  <c r="O700" i="1"/>
  <c r="N700" i="1"/>
  <c r="M700" i="1"/>
  <c r="P699" i="1"/>
  <c r="O699" i="1"/>
  <c r="N699" i="1"/>
  <c r="M699" i="1"/>
  <c r="P698" i="1"/>
  <c r="O698" i="1"/>
  <c r="N698" i="1"/>
  <c r="M698" i="1"/>
  <c r="P697" i="1"/>
  <c r="O697" i="1"/>
  <c r="N697" i="1"/>
  <c r="M697" i="1"/>
  <c r="P696" i="1"/>
  <c r="O696" i="1"/>
  <c r="N696" i="1"/>
  <c r="M696" i="1"/>
  <c r="P695" i="1"/>
  <c r="O695" i="1"/>
  <c r="N695" i="1"/>
  <c r="M695" i="1"/>
  <c r="P694" i="1"/>
  <c r="O694" i="1"/>
  <c r="N694" i="1"/>
  <c r="M694" i="1"/>
  <c r="P693" i="1"/>
  <c r="O693" i="1"/>
  <c r="N693" i="1"/>
  <c r="M693" i="1"/>
  <c r="P692" i="1"/>
  <c r="O692" i="1"/>
  <c r="N692" i="1"/>
  <c r="M692" i="1"/>
  <c r="P691" i="1"/>
  <c r="O691" i="1"/>
  <c r="N691" i="1"/>
  <c r="M691" i="1"/>
  <c r="P690" i="1"/>
  <c r="O690" i="1"/>
  <c r="N690" i="1"/>
  <c r="M690" i="1"/>
  <c r="P689" i="1"/>
  <c r="O689" i="1"/>
  <c r="N689" i="1"/>
  <c r="M689" i="1"/>
  <c r="P688" i="1"/>
  <c r="O688" i="1"/>
  <c r="N688" i="1"/>
  <c r="M688" i="1"/>
  <c r="P687" i="1"/>
  <c r="O687" i="1"/>
  <c r="N687" i="1"/>
  <c r="M687" i="1"/>
  <c r="P686" i="1"/>
  <c r="O686" i="1"/>
  <c r="N686" i="1"/>
  <c r="M686" i="1"/>
  <c r="P685" i="1"/>
  <c r="O685" i="1"/>
  <c r="N685" i="1"/>
  <c r="M685" i="1"/>
  <c r="P684" i="1"/>
  <c r="O684" i="1"/>
  <c r="N684" i="1"/>
  <c r="M684" i="1"/>
  <c r="P683" i="1"/>
  <c r="O683" i="1"/>
  <c r="N683" i="1"/>
  <c r="M683" i="1"/>
  <c r="P682" i="1"/>
  <c r="O682" i="1"/>
  <c r="N682" i="1"/>
  <c r="M682" i="1"/>
  <c r="P681" i="1"/>
  <c r="O681" i="1"/>
  <c r="N681" i="1"/>
  <c r="M681" i="1"/>
  <c r="P680" i="1"/>
  <c r="O680" i="1"/>
  <c r="N680" i="1"/>
  <c r="M680" i="1"/>
  <c r="P679" i="1"/>
  <c r="O679" i="1"/>
  <c r="N679" i="1"/>
  <c r="M679" i="1"/>
  <c r="P678" i="1"/>
  <c r="O678" i="1"/>
  <c r="N678" i="1"/>
  <c r="M678" i="1"/>
  <c r="P677" i="1"/>
  <c r="O677" i="1"/>
  <c r="N677" i="1"/>
  <c r="M677" i="1"/>
  <c r="P676" i="1"/>
  <c r="O676" i="1"/>
  <c r="N676" i="1"/>
  <c r="M676" i="1"/>
  <c r="P675" i="1"/>
  <c r="O675" i="1"/>
  <c r="N675" i="1"/>
  <c r="M675" i="1"/>
  <c r="P674" i="1"/>
  <c r="O674" i="1"/>
  <c r="N674" i="1"/>
  <c r="M674" i="1"/>
  <c r="P673" i="1"/>
  <c r="O673" i="1"/>
  <c r="N673" i="1"/>
  <c r="M673" i="1"/>
  <c r="P672" i="1"/>
  <c r="O672" i="1"/>
  <c r="N672" i="1"/>
  <c r="M672" i="1"/>
  <c r="P671" i="1"/>
  <c r="O671" i="1"/>
  <c r="N671" i="1"/>
  <c r="M671" i="1"/>
  <c r="P670" i="1"/>
  <c r="O670" i="1"/>
  <c r="N670" i="1"/>
  <c r="M670" i="1"/>
  <c r="P669" i="1"/>
  <c r="O669" i="1"/>
  <c r="N669" i="1"/>
  <c r="M669" i="1"/>
  <c r="P668" i="1"/>
  <c r="O668" i="1"/>
  <c r="N668" i="1"/>
  <c r="M668" i="1"/>
  <c r="P667" i="1"/>
  <c r="O667" i="1"/>
  <c r="N667" i="1"/>
  <c r="M667" i="1"/>
  <c r="P666" i="1"/>
  <c r="O666" i="1"/>
  <c r="N666" i="1"/>
  <c r="M666" i="1"/>
  <c r="P665" i="1"/>
  <c r="O665" i="1"/>
  <c r="N665" i="1"/>
  <c r="M665" i="1"/>
  <c r="P664" i="1"/>
  <c r="O664" i="1"/>
  <c r="N664" i="1"/>
  <c r="M664" i="1"/>
  <c r="P663" i="1"/>
  <c r="O663" i="1"/>
  <c r="N663" i="1"/>
  <c r="M663" i="1"/>
  <c r="P662" i="1"/>
  <c r="O662" i="1"/>
  <c r="N662" i="1"/>
  <c r="M662" i="1"/>
  <c r="P661" i="1"/>
  <c r="O661" i="1"/>
  <c r="N661" i="1"/>
  <c r="M661" i="1"/>
  <c r="P660" i="1"/>
  <c r="O660" i="1"/>
  <c r="N660" i="1"/>
  <c r="M660" i="1"/>
  <c r="P659" i="1"/>
  <c r="O659" i="1"/>
  <c r="N659" i="1"/>
  <c r="M659" i="1"/>
  <c r="P658" i="1"/>
  <c r="O658" i="1"/>
  <c r="N658" i="1"/>
  <c r="M658" i="1"/>
  <c r="P657" i="1"/>
  <c r="O657" i="1"/>
  <c r="N657" i="1"/>
  <c r="M657" i="1"/>
  <c r="P656" i="1"/>
  <c r="O656" i="1"/>
  <c r="N656" i="1"/>
  <c r="M656" i="1"/>
  <c r="P655" i="1"/>
  <c r="O655" i="1"/>
  <c r="N655" i="1"/>
  <c r="M655" i="1"/>
  <c r="P654" i="1"/>
  <c r="O654" i="1"/>
  <c r="N654" i="1"/>
  <c r="M654" i="1"/>
  <c r="P653" i="1"/>
  <c r="O653" i="1"/>
  <c r="N653" i="1"/>
  <c r="M653" i="1"/>
  <c r="P652" i="1"/>
  <c r="O652" i="1"/>
  <c r="N652" i="1"/>
  <c r="M652" i="1"/>
  <c r="P651" i="1"/>
  <c r="O651" i="1"/>
  <c r="N651" i="1"/>
  <c r="M651" i="1"/>
  <c r="P650" i="1"/>
  <c r="O650" i="1"/>
  <c r="N650" i="1"/>
  <c r="M650" i="1"/>
  <c r="P649" i="1"/>
  <c r="O649" i="1"/>
  <c r="N649" i="1"/>
  <c r="M649" i="1"/>
  <c r="P648" i="1"/>
  <c r="O648" i="1"/>
  <c r="N648" i="1"/>
  <c r="M648" i="1"/>
  <c r="P647" i="1"/>
  <c r="O647" i="1"/>
  <c r="N647" i="1"/>
  <c r="M647" i="1"/>
  <c r="P646" i="1"/>
  <c r="O646" i="1"/>
  <c r="N646" i="1"/>
  <c r="M646" i="1"/>
  <c r="P645" i="1"/>
  <c r="O645" i="1"/>
  <c r="N645" i="1"/>
  <c r="M645" i="1"/>
  <c r="P644" i="1"/>
  <c r="O644" i="1"/>
  <c r="N644" i="1"/>
  <c r="M644" i="1"/>
  <c r="P643" i="1"/>
  <c r="O643" i="1"/>
  <c r="N643" i="1"/>
  <c r="M643" i="1"/>
  <c r="P642" i="1"/>
  <c r="O642" i="1"/>
  <c r="N642" i="1"/>
  <c r="M642" i="1"/>
  <c r="P641" i="1"/>
  <c r="O641" i="1"/>
  <c r="N641" i="1"/>
  <c r="M641" i="1"/>
  <c r="P640" i="1"/>
  <c r="O640" i="1"/>
  <c r="N640" i="1"/>
  <c r="M640" i="1"/>
  <c r="P639" i="1"/>
  <c r="O639" i="1"/>
  <c r="N639" i="1"/>
  <c r="M639" i="1"/>
  <c r="P638" i="1"/>
  <c r="O638" i="1"/>
  <c r="N638" i="1"/>
  <c r="M638" i="1"/>
  <c r="P637" i="1"/>
  <c r="O637" i="1"/>
  <c r="N637" i="1"/>
  <c r="M637" i="1"/>
  <c r="P636" i="1"/>
  <c r="O636" i="1"/>
  <c r="N636" i="1"/>
  <c r="M636" i="1"/>
  <c r="P635" i="1"/>
  <c r="O635" i="1"/>
  <c r="N635" i="1"/>
  <c r="M635" i="1"/>
  <c r="P634" i="1"/>
  <c r="O634" i="1"/>
  <c r="N634" i="1"/>
  <c r="M634" i="1"/>
  <c r="P633" i="1"/>
  <c r="O633" i="1"/>
  <c r="N633" i="1"/>
  <c r="M633" i="1"/>
  <c r="P632" i="1"/>
  <c r="O632" i="1"/>
  <c r="N632" i="1"/>
  <c r="M632" i="1"/>
  <c r="P631" i="1"/>
  <c r="O631" i="1"/>
  <c r="N631" i="1"/>
  <c r="M631" i="1"/>
  <c r="P630" i="1"/>
  <c r="O630" i="1"/>
  <c r="N630" i="1"/>
  <c r="M630" i="1"/>
  <c r="P629" i="1"/>
  <c r="O629" i="1"/>
  <c r="N629" i="1"/>
  <c r="M629" i="1"/>
  <c r="P628" i="1"/>
  <c r="O628" i="1"/>
  <c r="N628" i="1"/>
  <c r="M628" i="1"/>
  <c r="P627" i="1"/>
  <c r="O627" i="1"/>
  <c r="N627" i="1"/>
  <c r="M627" i="1"/>
  <c r="P626" i="1"/>
  <c r="O626" i="1"/>
  <c r="N626" i="1"/>
  <c r="M626" i="1"/>
  <c r="P625" i="1"/>
  <c r="O625" i="1"/>
  <c r="N625" i="1"/>
  <c r="M625" i="1"/>
  <c r="P624" i="1"/>
  <c r="O624" i="1"/>
  <c r="N624" i="1"/>
  <c r="M624" i="1"/>
  <c r="P623" i="1"/>
  <c r="O623" i="1"/>
  <c r="N623" i="1"/>
  <c r="M623" i="1"/>
  <c r="P622" i="1"/>
  <c r="O622" i="1"/>
  <c r="N622" i="1"/>
  <c r="M622" i="1"/>
  <c r="P621" i="1"/>
  <c r="O621" i="1"/>
  <c r="N621" i="1"/>
  <c r="M621" i="1"/>
  <c r="P620" i="1"/>
  <c r="O620" i="1"/>
  <c r="N620" i="1"/>
  <c r="M620" i="1"/>
  <c r="P619" i="1"/>
  <c r="O619" i="1"/>
  <c r="N619" i="1"/>
  <c r="M619" i="1"/>
  <c r="P618" i="1"/>
  <c r="O618" i="1"/>
  <c r="N618" i="1"/>
  <c r="M618" i="1"/>
  <c r="P617" i="1"/>
  <c r="O617" i="1"/>
  <c r="N617" i="1"/>
  <c r="M617" i="1"/>
  <c r="P616" i="1"/>
  <c r="O616" i="1"/>
  <c r="N616" i="1"/>
  <c r="M616" i="1"/>
  <c r="P615" i="1"/>
  <c r="O615" i="1"/>
  <c r="N615" i="1"/>
  <c r="M615" i="1"/>
  <c r="P614" i="1"/>
  <c r="O614" i="1"/>
  <c r="N614" i="1"/>
  <c r="M614" i="1"/>
  <c r="P613" i="1"/>
  <c r="O613" i="1"/>
  <c r="N613" i="1"/>
  <c r="M613" i="1"/>
  <c r="P612" i="1"/>
  <c r="O612" i="1"/>
  <c r="N612" i="1"/>
  <c r="M612" i="1"/>
  <c r="P611" i="1"/>
  <c r="O611" i="1"/>
  <c r="N611" i="1"/>
  <c r="M611" i="1"/>
  <c r="P610" i="1"/>
  <c r="O610" i="1"/>
  <c r="N610" i="1"/>
  <c r="M610" i="1"/>
  <c r="P609" i="1"/>
  <c r="O609" i="1"/>
  <c r="N609" i="1"/>
  <c r="M609" i="1"/>
  <c r="P608" i="1"/>
  <c r="O608" i="1"/>
  <c r="N608" i="1"/>
  <c r="M608" i="1"/>
  <c r="P607" i="1"/>
  <c r="O607" i="1"/>
  <c r="N607" i="1"/>
  <c r="M607" i="1"/>
  <c r="P606" i="1"/>
  <c r="O606" i="1"/>
  <c r="N606" i="1"/>
  <c r="M606" i="1"/>
  <c r="P605" i="1"/>
  <c r="O605" i="1"/>
  <c r="N605" i="1"/>
  <c r="M605" i="1"/>
  <c r="P604" i="1"/>
  <c r="O604" i="1"/>
  <c r="N604" i="1"/>
  <c r="M604" i="1"/>
  <c r="P603" i="1"/>
  <c r="O603" i="1"/>
  <c r="N603" i="1"/>
  <c r="M603" i="1"/>
  <c r="P602" i="1"/>
  <c r="O602" i="1"/>
  <c r="N602" i="1"/>
  <c r="M602" i="1"/>
  <c r="P601" i="1"/>
  <c r="O601" i="1"/>
  <c r="N601" i="1"/>
  <c r="M601" i="1"/>
  <c r="P600" i="1"/>
  <c r="O600" i="1"/>
  <c r="N600" i="1"/>
  <c r="M600" i="1"/>
  <c r="P599" i="1"/>
  <c r="O599" i="1"/>
  <c r="N599" i="1"/>
  <c r="M599" i="1"/>
  <c r="P598" i="1"/>
  <c r="O598" i="1"/>
  <c r="N598" i="1"/>
  <c r="M598" i="1"/>
  <c r="P597" i="1"/>
  <c r="O597" i="1"/>
  <c r="N597" i="1"/>
  <c r="M597" i="1"/>
  <c r="P596" i="1"/>
  <c r="O596" i="1"/>
  <c r="N596" i="1"/>
  <c r="M596" i="1"/>
  <c r="P595" i="1"/>
  <c r="O595" i="1"/>
  <c r="N595" i="1"/>
  <c r="M595" i="1"/>
  <c r="P594" i="1"/>
  <c r="O594" i="1"/>
  <c r="N594" i="1"/>
  <c r="M594" i="1"/>
  <c r="P593" i="1"/>
  <c r="O593" i="1"/>
  <c r="N593" i="1"/>
  <c r="M593" i="1"/>
  <c r="P592" i="1"/>
  <c r="O592" i="1"/>
  <c r="N592" i="1"/>
  <c r="M592" i="1"/>
  <c r="P591" i="1"/>
  <c r="O591" i="1"/>
  <c r="N591" i="1"/>
  <c r="M591" i="1"/>
  <c r="P590" i="1"/>
  <c r="O590" i="1"/>
  <c r="N590" i="1"/>
  <c r="M590" i="1"/>
  <c r="P589" i="1"/>
  <c r="O589" i="1"/>
  <c r="N589" i="1"/>
  <c r="M589" i="1"/>
  <c r="P588" i="1"/>
  <c r="O588" i="1"/>
  <c r="N588" i="1"/>
  <c r="M588" i="1"/>
  <c r="P587" i="1"/>
  <c r="O587" i="1"/>
  <c r="N587" i="1"/>
  <c r="M587" i="1"/>
  <c r="P586" i="1"/>
  <c r="O586" i="1"/>
  <c r="N586" i="1"/>
  <c r="M586" i="1"/>
  <c r="P585" i="1"/>
  <c r="O585" i="1"/>
  <c r="N585" i="1"/>
  <c r="M585" i="1"/>
  <c r="P584" i="1"/>
  <c r="O584" i="1"/>
  <c r="N584" i="1"/>
  <c r="M584" i="1"/>
  <c r="P583" i="1"/>
  <c r="O583" i="1"/>
  <c r="N583" i="1"/>
  <c r="M583" i="1"/>
  <c r="P582" i="1"/>
  <c r="O582" i="1"/>
  <c r="N582" i="1"/>
  <c r="M582" i="1"/>
  <c r="P581" i="1"/>
  <c r="O581" i="1"/>
  <c r="N581" i="1"/>
  <c r="M581" i="1"/>
  <c r="P580" i="1"/>
  <c r="O580" i="1"/>
  <c r="N580" i="1"/>
  <c r="M580" i="1"/>
  <c r="P579" i="1"/>
  <c r="O579" i="1"/>
  <c r="N579" i="1"/>
  <c r="M579" i="1"/>
  <c r="P578" i="1"/>
  <c r="O578" i="1"/>
  <c r="N578" i="1"/>
  <c r="M578" i="1"/>
  <c r="P577" i="1"/>
  <c r="O577" i="1"/>
  <c r="N577" i="1"/>
  <c r="M577" i="1"/>
  <c r="P576" i="1"/>
  <c r="O576" i="1"/>
  <c r="N576" i="1"/>
  <c r="M576" i="1"/>
  <c r="P575" i="1"/>
  <c r="O575" i="1"/>
  <c r="N575" i="1"/>
  <c r="M575" i="1"/>
  <c r="P574" i="1"/>
  <c r="O574" i="1"/>
  <c r="N574" i="1"/>
  <c r="M574" i="1"/>
  <c r="P573" i="1"/>
  <c r="O573" i="1"/>
  <c r="N573" i="1"/>
  <c r="M573" i="1"/>
  <c r="P572" i="1"/>
  <c r="O572" i="1"/>
  <c r="N572" i="1"/>
  <c r="M572" i="1"/>
  <c r="P571" i="1"/>
  <c r="O571" i="1"/>
  <c r="N571" i="1"/>
  <c r="M571" i="1"/>
  <c r="P570" i="1"/>
  <c r="O570" i="1"/>
  <c r="N570" i="1"/>
  <c r="M570" i="1"/>
  <c r="P569" i="1"/>
  <c r="O569" i="1"/>
  <c r="N569" i="1"/>
  <c r="M569" i="1"/>
  <c r="P568" i="1"/>
  <c r="O568" i="1"/>
  <c r="N568" i="1"/>
  <c r="M568" i="1"/>
  <c r="P567" i="1"/>
  <c r="O567" i="1"/>
  <c r="N567" i="1"/>
  <c r="M567" i="1"/>
  <c r="P566" i="1"/>
  <c r="O566" i="1"/>
  <c r="N566" i="1"/>
  <c r="M566" i="1"/>
  <c r="P565" i="1"/>
  <c r="O565" i="1"/>
  <c r="N565" i="1"/>
  <c r="M565" i="1"/>
  <c r="P564" i="1"/>
  <c r="O564" i="1"/>
  <c r="N564" i="1"/>
  <c r="M564" i="1"/>
  <c r="P563" i="1"/>
  <c r="O563" i="1"/>
  <c r="N563" i="1"/>
  <c r="M563" i="1"/>
  <c r="P562" i="1"/>
  <c r="O562" i="1"/>
  <c r="N562" i="1"/>
  <c r="M562" i="1"/>
  <c r="P561" i="1"/>
  <c r="O561" i="1"/>
  <c r="N561" i="1"/>
  <c r="M561" i="1"/>
  <c r="P560" i="1"/>
  <c r="O560" i="1"/>
  <c r="N560" i="1"/>
  <c r="M560" i="1"/>
  <c r="P559" i="1"/>
  <c r="O559" i="1"/>
  <c r="N559" i="1"/>
  <c r="M559" i="1"/>
  <c r="P558" i="1"/>
  <c r="O558" i="1"/>
  <c r="N558" i="1"/>
  <c r="M558" i="1"/>
  <c r="P557" i="1"/>
  <c r="O557" i="1"/>
  <c r="N557" i="1"/>
  <c r="M557" i="1"/>
  <c r="P556" i="1"/>
  <c r="O556" i="1"/>
  <c r="N556" i="1"/>
  <c r="M556" i="1"/>
  <c r="P555" i="1"/>
  <c r="O555" i="1"/>
  <c r="N555" i="1"/>
  <c r="M555" i="1"/>
  <c r="P554" i="1"/>
  <c r="O554" i="1"/>
  <c r="N554" i="1"/>
  <c r="M554" i="1"/>
  <c r="P553" i="1"/>
  <c r="O553" i="1"/>
  <c r="N553" i="1"/>
  <c r="M553" i="1"/>
  <c r="P552" i="1"/>
  <c r="O552" i="1"/>
  <c r="N552" i="1"/>
  <c r="M552" i="1"/>
  <c r="P551" i="1"/>
  <c r="O551" i="1"/>
  <c r="N551" i="1"/>
  <c r="M551" i="1"/>
  <c r="P550" i="1"/>
  <c r="O550" i="1"/>
  <c r="N550" i="1"/>
  <c r="M550" i="1"/>
  <c r="P549" i="1"/>
  <c r="O549" i="1"/>
  <c r="N549" i="1"/>
  <c r="M549" i="1"/>
  <c r="P548" i="1"/>
  <c r="O548" i="1"/>
  <c r="N548" i="1"/>
  <c r="M548" i="1"/>
  <c r="P547" i="1"/>
  <c r="O547" i="1"/>
  <c r="N547" i="1"/>
  <c r="M547" i="1"/>
  <c r="P546" i="1"/>
  <c r="O546" i="1"/>
  <c r="N546" i="1"/>
  <c r="M546" i="1"/>
  <c r="P545" i="1"/>
  <c r="O545" i="1"/>
  <c r="N545" i="1"/>
  <c r="M545" i="1"/>
  <c r="P544" i="1"/>
  <c r="O544" i="1"/>
  <c r="N544" i="1"/>
  <c r="M544" i="1"/>
  <c r="P543" i="1"/>
  <c r="O543" i="1"/>
  <c r="N543" i="1"/>
  <c r="M543" i="1"/>
  <c r="P542" i="1"/>
  <c r="O542" i="1"/>
  <c r="N542" i="1"/>
  <c r="M542" i="1"/>
  <c r="P541" i="1"/>
  <c r="O541" i="1"/>
  <c r="N541" i="1"/>
  <c r="M541" i="1"/>
  <c r="P540" i="1"/>
  <c r="O540" i="1"/>
  <c r="N540" i="1"/>
  <c r="M540" i="1"/>
  <c r="P539" i="1"/>
  <c r="O539" i="1"/>
  <c r="N539" i="1"/>
  <c r="M539" i="1"/>
  <c r="P538" i="1"/>
  <c r="O538" i="1"/>
  <c r="N538" i="1"/>
  <c r="M538" i="1"/>
  <c r="P537" i="1"/>
  <c r="O537" i="1"/>
  <c r="N537" i="1"/>
  <c r="M537" i="1"/>
  <c r="P536" i="1"/>
  <c r="O536" i="1"/>
  <c r="N536" i="1"/>
  <c r="M536" i="1"/>
  <c r="P535" i="1"/>
  <c r="O535" i="1"/>
  <c r="N535" i="1"/>
  <c r="M535" i="1"/>
  <c r="P534" i="1"/>
  <c r="O534" i="1"/>
  <c r="N534" i="1"/>
  <c r="M534" i="1"/>
  <c r="P533" i="1"/>
  <c r="O533" i="1"/>
  <c r="N533" i="1"/>
  <c r="M533" i="1"/>
  <c r="P532" i="1"/>
  <c r="O532" i="1"/>
  <c r="N532" i="1"/>
  <c r="M532" i="1"/>
  <c r="P531" i="1"/>
  <c r="O531" i="1"/>
  <c r="N531" i="1"/>
  <c r="M531" i="1"/>
  <c r="P530" i="1"/>
  <c r="O530" i="1"/>
  <c r="N530" i="1"/>
  <c r="M530" i="1"/>
  <c r="P529" i="1"/>
  <c r="O529" i="1"/>
  <c r="N529" i="1"/>
  <c r="M529" i="1"/>
  <c r="P528" i="1"/>
  <c r="O528" i="1"/>
  <c r="N528" i="1"/>
  <c r="M528" i="1"/>
  <c r="P527" i="1"/>
  <c r="O527" i="1"/>
  <c r="N527" i="1"/>
  <c r="M527" i="1"/>
  <c r="P526" i="1"/>
  <c r="O526" i="1"/>
  <c r="N526" i="1"/>
  <c r="M526" i="1"/>
  <c r="P525" i="1"/>
  <c r="O525" i="1"/>
  <c r="N525" i="1"/>
  <c r="M525" i="1"/>
  <c r="P524" i="1"/>
  <c r="O524" i="1"/>
  <c r="N524" i="1"/>
  <c r="M524" i="1"/>
  <c r="P523" i="1"/>
  <c r="O523" i="1"/>
  <c r="N523" i="1"/>
  <c r="M523" i="1"/>
  <c r="P522" i="1"/>
  <c r="O522" i="1"/>
  <c r="N522" i="1"/>
  <c r="M522" i="1"/>
  <c r="P521" i="1"/>
  <c r="O521" i="1"/>
  <c r="N521" i="1"/>
  <c r="M521" i="1"/>
  <c r="P520" i="1"/>
  <c r="O520" i="1"/>
  <c r="N520" i="1"/>
  <c r="M520" i="1"/>
  <c r="P519" i="1"/>
  <c r="O519" i="1"/>
  <c r="N519" i="1"/>
  <c r="M519" i="1"/>
  <c r="P518" i="1"/>
  <c r="O518" i="1"/>
  <c r="N518" i="1"/>
  <c r="M518" i="1"/>
  <c r="P517" i="1"/>
  <c r="O517" i="1"/>
  <c r="N517" i="1"/>
  <c r="M517" i="1"/>
  <c r="P516" i="1"/>
  <c r="O516" i="1"/>
  <c r="N516" i="1"/>
  <c r="M516" i="1"/>
  <c r="P515" i="1"/>
  <c r="O515" i="1"/>
  <c r="N515" i="1"/>
  <c r="M515" i="1"/>
  <c r="P514" i="1"/>
  <c r="O514" i="1"/>
  <c r="N514" i="1"/>
  <c r="M514" i="1"/>
  <c r="P513" i="1"/>
  <c r="O513" i="1"/>
  <c r="N513" i="1"/>
  <c r="M513" i="1"/>
  <c r="P512" i="1"/>
  <c r="O512" i="1"/>
  <c r="N512" i="1"/>
  <c r="M512" i="1"/>
  <c r="P511" i="1"/>
  <c r="O511" i="1"/>
  <c r="N511" i="1"/>
  <c r="M511" i="1"/>
  <c r="P510" i="1"/>
  <c r="O510" i="1"/>
  <c r="N510" i="1"/>
  <c r="M510" i="1"/>
  <c r="P509" i="1"/>
  <c r="O509" i="1"/>
  <c r="N509" i="1"/>
  <c r="M509" i="1"/>
  <c r="P508" i="1"/>
  <c r="O508" i="1"/>
  <c r="N508" i="1"/>
  <c r="M508" i="1"/>
  <c r="P507" i="1"/>
  <c r="O507" i="1"/>
  <c r="N507" i="1"/>
  <c r="M507" i="1"/>
  <c r="P506" i="1"/>
  <c r="O506" i="1"/>
  <c r="N506" i="1"/>
  <c r="M506" i="1"/>
  <c r="P505" i="1"/>
  <c r="O505" i="1"/>
  <c r="N505" i="1"/>
  <c r="M505" i="1"/>
  <c r="P504" i="1"/>
  <c r="O504" i="1"/>
  <c r="N504" i="1"/>
  <c r="M504" i="1"/>
  <c r="P503" i="1"/>
  <c r="O503" i="1"/>
  <c r="N503" i="1"/>
  <c r="M503" i="1"/>
  <c r="P502" i="1"/>
  <c r="O502" i="1"/>
  <c r="N502" i="1"/>
  <c r="M502" i="1"/>
  <c r="P501" i="1"/>
  <c r="O501" i="1"/>
  <c r="N501" i="1"/>
  <c r="M501" i="1"/>
  <c r="P500" i="1"/>
  <c r="O500" i="1"/>
  <c r="N500" i="1"/>
  <c r="M500" i="1"/>
  <c r="P499" i="1"/>
  <c r="O499" i="1"/>
  <c r="N499" i="1"/>
  <c r="M499" i="1"/>
  <c r="P498" i="1"/>
  <c r="O498" i="1"/>
  <c r="N498" i="1"/>
  <c r="M498" i="1"/>
  <c r="P497" i="1"/>
  <c r="O497" i="1"/>
  <c r="N497" i="1"/>
  <c r="M497" i="1"/>
  <c r="P496" i="1"/>
  <c r="O496" i="1"/>
  <c r="N496" i="1"/>
  <c r="M496" i="1"/>
  <c r="P495" i="1"/>
  <c r="O495" i="1"/>
  <c r="N495" i="1"/>
  <c r="M495" i="1"/>
  <c r="P494" i="1"/>
  <c r="O494" i="1"/>
  <c r="N494" i="1"/>
  <c r="M494" i="1"/>
  <c r="P493" i="1"/>
  <c r="O493" i="1"/>
  <c r="N493" i="1"/>
  <c r="M493" i="1"/>
  <c r="P492" i="1"/>
  <c r="O492" i="1"/>
  <c r="N492" i="1"/>
  <c r="M492" i="1"/>
  <c r="P491" i="1"/>
  <c r="O491" i="1"/>
  <c r="N491" i="1"/>
  <c r="M491" i="1"/>
  <c r="P490" i="1"/>
  <c r="O490" i="1"/>
  <c r="N490" i="1"/>
  <c r="M490" i="1"/>
  <c r="P489" i="1"/>
  <c r="O489" i="1"/>
  <c r="N489" i="1"/>
  <c r="M489" i="1"/>
  <c r="P488" i="1"/>
  <c r="O488" i="1"/>
  <c r="N488" i="1"/>
  <c r="M488" i="1"/>
  <c r="P487" i="1"/>
  <c r="O487" i="1"/>
  <c r="N487" i="1"/>
  <c r="M487" i="1"/>
  <c r="P486" i="1"/>
  <c r="O486" i="1"/>
  <c r="N486" i="1"/>
  <c r="M486" i="1"/>
  <c r="P485" i="1"/>
  <c r="O485" i="1"/>
  <c r="N485" i="1"/>
  <c r="M485" i="1"/>
  <c r="P484" i="1"/>
  <c r="O484" i="1"/>
  <c r="N484" i="1"/>
  <c r="M484" i="1"/>
  <c r="P483" i="1"/>
  <c r="O483" i="1"/>
  <c r="N483" i="1"/>
  <c r="M483" i="1"/>
  <c r="P482" i="1"/>
  <c r="O482" i="1"/>
  <c r="N482" i="1"/>
  <c r="M482" i="1"/>
  <c r="P481" i="1"/>
  <c r="O481" i="1"/>
  <c r="N481" i="1"/>
  <c r="M481" i="1"/>
  <c r="P480" i="1"/>
  <c r="O480" i="1"/>
  <c r="N480" i="1"/>
  <c r="M480" i="1"/>
  <c r="P479" i="1"/>
  <c r="O479" i="1"/>
  <c r="N479" i="1"/>
  <c r="M479" i="1"/>
  <c r="P478" i="1"/>
  <c r="O478" i="1"/>
  <c r="N478" i="1"/>
  <c r="M478" i="1"/>
  <c r="P477" i="1"/>
  <c r="O477" i="1"/>
  <c r="N477" i="1"/>
  <c r="M477" i="1"/>
  <c r="P476" i="1"/>
  <c r="O476" i="1"/>
  <c r="N476" i="1"/>
  <c r="M476" i="1"/>
  <c r="P475" i="1"/>
  <c r="O475" i="1"/>
  <c r="N475" i="1"/>
  <c r="M475" i="1"/>
  <c r="P474" i="1"/>
  <c r="O474" i="1"/>
  <c r="N474" i="1"/>
  <c r="M474" i="1"/>
  <c r="P473" i="1"/>
  <c r="O473" i="1"/>
  <c r="N473" i="1"/>
  <c r="M473" i="1"/>
  <c r="P472" i="1"/>
  <c r="O472" i="1"/>
  <c r="N472" i="1"/>
  <c r="M472" i="1"/>
  <c r="P471" i="1"/>
  <c r="O471" i="1"/>
  <c r="N471" i="1"/>
  <c r="M471" i="1"/>
  <c r="P470" i="1"/>
  <c r="O470" i="1"/>
  <c r="N470" i="1"/>
  <c r="M470" i="1"/>
  <c r="P469" i="1"/>
  <c r="O469" i="1"/>
  <c r="N469" i="1"/>
  <c r="M469" i="1"/>
  <c r="P468" i="1"/>
  <c r="O468" i="1"/>
  <c r="N468" i="1"/>
  <c r="M468" i="1"/>
  <c r="P467" i="1"/>
  <c r="O467" i="1"/>
  <c r="N467" i="1"/>
  <c r="M467" i="1"/>
  <c r="P466" i="1"/>
  <c r="O466" i="1"/>
  <c r="N466" i="1"/>
  <c r="M466" i="1"/>
  <c r="P465" i="1"/>
  <c r="O465" i="1"/>
  <c r="N465" i="1"/>
  <c r="M465" i="1"/>
  <c r="P464" i="1"/>
  <c r="O464" i="1"/>
  <c r="N464" i="1"/>
  <c r="M464" i="1"/>
  <c r="P463" i="1"/>
  <c r="O463" i="1"/>
  <c r="N463" i="1"/>
  <c r="M463" i="1"/>
  <c r="P462" i="1"/>
  <c r="O462" i="1"/>
  <c r="N462" i="1"/>
  <c r="M462" i="1"/>
  <c r="P461" i="1"/>
  <c r="O461" i="1"/>
  <c r="N461" i="1"/>
  <c r="M461" i="1"/>
  <c r="P460" i="1"/>
  <c r="O460" i="1"/>
  <c r="N460" i="1"/>
  <c r="M460" i="1"/>
  <c r="P459" i="1"/>
  <c r="O459" i="1"/>
  <c r="N459" i="1"/>
  <c r="M459" i="1"/>
  <c r="P458" i="1"/>
  <c r="O458" i="1"/>
  <c r="N458" i="1"/>
  <c r="M458" i="1"/>
  <c r="P457" i="1"/>
  <c r="O457" i="1"/>
  <c r="N457" i="1"/>
  <c r="M457" i="1"/>
  <c r="P456" i="1"/>
  <c r="O456" i="1"/>
  <c r="N456" i="1"/>
  <c r="M456" i="1"/>
  <c r="P455" i="1"/>
  <c r="O455" i="1"/>
  <c r="N455" i="1"/>
  <c r="M455" i="1"/>
  <c r="P454" i="1"/>
  <c r="O454" i="1"/>
  <c r="N454" i="1"/>
  <c r="M454" i="1"/>
  <c r="P453" i="1"/>
  <c r="O453" i="1"/>
  <c r="N453" i="1"/>
  <c r="M453" i="1"/>
  <c r="P452" i="1"/>
  <c r="O452" i="1"/>
  <c r="N452" i="1"/>
  <c r="M452" i="1"/>
  <c r="P451" i="1"/>
  <c r="O451" i="1"/>
  <c r="N451" i="1"/>
  <c r="M451" i="1"/>
  <c r="P450" i="1"/>
  <c r="O450" i="1"/>
  <c r="N450" i="1"/>
  <c r="M450" i="1"/>
  <c r="P449" i="1"/>
  <c r="O449" i="1"/>
  <c r="N449" i="1"/>
  <c r="M449" i="1"/>
  <c r="P448" i="1"/>
  <c r="O448" i="1"/>
  <c r="N448" i="1"/>
  <c r="M448" i="1"/>
  <c r="P447" i="1"/>
  <c r="O447" i="1"/>
  <c r="N447" i="1"/>
  <c r="M447" i="1"/>
  <c r="P446" i="1"/>
  <c r="O446" i="1"/>
  <c r="N446" i="1"/>
  <c r="M446" i="1"/>
  <c r="P445" i="1"/>
  <c r="O445" i="1"/>
  <c r="N445" i="1"/>
  <c r="M445" i="1"/>
  <c r="P444" i="1"/>
  <c r="O444" i="1"/>
  <c r="N444" i="1"/>
  <c r="M444" i="1"/>
  <c r="P443" i="1"/>
  <c r="O443" i="1"/>
  <c r="N443" i="1"/>
  <c r="M443" i="1"/>
  <c r="P442" i="1"/>
  <c r="O442" i="1"/>
  <c r="N442" i="1"/>
  <c r="M442" i="1"/>
  <c r="P441" i="1"/>
  <c r="O441" i="1"/>
  <c r="N441" i="1"/>
  <c r="M441" i="1"/>
  <c r="P440" i="1"/>
  <c r="O440" i="1"/>
  <c r="N440" i="1"/>
  <c r="M440" i="1"/>
  <c r="P439" i="1"/>
  <c r="O439" i="1"/>
  <c r="N439" i="1"/>
  <c r="M439" i="1"/>
  <c r="P438" i="1"/>
  <c r="O438" i="1"/>
  <c r="N438" i="1"/>
  <c r="M438" i="1"/>
  <c r="P437" i="1"/>
  <c r="O437" i="1"/>
  <c r="N437" i="1"/>
  <c r="M437" i="1"/>
  <c r="P436" i="1"/>
  <c r="O436" i="1"/>
  <c r="N436" i="1"/>
  <c r="M436" i="1"/>
  <c r="P435" i="1"/>
  <c r="O435" i="1"/>
  <c r="N435" i="1"/>
  <c r="M435" i="1"/>
  <c r="P434" i="1"/>
  <c r="O434" i="1"/>
  <c r="N434" i="1"/>
  <c r="M434" i="1"/>
  <c r="P433" i="1"/>
  <c r="O433" i="1"/>
  <c r="N433" i="1"/>
  <c r="M433" i="1"/>
  <c r="P432" i="1"/>
  <c r="O432" i="1"/>
  <c r="N432" i="1"/>
  <c r="M432" i="1"/>
  <c r="P431" i="1"/>
  <c r="O431" i="1"/>
  <c r="N431" i="1"/>
  <c r="M431" i="1"/>
  <c r="P430" i="1"/>
  <c r="O430" i="1"/>
  <c r="N430" i="1"/>
  <c r="M430" i="1"/>
  <c r="P429" i="1"/>
  <c r="O429" i="1"/>
  <c r="N429" i="1"/>
  <c r="M429" i="1"/>
  <c r="P428" i="1"/>
  <c r="O428" i="1"/>
  <c r="N428" i="1"/>
  <c r="M428" i="1"/>
  <c r="P427" i="1"/>
  <c r="O427" i="1"/>
  <c r="N427" i="1"/>
  <c r="M427" i="1"/>
  <c r="P426" i="1"/>
  <c r="O426" i="1"/>
  <c r="N426" i="1"/>
  <c r="M426" i="1"/>
  <c r="P425" i="1"/>
  <c r="O425" i="1"/>
  <c r="N425" i="1"/>
  <c r="M425" i="1"/>
  <c r="P424" i="1"/>
  <c r="O424" i="1"/>
  <c r="N424" i="1"/>
  <c r="M424" i="1"/>
  <c r="P423" i="1"/>
  <c r="O423" i="1"/>
  <c r="N423" i="1"/>
  <c r="M423" i="1"/>
  <c r="P422" i="1"/>
  <c r="O422" i="1"/>
  <c r="N422" i="1"/>
  <c r="M422" i="1"/>
  <c r="P421" i="1"/>
  <c r="O421" i="1"/>
  <c r="N421" i="1"/>
  <c r="M421" i="1"/>
  <c r="P420" i="1"/>
  <c r="O420" i="1"/>
  <c r="N420" i="1"/>
  <c r="M420" i="1"/>
  <c r="P419" i="1"/>
  <c r="O419" i="1"/>
  <c r="N419" i="1"/>
  <c r="M419" i="1"/>
  <c r="P418" i="1"/>
  <c r="O418" i="1"/>
  <c r="N418" i="1"/>
  <c r="M418" i="1"/>
  <c r="P417" i="1"/>
  <c r="O417" i="1"/>
  <c r="N417" i="1"/>
  <c r="M417" i="1"/>
  <c r="P416" i="1"/>
  <c r="O416" i="1"/>
  <c r="N416" i="1"/>
  <c r="M416" i="1"/>
  <c r="P415" i="1"/>
  <c r="O415" i="1"/>
  <c r="N415" i="1"/>
  <c r="M415" i="1"/>
  <c r="P414" i="1"/>
  <c r="O414" i="1"/>
  <c r="N414" i="1"/>
  <c r="M414" i="1"/>
  <c r="P413" i="1"/>
  <c r="O413" i="1"/>
  <c r="N413" i="1"/>
  <c r="M413" i="1"/>
  <c r="P412" i="1"/>
  <c r="O412" i="1"/>
  <c r="N412" i="1"/>
  <c r="M412" i="1"/>
  <c r="P411" i="1"/>
  <c r="O411" i="1"/>
  <c r="N411" i="1"/>
  <c r="M411" i="1"/>
  <c r="P410" i="1"/>
  <c r="O410" i="1"/>
  <c r="N410" i="1"/>
  <c r="M410" i="1"/>
  <c r="P409" i="1"/>
  <c r="O409" i="1"/>
  <c r="N409" i="1"/>
  <c r="M409" i="1"/>
  <c r="P408" i="1"/>
  <c r="O408" i="1"/>
  <c r="N408" i="1"/>
  <c r="M408" i="1"/>
  <c r="P407" i="1"/>
  <c r="O407" i="1"/>
  <c r="N407" i="1"/>
  <c r="M407" i="1"/>
  <c r="P406" i="1"/>
  <c r="O406" i="1"/>
  <c r="N406" i="1"/>
  <c r="M406" i="1"/>
  <c r="P405" i="1"/>
  <c r="O405" i="1"/>
  <c r="N405" i="1"/>
  <c r="M405" i="1"/>
  <c r="P404" i="1"/>
  <c r="O404" i="1"/>
  <c r="N404" i="1"/>
  <c r="M404" i="1"/>
  <c r="P403" i="1"/>
  <c r="O403" i="1"/>
  <c r="N403" i="1"/>
  <c r="M403" i="1"/>
  <c r="P402" i="1"/>
  <c r="O402" i="1"/>
  <c r="N402" i="1"/>
  <c r="M402" i="1"/>
  <c r="P401" i="1"/>
  <c r="O401" i="1"/>
  <c r="N401" i="1"/>
  <c r="M401" i="1"/>
  <c r="P400" i="1"/>
  <c r="O400" i="1"/>
  <c r="N400" i="1"/>
  <c r="M400" i="1"/>
  <c r="P399" i="1"/>
  <c r="O399" i="1"/>
  <c r="N399" i="1"/>
  <c r="M399" i="1"/>
  <c r="P398" i="1"/>
  <c r="O398" i="1"/>
  <c r="N398" i="1"/>
  <c r="M398" i="1"/>
  <c r="P397" i="1"/>
  <c r="O397" i="1"/>
  <c r="N397" i="1"/>
  <c r="M397" i="1"/>
  <c r="P396" i="1"/>
  <c r="O396" i="1"/>
  <c r="N396" i="1"/>
  <c r="M396" i="1"/>
  <c r="P395" i="1"/>
  <c r="O395" i="1"/>
  <c r="N395" i="1"/>
  <c r="M395" i="1"/>
  <c r="P394" i="1"/>
  <c r="O394" i="1"/>
  <c r="N394" i="1"/>
  <c r="M394" i="1"/>
  <c r="P393" i="1"/>
  <c r="O393" i="1"/>
  <c r="N393" i="1"/>
  <c r="M393" i="1"/>
  <c r="P392" i="1"/>
  <c r="O392" i="1"/>
  <c r="N392" i="1"/>
  <c r="M392" i="1"/>
  <c r="P391" i="1"/>
  <c r="O391" i="1"/>
  <c r="N391" i="1"/>
  <c r="M391" i="1"/>
  <c r="P390" i="1"/>
  <c r="O390" i="1"/>
  <c r="N390" i="1"/>
  <c r="M390" i="1"/>
  <c r="P389" i="1"/>
  <c r="O389" i="1"/>
  <c r="N389" i="1"/>
  <c r="M389" i="1"/>
  <c r="P388" i="1"/>
  <c r="O388" i="1"/>
  <c r="N388" i="1"/>
  <c r="M388" i="1"/>
  <c r="P387" i="1"/>
  <c r="O387" i="1"/>
  <c r="N387" i="1"/>
  <c r="M387" i="1"/>
  <c r="P386" i="1"/>
  <c r="O386" i="1"/>
  <c r="N386" i="1"/>
  <c r="M386" i="1"/>
  <c r="P385" i="1"/>
  <c r="O385" i="1"/>
  <c r="N385" i="1"/>
  <c r="M385" i="1"/>
  <c r="P384" i="1"/>
  <c r="O384" i="1"/>
  <c r="N384" i="1"/>
  <c r="M384" i="1"/>
  <c r="P383" i="1"/>
  <c r="O383" i="1"/>
  <c r="N383" i="1"/>
  <c r="M383" i="1"/>
  <c r="P382" i="1"/>
  <c r="O382" i="1"/>
  <c r="N382" i="1"/>
  <c r="M382" i="1"/>
  <c r="P381" i="1"/>
  <c r="O381" i="1"/>
  <c r="N381" i="1"/>
  <c r="M381" i="1"/>
  <c r="P380" i="1"/>
  <c r="O380" i="1"/>
  <c r="N380" i="1"/>
  <c r="M380" i="1"/>
  <c r="P379" i="1"/>
  <c r="O379" i="1"/>
  <c r="N379" i="1"/>
  <c r="M379" i="1"/>
  <c r="P378" i="1"/>
  <c r="O378" i="1"/>
  <c r="N378" i="1"/>
  <c r="M378" i="1"/>
  <c r="P377" i="1"/>
  <c r="O377" i="1"/>
  <c r="N377" i="1"/>
  <c r="M377" i="1"/>
  <c r="P376" i="1"/>
  <c r="O376" i="1"/>
  <c r="N376" i="1"/>
  <c r="M376" i="1"/>
  <c r="P375" i="1"/>
  <c r="O375" i="1"/>
  <c r="N375" i="1"/>
  <c r="M375" i="1"/>
  <c r="P374" i="1"/>
  <c r="O374" i="1"/>
  <c r="N374" i="1"/>
  <c r="M374" i="1"/>
  <c r="P373" i="1"/>
  <c r="O373" i="1"/>
  <c r="N373" i="1"/>
  <c r="M373" i="1"/>
  <c r="P372" i="1"/>
  <c r="O372" i="1"/>
  <c r="N372" i="1"/>
  <c r="M372" i="1"/>
  <c r="P371" i="1"/>
  <c r="O371" i="1"/>
  <c r="N371" i="1"/>
  <c r="M371" i="1"/>
  <c r="P370" i="1"/>
  <c r="O370" i="1"/>
  <c r="N370" i="1"/>
  <c r="M370" i="1"/>
  <c r="P369" i="1"/>
  <c r="O369" i="1"/>
  <c r="N369" i="1"/>
  <c r="M369" i="1"/>
  <c r="P368" i="1"/>
  <c r="O368" i="1"/>
  <c r="N368" i="1"/>
  <c r="M368" i="1"/>
  <c r="P367" i="1"/>
  <c r="O367" i="1"/>
  <c r="N367" i="1"/>
  <c r="M367" i="1"/>
  <c r="P366" i="1"/>
  <c r="O366" i="1"/>
  <c r="N366" i="1"/>
  <c r="M366" i="1"/>
  <c r="P365" i="1"/>
  <c r="O365" i="1"/>
  <c r="N365" i="1"/>
  <c r="M365" i="1"/>
  <c r="P364" i="1"/>
  <c r="O364" i="1"/>
  <c r="N364" i="1"/>
  <c r="M364" i="1"/>
  <c r="P363" i="1"/>
  <c r="O363" i="1"/>
  <c r="N363" i="1"/>
  <c r="M363" i="1"/>
  <c r="P362" i="1"/>
  <c r="O362" i="1"/>
  <c r="N362" i="1"/>
  <c r="M362" i="1"/>
  <c r="P361" i="1"/>
  <c r="O361" i="1"/>
  <c r="N361" i="1"/>
  <c r="M361" i="1"/>
  <c r="P360" i="1"/>
  <c r="O360" i="1"/>
  <c r="N360" i="1"/>
  <c r="M360" i="1"/>
  <c r="P359" i="1"/>
  <c r="O359" i="1"/>
  <c r="N359" i="1"/>
  <c r="M359" i="1"/>
  <c r="P358" i="1"/>
  <c r="O358" i="1"/>
  <c r="N358" i="1"/>
  <c r="M358" i="1"/>
  <c r="P357" i="1"/>
  <c r="O357" i="1"/>
  <c r="N357" i="1"/>
  <c r="M357" i="1"/>
  <c r="P356" i="1"/>
  <c r="O356" i="1"/>
  <c r="N356" i="1"/>
  <c r="M356" i="1"/>
  <c r="P355" i="1"/>
  <c r="O355" i="1"/>
  <c r="N355" i="1"/>
  <c r="M355" i="1"/>
  <c r="P354" i="1"/>
  <c r="O354" i="1"/>
  <c r="N354" i="1"/>
  <c r="M354" i="1"/>
  <c r="P353" i="1"/>
  <c r="O353" i="1"/>
  <c r="N353" i="1"/>
  <c r="M353" i="1"/>
  <c r="P352" i="1"/>
  <c r="O352" i="1"/>
  <c r="N352" i="1"/>
  <c r="M352" i="1"/>
  <c r="P351" i="1"/>
  <c r="O351" i="1"/>
  <c r="N351" i="1"/>
  <c r="M351" i="1"/>
  <c r="P350" i="1"/>
  <c r="O350" i="1"/>
  <c r="N350" i="1"/>
  <c r="M350" i="1"/>
  <c r="P349" i="1"/>
  <c r="O349" i="1"/>
  <c r="N349" i="1"/>
  <c r="M349" i="1"/>
  <c r="P348" i="1"/>
  <c r="O348" i="1"/>
  <c r="N348" i="1"/>
  <c r="M348" i="1"/>
  <c r="P347" i="1"/>
  <c r="O347" i="1"/>
  <c r="N347" i="1"/>
  <c r="M347" i="1"/>
  <c r="P346" i="1"/>
  <c r="O346" i="1"/>
  <c r="N346" i="1"/>
  <c r="M346" i="1"/>
  <c r="P345" i="1"/>
  <c r="O345" i="1"/>
  <c r="N345" i="1"/>
  <c r="M345" i="1"/>
  <c r="P344" i="1"/>
  <c r="O344" i="1"/>
  <c r="N344" i="1"/>
  <c r="M344" i="1"/>
  <c r="P343" i="1"/>
  <c r="O343" i="1"/>
  <c r="N343" i="1"/>
  <c r="M343" i="1"/>
  <c r="P342" i="1"/>
  <c r="O342" i="1"/>
  <c r="N342" i="1"/>
  <c r="M342" i="1"/>
  <c r="P341" i="1"/>
  <c r="O341" i="1"/>
  <c r="N341" i="1"/>
  <c r="M341" i="1"/>
  <c r="P340" i="1"/>
  <c r="O340" i="1"/>
  <c r="N340" i="1"/>
  <c r="M340" i="1"/>
  <c r="P339" i="1"/>
  <c r="O339" i="1"/>
  <c r="N339" i="1"/>
  <c r="M339" i="1"/>
  <c r="P338" i="1"/>
  <c r="O338" i="1"/>
  <c r="N338" i="1"/>
  <c r="M338" i="1"/>
  <c r="P337" i="1"/>
  <c r="O337" i="1"/>
  <c r="N337" i="1"/>
  <c r="M337" i="1"/>
  <c r="P336" i="1"/>
  <c r="O336" i="1"/>
  <c r="N336" i="1"/>
  <c r="M336" i="1"/>
  <c r="P335" i="1"/>
  <c r="O335" i="1"/>
  <c r="N335" i="1"/>
  <c r="M335" i="1"/>
  <c r="P334" i="1"/>
  <c r="O334" i="1"/>
  <c r="N334" i="1"/>
  <c r="M334" i="1"/>
  <c r="P333" i="1"/>
  <c r="O333" i="1"/>
  <c r="N333" i="1"/>
  <c r="M333" i="1"/>
  <c r="P332" i="1"/>
  <c r="O332" i="1"/>
  <c r="N332" i="1"/>
  <c r="M332" i="1"/>
  <c r="P331" i="1"/>
  <c r="O331" i="1"/>
  <c r="N331" i="1"/>
  <c r="M331" i="1"/>
  <c r="P330" i="1"/>
  <c r="O330" i="1"/>
  <c r="N330" i="1"/>
  <c r="M330" i="1"/>
  <c r="P329" i="1"/>
  <c r="O329" i="1"/>
  <c r="N329" i="1"/>
  <c r="M329" i="1"/>
  <c r="P328" i="1"/>
  <c r="O328" i="1"/>
  <c r="N328" i="1"/>
  <c r="M328" i="1"/>
  <c r="P327" i="1"/>
  <c r="O327" i="1"/>
  <c r="N327" i="1"/>
  <c r="M327" i="1"/>
  <c r="P326" i="1"/>
  <c r="O326" i="1"/>
  <c r="N326" i="1"/>
  <c r="M326" i="1"/>
  <c r="P325" i="1"/>
  <c r="O325" i="1"/>
  <c r="N325" i="1"/>
  <c r="M325" i="1"/>
  <c r="P324" i="1"/>
  <c r="O324" i="1"/>
  <c r="N324" i="1"/>
  <c r="M324" i="1"/>
  <c r="P323" i="1"/>
  <c r="O323" i="1"/>
  <c r="N323" i="1"/>
  <c r="M323" i="1"/>
  <c r="P322" i="1"/>
  <c r="O322" i="1"/>
  <c r="N322" i="1"/>
  <c r="M322" i="1"/>
  <c r="P321" i="1"/>
  <c r="O321" i="1"/>
  <c r="N321" i="1"/>
  <c r="M321" i="1"/>
  <c r="P320" i="1"/>
  <c r="O320" i="1"/>
  <c r="N320" i="1"/>
  <c r="M320" i="1"/>
  <c r="P319" i="1"/>
  <c r="O319" i="1"/>
  <c r="N319" i="1"/>
  <c r="M319" i="1"/>
  <c r="P318" i="1"/>
  <c r="O318" i="1"/>
  <c r="N318" i="1"/>
  <c r="M318" i="1"/>
  <c r="P317" i="1"/>
  <c r="O317" i="1"/>
  <c r="N317" i="1"/>
  <c r="M317" i="1"/>
  <c r="P316" i="1"/>
  <c r="O316" i="1"/>
  <c r="N316" i="1"/>
  <c r="M316" i="1"/>
  <c r="P315" i="1"/>
  <c r="O315" i="1"/>
  <c r="N315" i="1"/>
  <c r="M315" i="1"/>
  <c r="P314" i="1"/>
  <c r="O314" i="1"/>
  <c r="N314" i="1"/>
  <c r="M314" i="1"/>
  <c r="P313" i="1"/>
  <c r="O313" i="1"/>
  <c r="N313" i="1"/>
  <c r="M313" i="1"/>
  <c r="P312" i="1"/>
  <c r="O312" i="1"/>
  <c r="N312" i="1"/>
  <c r="M312" i="1"/>
  <c r="P311" i="1"/>
  <c r="O311" i="1"/>
  <c r="N311" i="1"/>
  <c r="M311" i="1"/>
  <c r="P310" i="1"/>
  <c r="O310" i="1"/>
  <c r="N310" i="1"/>
  <c r="M310" i="1"/>
  <c r="P309" i="1"/>
  <c r="O309" i="1"/>
  <c r="N309" i="1"/>
  <c r="M309" i="1"/>
  <c r="P308" i="1"/>
  <c r="O308" i="1"/>
  <c r="N308" i="1"/>
  <c r="M308" i="1"/>
  <c r="P307" i="1"/>
  <c r="O307" i="1"/>
  <c r="N307" i="1"/>
  <c r="M307" i="1"/>
  <c r="P306" i="1"/>
  <c r="O306" i="1"/>
  <c r="N306" i="1"/>
  <c r="M306" i="1"/>
  <c r="P305" i="1"/>
  <c r="O305" i="1"/>
  <c r="N305" i="1"/>
  <c r="M305" i="1"/>
  <c r="P304" i="1"/>
  <c r="O304" i="1"/>
  <c r="N304" i="1"/>
  <c r="M304" i="1"/>
  <c r="P303" i="1"/>
  <c r="O303" i="1"/>
  <c r="N303" i="1"/>
  <c r="M303" i="1"/>
  <c r="P302" i="1"/>
  <c r="O302" i="1"/>
  <c r="N302" i="1"/>
  <c r="M302" i="1"/>
  <c r="P301" i="1"/>
  <c r="O301" i="1"/>
  <c r="N301" i="1"/>
  <c r="M301" i="1"/>
  <c r="P300" i="1"/>
  <c r="O300" i="1"/>
  <c r="N300" i="1"/>
  <c r="M300" i="1"/>
  <c r="P299" i="1"/>
  <c r="O299" i="1"/>
  <c r="N299" i="1"/>
  <c r="M299" i="1"/>
  <c r="P298" i="1"/>
  <c r="O298" i="1"/>
  <c r="N298" i="1"/>
  <c r="M298" i="1"/>
  <c r="P297" i="1"/>
  <c r="O297" i="1"/>
  <c r="N297" i="1"/>
  <c r="M297" i="1"/>
  <c r="P296" i="1"/>
  <c r="O296" i="1"/>
  <c r="N296" i="1"/>
  <c r="M296" i="1"/>
  <c r="P295" i="1"/>
  <c r="O295" i="1"/>
  <c r="N295" i="1"/>
  <c r="M295" i="1"/>
  <c r="P294" i="1"/>
  <c r="O294" i="1"/>
  <c r="N294" i="1"/>
  <c r="M294" i="1"/>
  <c r="P293" i="1"/>
  <c r="O293" i="1"/>
  <c r="N293" i="1"/>
  <c r="M293" i="1"/>
  <c r="P292" i="1"/>
  <c r="O292" i="1"/>
  <c r="N292" i="1"/>
  <c r="M292" i="1"/>
  <c r="P291" i="1"/>
  <c r="O291" i="1"/>
  <c r="N291" i="1"/>
  <c r="M291" i="1"/>
  <c r="P290" i="1"/>
  <c r="O290" i="1"/>
  <c r="N290" i="1"/>
  <c r="M290" i="1"/>
  <c r="P289" i="1"/>
  <c r="O289" i="1"/>
  <c r="N289" i="1"/>
  <c r="M289" i="1"/>
  <c r="P288" i="1"/>
  <c r="O288" i="1"/>
  <c r="N288" i="1"/>
  <c r="M288" i="1"/>
  <c r="P287" i="1"/>
  <c r="O287" i="1"/>
  <c r="N287" i="1"/>
  <c r="M287" i="1"/>
  <c r="P286" i="1"/>
  <c r="O286" i="1"/>
  <c r="N286" i="1"/>
  <c r="M286" i="1"/>
  <c r="P285" i="1"/>
  <c r="O285" i="1"/>
  <c r="N285" i="1"/>
  <c r="M285" i="1"/>
  <c r="P284" i="1"/>
  <c r="O284" i="1"/>
  <c r="N284" i="1"/>
  <c r="M284" i="1"/>
  <c r="P283" i="1"/>
  <c r="O283" i="1"/>
  <c r="N283" i="1"/>
  <c r="M283" i="1"/>
  <c r="P282" i="1"/>
  <c r="O282" i="1"/>
  <c r="N282" i="1"/>
  <c r="M282" i="1"/>
  <c r="P281" i="1"/>
  <c r="O281" i="1"/>
  <c r="N281" i="1"/>
  <c r="M281" i="1"/>
  <c r="P280" i="1"/>
  <c r="O280" i="1"/>
  <c r="N280" i="1"/>
  <c r="M280" i="1"/>
  <c r="P279" i="1"/>
  <c r="O279" i="1"/>
  <c r="N279" i="1"/>
  <c r="M279" i="1"/>
  <c r="P278" i="1"/>
  <c r="O278" i="1"/>
  <c r="N278" i="1"/>
  <c r="M278" i="1"/>
  <c r="P277" i="1"/>
  <c r="O277" i="1"/>
  <c r="N277" i="1"/>
  <c r="M277" i="1"/>
  <c r="P276" i="1"/>
  <c r="O276" i="1"/>
  <c r="N276" i="1"/>
  <c r="M276" i="1"/>
  <c r="P275" i="1"/>
  <c r="O275" i="1"/>
  <c r="N275" i="1"/>
  <c r="M275" i="1"/>
  <c r="P274" i="1"/>
  <c r="O274" i="1"/>
  <c r="N274" i="1"/>
  <c r="M274" i="1"/>
  <c r="P273" i="1"/>
  <c r="O273" i="1"/>
  <c r="N273" i="1"/>
  <c r="M273" i="1"/>
  <c r="P272" i="1"/>
  <c r="O272" i="1"/>
  <c r="N272" i="1"/>
  <c r="M272" i="1"/>
  <c r="P271" i="1"/>
  <c r="O271" i="1"/>
  <c r="N271" i="1"/>
  <c r="M271" i="1"/>
  <c r="P270" i="1"/>
  <c r="O270" i="1"/>
  <c r="N270" i="1"/>
  <c r="M270" i="1"/>
  <c r="P269" i="1"/>
  <c r="O269" i="1"/>
  <c r="N269" i="1"/>
  <c r="M269" i="1"/>
  <c r="P268" i="1"/>
  <c r="O268" i="1"/>
  <c r="N268" i="1"/>
  <c r="M268" i="1"/>
  <c r="P267" i="1"/>
  <c r="O267" i="1"/>
  <c r="N267" i="1"/>
  <c r="M267" i="1"/>
  <c r="P266" i="1"/>
  <c r="O266" i="1"/>
  <c r="N266" i="1"/>
  <c r="M266" i="1"/>
  <c r="P265" i="1"/>
  <c r="O265" i="1"/>
  <c r="N265" i="1"/>
  <c r="M265" i="1"/>
  <c r="P264" i="1"/>
  <c r="O264" i="1"/>
  <c r="N264" i="1"/>
  <c r="M264" i="1"/>
  <c r="P263" i="1"/>
  <c r="O263" i="1"/>
  <c r="N263" i="1"/>
  <c r="M263" i="1"/>
  <c r="P262" i="1"/>
  <c r="O262" i="1"/>
  <c r="N262" i="1"/>
  <c r="M262" i="1"/>
  <c r="P261" i="1"/>
  <c r="O261" i="1"/>
  <c r="N261" i="1"/>
  <c r="M261" i="1"/>
  <c r="P260" i="1"/>
  <c r="O260" i="1"/>
  <c r="N260" i="1"/>
  <c r="M260" i="1"/>
  <c r="P259" i="1"/>
  <c r="O259" i="1"/>
  <c r="N259" i="1"/>
  <c r="M259" i="1"/>
  <c r="P258" i="1"/>
  <c r="O258" i="1"/>
  <c r="N258" i="1"/>
  <c r="M258" i="1"/>
  <c r="P257" i="1"/>
  <c r="O257" i="1"/>
  <c r="N257" i="1"/>
  <c r="M257" i="1"/>
  <c r="P256" i="1"/>
  <c r="O256" i="1"/>
  <c r="N256" i="1"/>
  <c r="M256" i="1"/>
  <c r="P255" i="1"/>
  <c r="O255" i="1"/>
  <c r="N255" i="1"/>
  <c r="M255" i="1"/>
  <c r="P254" i="1"/>
  <c r="O254" i="1"/>
  <c r="N254" i="1"/>
  <c r="M254" i="1"/>
  <c r="P253" i="1"/>
  <c r="O253" i="1"/>
  <c r="N253" i="1"/>
  <c r="M253" i="1"/>
  <c r="P252" i="1"/>
  <c r="O252" i="1"/>
  <c r="N252" i="1"/>
  <c r="M252" i="1"/>
  <c r="P251" i="1"/>
  <c r="O251" i="1"/>
  <c r="N251" i="1"/>
  <c r="M251" i="1"/>
  <c r="P250" i="1"/>
  <c r="O250" i="1"/>
  <c r="N250" i="1"/>
  <c r="M250" i="1"/>
  <c r="P249" i="1"/>
  <c r="O249" i="1"/>
  <c r="N249" i="1"/>
  <c r="M249" i="1"/>
  <c r="P248" i="1"/>
  <c r="O248" i="1"/>
  <c r="N248" i="1"/>
  <c r="M248" i="1"/>
  <c r="P247" i="1"/>
  <c r="O247" i="1"/>
  <c r="N247" i="1"/>
  <c r="M247" i="1"/>
  <c r="P246" i="1"/>
  <c r="O246" i="1"/>
  <c r="N246" i="1"/>
  <c r="M246" i="1"/>
  <c r="P245" i="1"/>
  <c r="O245" i="1"/>
  <c r="N245" i="1"/>
  <c r="M245" i="1"/>
  <c r="P244" i="1"/>
  <c r="O244" i="1"/>
  <c r="N244" i="1"/>
  <c r="M244" i="1"/>
  <c r="P243" i="1"/>
  <c r="O243" i="1"/>
  <c r="N243" i="1"/>
  <c r="M243" i="1"/>
  <c r="P242" i="1"/>
  <c r="O242" i="1"/>
  <c r="N242" i="1"/>
  <c r="M242" i="1"/>
  <c r="P241" i="1"/>
  <c r="O241" i="1"/>
  <c r="N241" i="1"/>
  <c r="M241" i="1"/>
  <c r="P240" i="1"/>
  <c r="O240" i="1"/>
  <c r="N240" i="1"/>
  <c r="M240" i="1"/>
  <c r="P239" i="1"/>
  <c r="O239" i="1"/>
  <c r="N239" i="1"/>
  <c r="M239" i="1"/>
  <c r="P238" i="1"/>
  <c r="O238" i="1"/>
  <c r="N238" i="1"/>
  <c r="M238" i="1"/>
  <c r="P237" i="1"/>
  <c r="O237" i="1"/>
  <c r="N237" i="1"/>
  <c r="M237" i="1"/>
  <c r="P236" i="1"/>
  <c r="O236" i="1"/>
  <c r="N236" i="1"/>
  <c r="M236" i="1"/>
  <c r="P235" i="1"/>
  <c r="O235" i="1"/>
  <c r="N235" i="1"/>
  <c r="M235" i="1"/>
  <c r="P234" i="1"/>
  <c r="O234" i="1"/>
  <c r="N234" i="1"/>
  <c r="M234" i="1"/>
  <c r="P233" i="1"/>
  <c r="O233" i="1"/>
  <c r="N233" i="1"/>
  <c r="M233" i="1"/>
  <c r="P232" i="1"/>
  <c r="O232" i="1"/>
  <c r="N232" i="1"/>
  <c r="M232" i="1"/>
  <c r="P231" i="1"/>
  <c r="O231" i="1"/>
  <c r="N231" i="1"/>
  <c r="M231" i="1"/>
  <c r="P230" i="1"/>
  <c r="O230" i="1"/>
  <c r="N230" i="1"/>
  <c r="M230" i="1"/>
  <c r="P229" i="1"/>
  <c r="O229" i="1"/>
  <c r="N229" i="1"/>
  <c r="M229" i="1"/>
  <c r="P228" i="1"/>
  <c r="O228" i="1"/>
  <c r="N228" i="1"/>
  <c r="M228" i="1"/>
  <c r="P227" i="1"/>
  <c r="O227" i="1"/>
  <c r="N227" i="1"/>
  <c r="M227" i="1"/>
  <c r="P226" i="1"/>
  <c r="O226" i="1"/>
  <c r="N226" i="1"/>
  <c r="M226" i="1"/>
  <c r="P225" i="1"/>
  <c r="O225" i="1"/>
  <c r="N225" i="1"/>
  <c r="M225" i="1"/>
  <c r="P224" i="1"/>
  <c r="O224" i="1"/>
  <c r="N224" i="1"/>
  <c r="M224" i="1"/>
  <c r="P223" i="1"/>
  <c r="O223" i="1"/>
  <c r="N223" i="1"/>
  <c r="M223" i="1"/>
  <c r="P222" i="1"/>
  <c r="O222" i="1"/>
  <c r="N222" i="1"/>
  <c r="M222" i="1"/>
  <c r="P221" i="1"/>
  <c r="O221" i="1"/>
  <c r="N221" i="1"/>
  <c r="M221" i="1"/>
  <c r="P220" i="1"/>
  <c r="O220" i="1"/>
  <c r="N220" i="1"/>
  <c r="M220" i="1"/>
  <c r="P219" i="1"/>
  <c r="O219" i="1"/>
  <c r="N219" i="1"/>
  <c r="M219" i="1"/>
  <c r="P218" i="1"/>
  <c r="O218" i="1"/>
  <c r="N218" i="1"/>
  <c r="M218" i="1"/>
  <c r="P217" i="1"/>
  <c r="O217" i="1"/>
  <c r="N217" i="1"/>
  <c r="M217" i="1"/>
  <c r="P216" i="1"/>
  <c r="O216" i="1"/>
  <c r="N216" i="1"/>
  <c r="M216" i="1"/>
  <c r="P215" i="1"/>
  <c r="O215" i="1"/>
  <c r="N215" i="1"/>
  <c r="M215" i="1"/>
  <c r="P214" i="1"/>
  <c r="O214" i="1"/>
  <c r="N214" i="1"/>
  <c r="M214" i="1"/>
  <c r="P213" i="1"/>
  <c r="O213" i="1"/>
  <c r="N213" i="1"/>
  <c r="M213" i="1"/>
  <c r="P212" i="1"/>
  <c r="O212" i="1"/>
  <c r="N212" i="1"/>
  <c r="M212" i="1"/>
  <c r="P211" i="1"/>
  <c r="O211" i="1"/>
  <c r="N211" i="1"/>
  <c r="M211" i="1"/>
  <c r="P210" i="1"/>
  <c r="O210" i="1"/>
  <c r="N210" i="1"/>
  <c r="M210" i="1"/>
  <c r="P209" i="1"/>
  <c r="O209" i="1"/>
  <c r="N209" i="1"/>
  <c r="M209" i="1"/>
  <c r="P208" i="1"/>
  <c r="O208" i="1"/>
  <c r="N208" i="1"/>
  <c r="M208" i="1"/>
  <c r="P207" i="1"/>
  <c r="O207" i="1"/>
  <c r="N207" i="1"/>
  <c r="M207" i="1"/>
  <c r="P206" i="1"/>
  <c r="O206" i="1"/>
  <c r="N206" i="1"/>
  <c r="M206" i="1"/>
  <c r="P205" i="1"/>
  <c r="O205" i="1"/>
  <c r="N205" i="1"/>
  <c r="M205" i="1"/>
  <c r="P204" i="1"/>
  <c r="O204" i="1"/>
  <c r="N204" i="1"/>
  <c r="M204" i="1"/>
  <c r="P203" i="1"/>
  <c r="O203" i="1"/>
  <c r="N203" i="1"/>
  <c r="M203" i="1"/>
  <c r="P202" i="1"/>
  <c r="O202" i="1"/>
  <c r="N202" i="1"/>
  <c r="M202" i="1"/>
  <c r="P201" i="1"/>
  <c r="O201" i="1"/>
  <c r="N201" i="1"/>
  <c r="M201" i="1"/>
  <c r="P200" i="1"/>
  <c r="O200" i="1"/>
  <c r="N200" i="1"/>
  <c r="M200" i="1"/>
  <c r="P199" i="1"/>
  <c r="O199" i="1"/>
  <c r="N199" i="1"/>
  <c r="M199" i="1"/>
  <c r="P198" i="1"/>
  <c r="O198" i="1"/>
  <c r="N198" i="1"/>
  <c r="M198" i="1"/>
  <c r="P197" i="1"/>
  <c r="O197" i="1"/>
  <c r="N197" i="1"/>
  <c r="M197" i="1"/>
  <c r="P196" i="1"/>
  <c r="O196" i="1"/>
  <c r="N196" i="1"/>
  <c r="M196" i="1"/>
  <c r="P195" i="1"/>
  <c r="O195" i="1"/>
  <c r="N195" i="1"/>
  <c r="M195" i="1"/>
  <c r="P194" i="1"/>
  <c r="O194" i="1"/>
  <c r="N194" i="1"/>
  <c r="M194" i="1"/>
  <c r="P193" i="1"/>
  <c r="O193" i="1"/>
  <c r="N193" i="1"/>
  <c r="M193" i="1"/>
  <c r="P192" i="1"/>
  <c r="O192" i="1"/>
  <c r="N192" i="1"/>
  <c r="M192" i="1"/>
  <c r="P191" i="1"/>
  <c r="O191" i="1"/>
  <c r="N191" i="1"/>
  <c r="M191" i="1"/>
  <c r="P190" i="1"/>
  <c r="O190" i="1"/>
  <c r="N190" i="1"/>
  <c r="M190" i="1"/>
  <c r="P189" i="1"/>
  <c r="O189" i="1"/>
  <c r="N189" i="1"/>
  <c r="M189" i="1"/>
  <c r="P188" i="1"/>
  <c r="O188" i="1"/>
  <c r="N188" i="1"/>
  <c r="M188" i="1"/>
  <c r="P187" i="1"/>
  <c r="O187" i="1"/>
  <c r="N187" i="1"/>
  <c r="M187" i="1"/>
  <c r="P186" i="1"/>
  <c r="O186" i="1"/>
  <c r="N186" i="1"/>
  <c r="M186" i="1"/>
  <c r="P185" i="1"/>
  <c r="O185" i="1"/>
  <c r="N185" i="1"/>
  <c r="M185" i="1"/>
  <c r="P184" i="1"/>
  <c r="O184" i="1"/>
  <c r="N184" i="1"/>
  <c r="M184" i="1"/>
  <c r="P183" i="1"/>
  <c r="O183" i="1"/>
  <c r="N183" i="1"/>
  <c r="M183" i="1"/>
  <c r="P182" i="1"/>
  <c r="O182" i="1"/>
  <c r="N182" i="1"/>
  <c r="M182" i="1"/>
  <c r="P181" i="1"/>
  <c r="O181" i="1"/>
  <c r="N181" i="1"/>
  <c r="M181" i="1"/>
  <c r="P180" i="1"/>
  <c r="O180" i="1"/>
  <c r="N180" i="1"/>
  <c r="M180" i="1"/>
  <c r="P179" i="1"/>
  <c r="O179" i="1"/>
  <c r="N179" i="1"/>
  <c r="M179" i="1"/>
  <c r="P178" i="1"/>
  <c r="O178" i="1"/>
  <c r="N178" i="1"/>
  <c r="M178" i="1"/>
  <c r="P177" i="1"/>
  <c r="O177" i="1"/>
  <c r="N177" i="1"/>
  <c r="M177" i="1"/>
  <c r="P176" i="1"/>
  <c r="O176" i="1"/>
  <c r="N176" i="1"/>
  <c r="M176" i="1"/>
  <c r="P175" i="1"/>
  <c r="O175" i="1"/>
  <c r="N175" i="1"/>
  <c r="M175" i="1"/>
  <c r="P174" i="1"/>
  <c r="O174" i="1"/>
  <c r="N174" i="1"/>
  <c r="M174" i="1"/>
  <c r="P173" i="1"/>
  <c r="O173" i="1"/>
  <c r="N173" i="1"/>
  <c r="M173" i="1"/>
  <c r="P172" i="1"/>
  <c r="O172" i="1"/>
  <c r="N172" i="1"/>
  <c r="M172" i="1"/>
  <c r="P171" i="1"/>
  <c r="O171" i="1"/>
  <c r="N171" i="1"/>
  <c r="M171" i="1"/>
  <c r="P170" i="1"/>
  <c r="O170" i="1"/>
  <c r="N170" i="1"/>
  <c r="M170" i="1"/>
  <c r="P169" i="1"/>
  <c r="O169" i="1"/>
  <c r="N169" i="1"/>
  <c r="M169" i="1"/>
  <c r="P168" i="1"/>
  <c r="O168" i="1"/>
  <c r="N168" i="1"/>
  <c r="M168" i="1"/>
  <c r="P167" i="1"/>
  <c r="O167" i="1"/>
  <c r="N167" i="1"/>
  <c r="M167" i="1"/>
  <c r="P166" i="1"/>
  <c r="O166" i="1"/>
  <c r="N166" i="1"/>
  <c r="M166" i="1"/>
  <c r="P165" i="1"/>
  <c r="O165" i="1"/>
  <c r="N165" i="1"/>
  <c r="M165" i="1"/>
  <c r="P164" i="1"/>
  <c r="O164" i="1"/>
  <c r="N164" i="1"/>
  <c r="M164" i="1"/>
  <c r="P163" i="1"/>
  <c r="O163" i="1"/>
  <c r="N163" i="1"/>
  <c r="M163" i="1"/>
  <c r="P162" i="1"/>
  <c r="O162" i="1"/>
  <c r="N162" i="1"/>
  <c r="M162" i="1"/>
  <c r="P161" i="1"/>
  <c r="O161" i="1"/>
  <c r="N161" i="1"/>
  <c r="M161" i="1"/>
  <c r="P160" i="1"/>
  <c r="O160" i="1"/>
  <c r="N160" i="1"/>
  <c r="M160" i="1"/>
  <c r="P159" i="1"/>
  <c r="O159" i="1"/>
  <c r="N159" i="1"/>
  <c r="M159" i="1"/>
  <c r="P158" i="1"/>
  <c r="O158" i="1"/>
  <c r="N158" i="1"/>
  <c r="M158" i="1"/>
  <c r="P157" i="1"/>
  <c r="O157" i="1"/>
  <c r="N157" i="1"/>
  <c r="M157" i="1"/>
  <c r="P156" i="1"/>
  <c r="O156" i="1"/>
  <c r="N156" i="1"/>
  <c r="M156" i="1"/>
  <c r="P155" i="1"/>
  <c r="O155" i="1"/>
  <c r="N155" i="1"/>
  <c r="M155" i="1"/>
  <c r="P154" i="1"/>
  <c r="O154" i="1"/>
  <c r="N154" i="1"/>
  <c r="M154" i="1"/>
  <c r="P153" i="1"/>
  <c r="O153" i="1"/>
  <c r="N153" i="1"/>
  <c r="M153" i="1"/>
  <c r="P152" i="1"/>
  <c r="O152" i="1"/>
  <c r="N152" i="1"/>
  <c r="M152" i="1"/>
  <c r="P151" i="1"/>
  <c r="O151" i="1"/>
  <c r="N151" i="1"/>
  <c r="M151" i="1"/>
  <c r="P150" i="1"/>
  <c r="O150" i="1"/>
  <c r="N150" i="1"/>
  <c r="M150" i="1"/>
  <c r="P149" i="1"/>
  <c r="O149" i="1"/>
  <c r="N149" i="1"/>
  <c r="M149" i="1"/>
  <c r="P148" i="1"/>
  <c r="O148" i="1"/>
  <c r="N148" i="1"/>
  <c r="M148" i="1"/>
  <c r="P147" i="1"/>
  <c r="O147" i="1"/>
  <c r="N147" i="1"/>
  <c r="M147" i="1"/>
  <c r="P146" i="1"/>
  <c r="O146" i="1"/>
  <c r="N146" i="1"/>
  <c r="M146" i="1"/>
  <c r="P145" i="1"/>
  <c r="O145" i="1"/>
  <c r="N145" i="1"/>
  <c r="M145" i="1"/>
  <c r="P144" i="1"/>
  <c r="O144" i="1"/>
  <c r="N144" i="1"/>
  <c r="M144" i="1"/>
  <c r="P143" i="1"/>
  <c r="O143" i="1"/>
  <c r="N143" i="1"/>
  <c r="M143" i="1"/>
  <c r="P142" i="1"/>
  <c r="O142" i="1"/>
  <c r="N142" i="1"/>
  <c r="M142" i="1"/>
  <c r="P141" i="1"/>
  <c r="O141" i="1"/>
  <c r="N141" i="1"/>
  <c r="M141" i="1"/>
  <c r="P140" i="1"/>
  <c r="O140" i="1"/>
  <c r="N140" i="1"/>
  <c r="M140" i="1"/>
  <c r="P139" i="1"/>
  <c r="O139" i="1"/>
  <c r="N139" i="1"/>
  <c r="M139" i="1"/>
  <c r="P138" i="1"/>
  <c r="O138" i="1"/>
  <c r="N138" i="1"/>
  <c r="M138" i="1"/>
  <c r="P137" i="1"/>
  <c r="O137" i="1"/>
  <c r="N137" i="1"/>
  <c r="M137" i="1"/>
  <c r="P136" i="1"/>
  <c r="O136" i="1"/>
  <c r="N136" i="1"/>
  <c r="M136" i="1"/>
  <c r="P135" i="1"/>
  <c r="O135" i="1"/>
  <c r="N135" i="1"/>
  <c r="M135" i="1"/>
  <c r="P134" i="1"/>
  <c r="O134" i="1"/>
  <c r="N134" i="1"/>
  <c r="M134" i="1"/>
  <c r="P133" i="1"/>
  <c r="O133" i="1"/>
  <c r="N133" i="1"/>
  <c r="M133" i="1"/>
  <c r="P132" i="1"/>
  <c r="O132" i="1"/>
  <c r="N132" i="1"/>
  <c r="M132" i="1"/>
  <c r="P131" i="1"/>
  <c r="O131" i="1"/>
  <c r="N131" i="1"/>
  <c r="M131" i="1"/>
  <c r="P130" i="1"/>
  <c r="O130" i="1"/>
  <c r="N130" i="1"/>
  <c r="M130" i="1"/>
  <c r="P129" i="1"/>
  <c r="O129" i="1"/>
  <c r="N129" i="1"/>
  <c r="M129" i="1"/>
  <c r="P128" i="1"/>
  <c r="O128" i="1"/>
  <c r="N128" i="1"/>
  <c r="M128" i="1"/>
  <c r="P127" i="1"/>
  <c r="O127" i="1"/>
  <c r="N127" i="1"/>
  <c r="M127" i="1"/>
  <c r="P126" i="1"/>
  <c r="O126" i="1"/>
  <c r="N126" i="1"/>
  <c r="M126" i="1"/>
  <c r="P125" i="1"/>
  <c r="O125" i="1"/>
  <c r="N125" i="1"/>
  <c r="M125" i="1"/>
  <c r="P124" i="1"/>
  <c r="O124" i="1"/>
  <c r="N124" i="1"/>
  <c r="M124" i="1"/>
  <c r="P123" i="1"/>
  <c r="O123" i="1"/>
  <c r="N123" i="1"/>
  <c r="M123" i="1"/>
  <c r="P122" i="1"/>
  <c r="O122" i="1"/>
  <c r="N122" i="1"/>
  <c r="M122" i="1"/>
  <c r="P121" i="1"/>
  <c r="O121" i="1"/>
  <c r="N121" i="1"/>
  <c r="M121" i="1"/>
  <c r="P120" i="1"/>
  <c r="O120" i="1"/>
  <c r="N120" i="1"/>
  <c r="M120" i="1"/>
  <c r="P119" i="1"/>
  <c r="O119" i="1"/>
  <c r="N119" i="1"/>
  <c r="M119" i="1"/>
  <c r="P118" i="1"/>
  <c r="O118" i="1"/>
  <c r="N118" i="1"/>
  <c r="M118" i="1"/>
  <c r="P117" i="1"/>
  <c r="O117" i="1"/>
  <c r="N117" i="1"/>
  <c r="M117" i="1"/>
  <c r="P116" i="1"/>
  <c r="O116" i="1"/>
  <c r="N116" i="1"/>
  <c r="M116" i="1"/>
  <c r="P115" i="1"/>
  <c r="O115" i="1"/>
  <c r="N115" i="1"/>
  <c r="M115" i="1"/>
  <c r="P114" i="1"/>
  <c r="O114" i="1"/>
  <c r="N114" i="1"/>
  <c r="M114" i="1"/>
  <c r="P113" i="1"/>
  <c r="O113" i="1"/>
  <c r="N113" i="1"/>
  <c r="M113" i="1"/>
  <c r="P112" i="1"/>
  <c r="O112" i="1"/>
  <c r="N112" i="1"/>
  <c r="M112" i="1"/>
  <c r="P111" i="1"/>
  <c r="O111" i="1"/>
  <c r="N111" i="1"/>
  <c r="M111" i="1"/>
  <c r="P110" i="1"/>
  <c r="O110" i="1"/>
  <c r="N110" i="1"/>
  <c r="M110" i="1"/>
  <c r="P109" i="1"/>
  <c r="O109" i="1"/>
  <c r="N109" i="1"/>
  <c r="M109" i="1"/>
  <c r="P108" i="1"/>
  <c r="O108" i="1"/>
  <c r="N108" i="1"/>
  <c r="M108" i="1"/>
  <c r="P107" i="1"/>
  <c r="O107" i="1"/>
  <c r="N107" i="1"/>
  <c r="M107" i="1"/>
  <c r="P106" i="1"/>
  <c r="O106" i="1"/>
  <c r="N106" i="1"/>
  <c r="M106" i="1"/>
  <c r="P105" i="1"/>
  <c r="O105" i="1"/>
  <c r="N105" i="1"/>
  <c r="M105" i="1"/>
  <c r="P104" i="1"/>
  <c r="O104" i="1"/>
  <c r="N104" i="1"/>
  <c r="M104" i="1"/>
  <c r="P103" i="1"/>
  <c r="O103" i="1"/>
  <c r="N103" i="1"/>
  <c r="M103" i="1"/>
  <c r="P102" i="1"/>
  <c r="O102" i="1"/>
  <c r="N102" i="1"/>
  <c r="M102" i="1"/>
  <c r="P101" i="1"/>
  <c r="O101" i="1"/>
  <c r="N101" i="1"/>
  <c r="M101" i="1"/>
  <c r="P100" i="1"/>
  <c r="O100" i="1"/>
  <c r="N100" i="1"/>
  <c r="M100" i="1"/>
  <c r="P99" i="1"/>
  <c r="O99" i="1"/>
  <c r="N99" i="1"/>
  <c r="M99" i="1"/>
  <c r="P98" i="1"/>
  <c r="O98" i="1"/>
  <c r="N98" i="1"/>
  <c r="M98" i="1"/>
  <c r="P97" i="1"/>
  <c r="O97" i="1"/>
  <c r="N97" i="1"/>
  <c r="M97" i="1"/>
  <c r="P96" i="1"/>
  <c r="O96" i="1"/>
  <c r="N96" i="1"/>
  <c r="M96" i="1"/>
  <c r="P95" i="1"/>
  <c r="O95" i="1"/>
  <c r="N95" i="1"/>
  <c r="M95" i="1"/>
  <c r="P94" i="1"/>
  <c r="O94" i="1"/>
  <c r="N94" i="1"/>
  <c r="M94" i="1"/>
  <c r="P93" i="1"/>
  <c r="O93" i="1"/>
  <c r="N93" i="1"/>
  <c r="M93" i="1"/>
  <c r="P92" i="1"/>
  <c r="O92" i="1"/>
  <c r="N92" i="1"/>
  <c r="M92" i="1"/>
  <c r="P91" i="1"/>
  <c r="O91" i="1"/>
  <c r="N91" i="1"/>
  <c r="M91" i="1"/>
  <c r="P90" i="1"/>
  <c r="O90" i="1"/>
  <c r="N90" i="1"/>
  <c r="M90" i="1"/>
  <c r="P89" i="1"/>
  <c r="O89" i="1"/>
  <c r="N89" i="1"/>
  <c r="M89" i="1"/>
  <c r="P88" i="1"/>
  <c r="O88" i="1"/>
  <c r="N88" i="1"/>
  <c r="M88" i="1"/>
  <c r="P87" i="1"/>
  <c r="O87" i="1"/>
  <c r="N87" i="1"/>
  <c r="M87" i="1"/>
  <c r="P86" i="1"/>
  <c r="O86" i="1"/>
  <c r="N86" i="1"/>
  <c r="M86" i="1"/>
  <c r="P85" i="1"/>
  <c r="O85" i="1"/>
  <c r="N85" i="1"/>
  <c r="M85" i="1"/>
  <c r="P84" i="1"/>
  <c r="O84" i="1"/>
  <c r="N84" i="1"/>
  <c r="M84" i="1"/>
  <c r="P83" i="1"/>
  <c r="O83" i="1"/>
  <c r="N83" i="1"/>
  <c r="M83" i="1"/>
  <c r="P82" i="1"/>
  <c r="O82" i="1"/>
  <c r="N82" i="1"/>
  <c r="M82" i="1"/>
  <c r="P81" i="1"/>
  <c r="O81" i="1"/>
  <c r="N81" i="1"/>
  <c r="M81" i="1"/>
  <c r="P80" i="1"/>
  <c r="O80" i="1"/>
  <c r="N80" i="1"/>
  <c r="M80" i="1"/>
  <c r="P79" i="1"/>
  <c r="O79" i="1"/>
  <c r="N79" i="1"/>
  <c r="M79" i="1"/>
  <c r="P78" i="1"/>
  <c r="O78" i="1"/>
  <c r="N78" i="1"/>
  <c r="M78" i="1"/>
  <c r="P77" i="1"/>
  <c r="O77" i="1"/>
  <c r="N77" i="1"/>
  <c r="M77" i="1"/>
  <c r="P76" i="1"/>
  <c r="O76" i="1"/>
  <c r="N76" i="1"/>
  <c r="M76" i="1"/>
  <c r="P75" i="1"/>
  <c r="O75" i="1"/>
  <c r="N75" i="1"/>
  <c r="M75" i="1"/>
  <c r="P74" i="1"/>
  <c r="O74" i="1"/>
  <c r="N74" i="1"/>
  <c r="M74" i="1"/>
  <c r="P73" i="1"/>
  <c r="O73" i="1"/>
  <c r="N73" i="1"/>
  <c r="M73" i="1"/>
  <c r="P72" i="1"/>
  <c r="O72" i="1"/>
  <c r="N72" i="1"/>
  <c r="M72" i="1"/>
  <c r="P71" i="1"/>
  <c r="O71" i="1"/>
  <c r="N71" i="1"/>
  <c r="M71" i="1"/>
  <c r="P70" i="1"/>
  <c r="O70" i="1"/>
  <c r="N70" i="1"/>
  <c r="M70" i="1"/>
  <c r="P69" i="1"/>
  <c r="O69" i="1"/>
  <c r="N69" i="1"/>
  <c r="M69" i="1"/>
  <c r="P68" i="1"/>
  <c r="O68" i="1"/>
  <c r="N68" i="1"/>
  <c r="M68" i="1"/>
  <c r="P67" i="1"/>
  <c r="O67" i="1"/>
  <c r="N67" i="1"/>
  <c r="M67" i="1"/>
  <c r="P66" i="1"/>
  <c r="O66" i="1"/>
  <c r="N66" i="1"/>
  <c r="M66" i="1"/>
  <c r="P65" i="1"/>
  <c r="O65" i="1"/>
  <c r="N65" i="1"/>
  <c r="M65" i="1"/>
  <c r="P64" i="1"/>
  <c r="O64" i="1"/>
  <c r="N64" i="1"/>
  <c r="M64" i="1"/>
  <c r="P63" i="1"/>
  <c r="O63" i="1"/>
  <c r="N63" i="1"/>
  <c r="M63" i="1"/>
  <c r="P62" i="1"/>
  <c r="O62" i="1"/>
  <c r="N62" i="1"/>
  <c r="M62" i="1"/>
  <c r="P61" i="1"/>
  <c r="O61" i="1"/>
  <c r="N61" i="1"/>
  <c r="M61" i="1"/>
  <c r="P60" i="1"/>
  <c r="O60" i="1"/>
  <c r="N60" i="1"/>
  <c r="M60" i="1"/>
  <c r="P59" i="1"/>
  <c r="O59" i="1"/>
  <c r="N59" i="1"/>
  <c r="M59" i="1"/>
  <c r="P58" i="1"/>
  <c r="O58" i="1"/>
  <c r="N58" i="1"/>
  <c r="M58" i="1"/>
  <c r="P57" i="1"/>
  <c r="O57" i="1"/>
  <c r="N57" i="1"/>
  <c r="M57" i="1"/>
  <c r="P56" i="1"/>
  <c r="O56" i="1"/>
  <c r="N56" i="1"/>
  <c r="M56" i="1"/>
  <c r="P55" i="1"/>
  <c r="O55" i="1"/>
  <c r="N55" i="1"/>
  <c r="M55" i="1"/>
  <c r="P54" i="1"/>
  <c r="O54" i="1"/>
  <c r="N54" i="1"/>
  <c r="M54" i="1"/>
  <c r="P53" i="1"/>
  <c r="O53" i="1"/>
  <c r="N53" i="1"/>
  <c r="M53" i="1"/>
  <c r="P52" i="1"/>
  <c r="O52" i="1"/>
  <c r="N52" i="1"/>
  <c r="M52" i="1"/>
  <c r="P51" i="1"/>
  <c r="O51" i="1"/>
  <c r="N51" i="1"/>
  <c r="M51" i="1"/>
  <c r="P50" i="1"/>
  <c r="O50" i="1"/>
  <c r="N50" i="1"/>
  <c r="M50" i="1"/>
  <c r="P49" i="1"/>
  <c r="O49" i="1"/>
  <c r="N49" i="1"/>
  <c r="M49" i="1"/>
  <c r="P48" i="1"/>
  <c r="O48" i="1"/>
  <c r="N48" i="1"/>
  <c r="M48" i="1"/>
  <c r="P47" i="1"/>
  <c r="O47" i="1"/>
  <c r="N47" i="1"/>
  <c r="M47" i="1"/>
  <c r="P46" i="1"/>
  <c r="O46" i="1"/>
  <c r="N46" i="1"/>
  <c r="M46" i="1"/>
  <c r="P45" i="1"/>
  <c r="O45" i="1"/>
  <c r="N45" i="1"/>
  <c r="M45" i="1"/>
  <c r="P44" i="1"/>
  <c r="O44" i="1"/>
  <c r="N44" i="1"/>
  <c r="M44" i="1"/>
  <c r="P43" i="1"/>
  <c r="O43" i="1"/>
  <c r="N43" i="1"/>
  <c r="M43" i="1"/>
  <c r="P42" i="1"/>
  <c r="O42" i="1"/>
  <c r="N42" i="1"/>
  <c r="M42" i="1"/>
  <c r="P41" i="1"/>
  <c r="O41" i="1"/>
  <c r="N41" i="1"/>
  <c r="M41" i="1"/>
  <c r="P40" i="1"/>
  <c r="O40" i="1"/>
  <c r="N40" i="1"/>
  <c r="M40" i="1"/>
  <c r="P39" i="1"/>
  <c r="O39" i="1"/>
  <c r="N39" i="1"/>
  <c r="M39" i="1"/>
  <c r="P38" i="1"/>
  <c r="O38" i="1"/>
  <c r="N38" i="1"/>
  <c r="M38" i="1"/>
  <c r="P37" i="1"/>
  <c r="O37" i="1"/>
  <c r="N37" i="1"/>
  <c r="M37" i="1"/>
  <c r="P36" i="1"/>
  <c r="O36" i="1"/>
  <c r="N36" i="1"/>
  <c r="M36" i="1"/>
  <c r="P35" i="1"/>
  <c r="O35" i="1"/>
  <c r="N35" i="1"/>
  <c r="M35" i="1"/>
  <c r="P34" i="1"/>
  <c r="O34" i="1"/>
  <c r="N34" i="1"/>
  <c r="M34" i="1"/>
  <c r="P33" i="1"/>
  <c r="O33" i="1"/>
  <c r="N33" i="1"/>
  <c r="M33" i="1"/>
  <c r="P32" i="1"/>
  <c r="O32" i="1"/>
  <c r="N32" i="1"/>
  <c r="M32" i="1"/>
  <c r="P31" i="1"/>
  <c r="O31" i="1"/>
  <c r="N31" i="1"/>
  <c r="M31" i="1"/>
  <c r="P30" i="1"/>
  <c r="O30" i="1"/>
  <c r="N30" i="1"/>
  <c r="M30" i="1"/>
  <c r="P29" i="1"/>
  <c r="O29" i="1"/>
  <c r="N29" i="1"/>
  <c r="M29" i="1"/>
  <c r="P28" i="1"/>
  <c r="O28" i="1"/>
  <c r="N28" i="1"/>
  <c r="M28" i="1"/>
  <c r="P27" i="1"/>
  <c r="O27" i="1"/>
  <c r="N27" i="1"/>
  <c r="M27" i="1"/>
  <c r="P26" i="1"/>
  <c r="O26" i="1"/>
  <c r="N26" i="1"/>
  <c r="M26" i="1"/>
  <c r="P25" i="1"/>
  <c r="O25" i="1"/>
  <c r="N25" i="1"/>
  <c r="M25" i="1"/>
  <c r="P24" i="1"/>
  <c r="O24" i="1"/>
  <c r="N24" i="1"/>
  <c r="M24" i="1"/>
  <c r="P23" i="1"/>
  <c r="O23" i="1"/>
  <c r="N23" i="1"/>
  <c r="M23" i="1"/>
  <c r="P22" i="1"/>
  <c r="O22" i="1"/>
  <c r="N22" i="1"/>
  <c r="M22" i="1"/>
  <c r="P21" i="1"/>
  <c r="O21" i="1"/>
  <c r="N21" i="1"/>
  <c r="M21" i="1"/>
  <c r="P20" i="1"/>
  <c r="O20" i="1"/>
  <c r="N20" i="1"/>
  <c r="M20" i="1"/>
  <c r="P19" i="1"/>
  <c r="O19" i="1"/>
  <c r="N19" i="1"/>
  <c r="M19" i="1"/>
  <c r="P18" i="1"/>
  <c r="O18" i="1"/>
  <c r="N18" i="1"/>
  <c r="M18" i="1"/>
  <c r="P17" i="1"/>
  <c r="O17" i="1"/>
  <c r="N17" i="1"/>
  <c r="M17" i="1"/>
  <c r="P16" i="1"/>
  <c r="O16" i="1"/>
  <c r="N16" i="1"/>
  <c r="M16" i="1"/>
  <c r="P15" i="1"/>
  <c r="O15" i="1"/>
  <c r="N15" i="1"/>
  <c r="M15" i="1"/>
  <c r="P14" i="1"/>
  <c r="O14" i="1"/>
  <c r="N14" i="1"/>
  <c r="M14" i="1"/>
  <c r="P13" i="1"/>
  <c r="O13" i="1"/>
  <c r="N13" i="1"/>
  <c r="M13" i="1"/>
  <c r="P12" i="1"/>
  <c r="O12" i="1"/>
  <c r="N12" i="1"/>
  <c r="M12" i="1"/>
  <c r="P11" i="1"/>
  <c r="O11" i="1"/>
  <c r="N11" i="1"/>
  <c r="M11" i="1"/>
  <c r="P10" i="1"/>
  <c r="O10" i="1"/>
  <c r="N10" i="1"/>
  <c r="M10" i="1"/>
  <c r="P9" i="1"/>
  <c r="O9" i="1"/>
  <c r="N9" i="1"/>
  <c r="M9" i="1"/>
  <c r="P8" i="1"/>
  <c r="O8" i="1"/>
  <c r="N8" i="1"/>
  <c r="M8" i="1"/>
  <c r="P7" i="1"/>
  <c r="O7" i="1"/>
  <c r="N7" i="1"/>
  <c r="M7" i="1"/>
  <c r="P6" i="1"/>
  <c r="O6" i="1"/>
  <c r="N6" i="1"/>
  <c r="M6" i="1"/>
  <c r="P5" i="1"/>
  <c r="O5" i="1"/>
  <c r="N5" i="1"/>
  <c r="M5" i="1"/>
  <c r="P4" i="1"/>
  <c r="O4" i="1"/>
  <c r="N4" i="1"/>
  <c r="M4" i="1"/>
  <c r="P3" i="1"/>
  <c r="O3" i="1"/>
  <c r="N3" i="1"/>
  <c r="M3" i="1"/>
  <c r="P2" i="1"/>
  <c r="O2" i="1"/>
  <c r="N2" i="1"/>
  <c r="M2" i="1"/>
  <c r="L9" i="9"/>
  <c r="K9" i="9"/>
  <c r="J9" i="9"/>
  <c r="I9" i="9"/>
  <c r="H9" i="9"/>
  <c r="L8" i="9"/>
  <c r="K8" i="9"/>
  <c r="J8" i="9"/>
  <c r="I8" i="9"/>
  <c r="H8" i="9"/>
  <c r="L7" i="9"/>
  <c r="K7" i="9"/>
  <c r="J7" i="9"/>
  <c r="I7" i="9"/>
  <c r="H7" i="9"/>
  <c r="L6" i="9"/>
  <c r="K6" i="9"/>
  <c r="J6" i="9"/>
  <c r="I6" i="9"/>
  <c r="H6" i="9"/>
  <c r="L5" i="9"/>
  <c r="K5" i="9"/>
  <c r="J5" i="9"/>
  <c r="I5" i="9"/>
  <c r="H5" i="9"/>
  <c r="L4" i="9"/>
  <c r="K4" i="9"/>
  <c r="J4" i="9"/>
  <c r="I4" i="9"/>
  <c r="K4" i="5"/>
  <c r="J4" i="5"/>
  <c r="I4" i="5"/>
  <c r="H4" i="5"/>
  <c r="G4" i="5"/>
</calcChain>
</file>

<file path=xl/sharedStrings.xml><?xml version="1.0" encoding="utf-8"?>
<sst xmlns="http://schemas.openxmlformats.org/spreadsheetml/2006/main" count="14538" uniqueCount="2576">
  <si>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</si>
  <si>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</si>
  <si>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</si>
  <si>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</si>
  <si>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</si>
  <si>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</si>
  <si>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</si>
  <si>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</si>
  <si>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</si>
  <si>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</si>
  <si>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</si>
  <si>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</si>
  <si>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</si>
  <si>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</si>
  <si>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</si>
  <si>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</si>
  <si>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</si>
  <si>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</si>
  <si>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</si>
  <si>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</si>
  <si>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</si>
  <si>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</si>
  <si>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</si>
  <si>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</si>
  <si>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</si>
  <si>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</si>
  <si>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</si>
  <si>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</si>
  <si>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</si>
  <si>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</si>
  <si>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</si>
  <si>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</si>
  <si>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</si>
  <si>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</si>
  <si>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</si>
  <si>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</si>
  <si>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</si>
  <si>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</si>
  <si>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</si>
  <si>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</si>
  <si>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</si>
  <si>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</si>
  <si>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</si>
  <si>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</si>
  <si>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</si>
  <si>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</si>
  <si>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</si>
  <si>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</si>
  <si>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</si>
  <si>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</si>
  <si>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</si>
  <si>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</si>
  <si>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</si>
  <si>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</si>
  <si>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</si>
  <si>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</si>
  <si>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</si>
  <si>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</si>
  <si>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</si>
  <si>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</si>
  <si>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</si>
  <si>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</si>
  <si>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</si>
  <si>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</si>
  <si>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</si>
  <si>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</si>
  <si>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</si>
  <si>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</si>
  <si>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</si>
  <si>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</si>
  <si>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</si>
  <si>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</si>
  <si>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</si>
  <si>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</si>
  <si>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</si>
  <si>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</si>
  <si>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</si>
  <si>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</si>
  <si>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</si>
  <si>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</si>
  <si>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</si>
  <si>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</si>
  <si>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</si>
  <si>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</si>
  <si>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</si>
  <si>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</si>
  <si>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</si>
  <si>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</si>
  <si>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</si>
  <si>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</si>
  <si>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</si>
  <si>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</si>
  <si>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</si>
  <si>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</si>
  <si>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</si>
  <si>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</si>
  <si>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</si>
  <si>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</si>
  <si>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</si>
  <si>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</si>
  <si>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</si>
  <si>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</si>
  <si>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</si>
  <si>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</si>
  <si>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</si>
  <si>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</si>
  <si>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</si>
  <si>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</si>
  <si>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</si>
  <si>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</si>
  <si>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</si>
  <si>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</si>
  <si>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</si>
  <si>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</si>
  <si>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</si>
  <si>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</si>
  <si>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</si>
  <si>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</si>
  <si>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</si>
  <si>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</si>
  <si>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</si>
  <si>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</si>
  <si>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</si>
  <si>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</si>
  <si>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</si>
  <si>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</si>
  <si>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</si>
  <si>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</si>
  <si>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</si>
  <si>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</si>
  <si>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</si>
  <si>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</si>
  <si>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</si>
  <si>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</si>
  <si>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</si>
  <si>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</si>
  <si>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</si>
  <si>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</si>
  <si>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</si>
  <si>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</si>
  <si>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</si>
  <si>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</si>
  <si>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</si>
  <si>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</si>
  <si>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</si>
  <si>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</si>
  <si>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</si>
  <si>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</si>
  <si>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</si>
  <si>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</si>
  <si>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</si>
  <si>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</si>
  <si>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</si>
  <si>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</si>
  <si>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</si>
  <si>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</si>
  <si>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</si>
  <si>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</si>
  <si>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</si>
  <si>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</si>
  <si>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</si>
  <si>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</si>
  <si>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</si>
  <si>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</si>
  <si>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</si>
  <si>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</si>
  <si>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</si>
  <si>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</si>
  <si>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</si>
  <si>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</si>
  <si>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</si>
  <si>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</si>
  <si>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</si>
  <si>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</si>
  <si>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</si>
  <si>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</si>
  <si>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</si>
  <si>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</si>
  <si>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</si>
  <si>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</si>
  <si>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</si>
  <si>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</si>
  <si>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</si>
  <si>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</si>
  <si>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</si>
  <si>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</si>
  <si>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</si>
  <si>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</si>
  <si>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</si>
  <si>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</si>
  <si>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</si>
  <si>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</si>
  <si>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</si>
  <si>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</si>
  <si>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</si>
  <si>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</si>
  <si>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</si>
  <si>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</si>
  <si>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</si>
  <si>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</si>
  <si>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</si>
  <si>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</si>
  <si>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</si>
  <si>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</si>
  <si>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</si>
  <si>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</si>
  <si>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</si>
  <si>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</si>
  <si>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</si>
  <si>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</si>
  <si>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</si>
  <si>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</si>
  <si>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</si>
  <si>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</si>
  <si>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</si>
  <si>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</si>
  <si>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</si>
  <si>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</si>
  <si>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</si>
  <si>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</si>
  <si>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</si>
  <si>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</si>
  <si>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</si>
  <si>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</si>
  <si>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</si>
  <si>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</si>
  <si>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</si>
  <si>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</si>
  <si>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</si>
  <si>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</si>
  <si>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</si>
  <si>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</si>
  <si>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</si>
  <si>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</si>
  <si>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</si>
  <si>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</si>
  <si>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</si>
  <si>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</si>
  <si>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</si>
  <si>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</si>
  <si>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</si>
  <si>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</si>
  <si>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</si>
  <si>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</si>
  <si>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</si>
  <si>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</si>
  <si>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</si>
  <si>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</si>
  <si>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</si>
  <si>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</si>
  <si>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</si>
  <si>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</si>
  <si>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</si>
  <si>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</si>
  <si>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</si>
  <si>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</si>
  <si>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</si>
  <si>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</si>
  <si>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</si>
  <si>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</si>
  <si>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</si>
  <si>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</si>
  <si>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</si>
  <si>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</si>
  <si>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</si>
  <si>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</si>
  <si>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</si>
  <si>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</si>
  <si>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</si>
  <si>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</si>
  <si>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</si>
  <si>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</si>
  <si>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</si>
  <si>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</si>
  <si>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</si>
  <si>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</si>
  <si>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</si>
  <si>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</si>
  <si>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</si>
  <si>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</si>
  <si>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</si>
  <si>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</si>
  <si>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</si>
  <si>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</si>
  <si>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</si>
  <si>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</si>
  <si>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</si>
  <si>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</si>
  <si>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</si>
  <si>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</si>
  <si>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</si>
  <si>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</si>
  <si>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</si>
  <si>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</si>
  <si>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</si>
  <si>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</si>
  <si>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</si>
  <si>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</si>
  <si>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</si>
  <si>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</si>
  <si>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</si>
  <si>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</si>
  <si>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</si>
  <si>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</si>
  <si>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</si>
  <si>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</si>
  <si>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</si>
  <si>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</si>
  <si>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</si>
  <si>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</si>
  <si>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</si>
  <si>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</si>
  <si>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</si>
  <si>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</si>
  <si>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</si>
  <si>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</si>
  <si>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</si>
  <si>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</si>
  <si>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</si>
  <si>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</si>
  <si>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</si>
  <si>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</si>
  <si>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</si>
  <si>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</si>
  <si>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</si>
  <si>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</si>
  <si>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</si>
  <si>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</si>
  <si>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</si>
  <si>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</si>
  <si>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</si>
  <si>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</si>
  <si>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</si>
  <si>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</si>
  <si>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</si>
  <si>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</si>
  <si>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</si>
  <si>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</si>
  <si>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</si>
  <si>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</si>
  <si>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</si>
  <si>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</si>
  <si>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</si>
  <si>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</si>
  <si>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</si>
  <si>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</si>
  <si>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</si>
  <si>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</si>
  <si>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</si>
  <si>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</si>
  <si>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</si>
  <si>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</si>
  <si>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</si>
  <si>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</si>
  <si>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</si>
  <si>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</si>
  <si>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</si>
  <si>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</si>
  <si>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</si>
  <si>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</si>
  <si>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</si>
  <si>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</si>
  <si>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</si>
  <si>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</si>
  <si>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</si>
  <si>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</si>
  <si>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</si>
  <si>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</si>
  <si>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</si>
  <si>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</si>
  <si>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</si>
  <si>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</si>
  <si>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</si>
  <si>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</si>
  <si>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</si>
  <si>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</si>
  <si>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</si>
  <si>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</si>
  <si>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</si>
  <si>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</si>
  <si>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</si>
  <si>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</si>
  <si>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</si>
  <si>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</si>
  <si>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</si>
  <si>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</si>
  <si>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</si>
  <si>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</si>
  <si>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</si>
  <si>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</si>
  <si>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</si>
  <si>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</si>
  <si>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</si>
  <si>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</si>
  <si>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</si>
  <si>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</si>
  <si>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</si>
  <si>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</si>
  <si>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</si>
  <si>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</si>
  <si>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</si>
  <si>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</si>
  <si>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</si>
  <si>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</si>
  <si>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</si>
  <si>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</si>
  <si>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</si>
  <si>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</si>
  <si>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</si>
  <si>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</si>
  <si>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</si>
  <si>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</si>
  <si>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</si>
  <si>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</si>
  <si>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</si>
  <si>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</si>
  <si>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</si>
  <si>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</si>
  <si>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</si>
  <si>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</si>
  <si>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</si>
  <si>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</si>
  <si>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</si>
  <si>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</si>
  <si>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</si>
  <si>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</si>
  <si>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</si>
  <si>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</si>
  <si>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</si>
  <si>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</si>
  <si>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</si>
  <si>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</si>
  <si>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</si>
  <si>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</si>
  <si>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</si>
  <si>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</si>
  <si>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</si>
  <si>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</si>
  <si>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</si>
  <si>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</si>
  <si>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</si>
  <si>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</si>
  <si>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</si>
  <si>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</si>
  <si>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</si>
  <si>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</si>
  <si>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</si>
  <si>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</si>
  <si>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</si>
  <si>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</si>
  <si>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</si>
  <si>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</si>
  <si>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</si>
  <si>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</si>
  <si>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</si>
  <si>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</si>
  <si>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</si>
  <si>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</si>
  <si>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</si>
  <si>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</si>
  <si>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</si>
  <si>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</si>
  <si>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</si>
  <si>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</si>
  <si>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</si>
  <si>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</si>
  <si>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</si>
  <si>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</si>
  <si>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</si>
  <si>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</si>
  <si>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</si>
  <si>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</si>
  <si>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</si>
  <si>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</si>
  <si>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</si>
  <si>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</si>
  <si>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</si>
  <si>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</si>
  <si>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</si>
  <si>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</si>
  <si>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</si>
  <si>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</si>
  <si>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</si>
  <si>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</si>
  <si>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</si>
  <si>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</si>
  <si>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</si>
  <si>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</si>
  <si>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</si>
  <si>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</si>
  <si>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</si>
  <si>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</si>
  <si>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</si>
  <si>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</si>
  <si>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</si>
  <si>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</si>
  <si>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</si>
  <si>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</si>
  <si>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</si>
  <si>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</si>
  <si>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</si>
  <si>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</si>
  <si>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</si>
  <si>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</si>
  <si>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</si>
  <si>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</si>
  <si>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</si>
  <si>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</si>
  <si>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</si>
  <si>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</si>
  <si>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</si>
  <si>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</si>
  <si>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</si>
  <si>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</si>
  <si>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</si>
  <si>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</si>
  <si>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</si>
  <si>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</si>
  <si>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</si>
  <si>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</si>
  <si>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</si>
  <si>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</si>
  <si>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</si>
  <si>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</si>
  <si>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</si>
  <si>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</si>
  <si>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</si>
  <si>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</si>
  <si>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</si>
  <si>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</si>
  <si>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</si>
  <si>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</si>
  <si>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</si>
  <si>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</si>
  <si>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</si>
  <si>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</si>
  <si>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</si>
  <si>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</si>
  <si>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</si>
  <si>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</si>
  <si>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</si>
  <si>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</si>
  <si>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</si>
  <si>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</si>
  <si>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</si>
  <si>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</si>
  <si>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</si>
  <si>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</si>
  <si>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</si>
  <si>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</si>
  <si>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</si>
  <si>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</si>
  <si>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</si>
  <si>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</si>
  <si>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</si>
  <si>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</si>
  <si>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</si>
  <si>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</si>
  <si>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</si>
  <si>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</si>
  <si>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</si>
  <si>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</si>
  <si>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</si>
  <si>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</si>
  <si>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</si>
  <si>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</si>
  <si>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</si>
  <si>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</si>
  <si>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</si>
  <si>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</si>
  <si>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</si>
  <si>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</si>
  <si>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</si>
  <si>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</si>
  <si>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</si>
  <si>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</si>
  <si>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</si>
  <si>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</si>
  <si>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</si>
  <si>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</si>
  <si>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</si>
  <si>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</si>
  <si>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</si>
  <si>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</si>
  <si>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</si>
  <si>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</si>
  <si>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</si>
  <si>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</si>
  <si>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</si>
  <si>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</si>
  <si>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</si>
  <si>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</si>
  <si>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</si>
  <si>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</si>
  <si>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</si>
  <si>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</si>
  <si>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</si>
  <si>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</si>
  <si>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</si>
  <si>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</si>
  <si>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</si>
  <si>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</si>
  <si>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</si>
  <si>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</si>
  <si>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</si>
  <si>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</si>
  <si>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</si>
  <si>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</si>
  <si>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</si>
  <si>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</si>
  <si>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</si>
  <si>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</si>
  <si>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</si>
  <si>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</si>
  <si>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</si>
  <si>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</si>
  <si>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</si>
  <si>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</si>
  <si>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</si>
  <si>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</si>
  <si>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</si>
  <si>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</si>
  <si>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</si>
  <si>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</si>
  <si>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</si>
  <si>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</si>
  <si>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</si>
  <si>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</si>
  <si>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</si>
  <si>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</si>
  <si>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</si>
  <si>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</si>
  <si>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</si>
  <si>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</si>
  <si>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</si>
  <si>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</si>
  <si>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</si>
  <si>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</si>
  <si>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</si>
  <si>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</si>
  <si>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</si>
  <si>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</si>
  <si>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</si>
  <si>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</si>
  <si>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</si>
  <si>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</si>
  <si>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</si>
  <si>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</si>
  <si>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</si>
  <si>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</si>
  <si>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</si>
  <si>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</si>
  <si>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</si>
  <si>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</si>
  <si>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</si>
  <si>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</si>
  <si>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</si>
  <si>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</si>
  <si>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</si>
  <si>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</si>
  <si>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</si>
  <si>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</si>
  <si>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</si>
  <si>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</si>
  <si>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</si>
  <si>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</si>
  <si>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</si>
  <si>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</si>
  <si>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</si>
  <si>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</si>
  <si>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</si>
  <si>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</si>
  <si>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</si>
  <si>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</si>
  <si>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</si>
  <si>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</si>
  <si>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</si>
  <si>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</si>
  <si>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</si>
  <si>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</si>
  <si>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</si>
  <si>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</si>
  <si>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</si>
  <si>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</si>
  <si>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</si>
  <si>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</si>
  <si>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</si>
  <si>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</si>
  <si>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</si>
  <si>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</si>
  <si>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</si>
  <si>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</si>
  <si>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</si>
  <si>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</si>
  <si>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</si>
  <si>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</si>
  <si>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</si>
  <si>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</si>
  <si>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</si>
  <si>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</si>
  <si>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</si>
  <si>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</si>
  <si>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</si>
  <si>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</si>
  <si>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</si>
  <si>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</si>
  <si>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</si>
  <si>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</si>
  <si>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</si>
  <si>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</si>
  <si>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</si>
  <si>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</si>
  <si>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</si>
  <si>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</si>
  <si>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</si>
  <si>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</si>
  <si>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</si>
  <si>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</si>
  <si>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</si>
  <si>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</si>
  <si>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</si>
  <si>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</si>
  <si>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</si>
  <si>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</si>
  <si>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</si>
  <si>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</si>
  <si>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</si>
  <si>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</si>
  <si>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</si>
  <si>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</si>
  <si>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</si>
  <si>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</si>
  <si>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</si>
  <si>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</si>
  <si>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</si>
  <si>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</si>
  <si>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</si>
  <si>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</si>
  <si>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</si>
  <si>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</si>
  <si>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</si>
  <si>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</si>
  <si>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</si>
  <si>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</si>
  <si>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</si>
  <si>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</si>
  <si>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</si>
  <si>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</si>
  <si>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</si>
  <si>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</si>
  <si>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</si>
  <si>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</si>
  <si>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</si>
  <si>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</si>
  <si>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</si>
  <si>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</si>
  <si>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</si>
  <si>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</si>
  <si>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</si>
  <si>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</si>
  <si>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</si>
  <si>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</si>
  <si>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</si>
  <si>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</si>
  <si>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</si>
  <si>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</si>
  <si>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</si>
  <si>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</si>
  <si>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</si>
  <si>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</si>
  <si>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</si>
  <si>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</si>
  <si>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</si>
  <si>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</si>
  <si>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</si>
  <si>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</si>
  <si>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</si>
  <si>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</si>
  <si>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</si>
  <si>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</si>
  <si>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</si>
  <si>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</si>
  <si>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</si>
  <si>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</si>
  <si>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</si>
  <si>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</si>
  <si>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</si>
  <si>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</si>
  <si>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</si>
  <si>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</si>
  <si>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</si>
  <si>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</si>
  <si>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</si>
  <si>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</si>
  <si>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</si>
  <si>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</si>
  <si>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</si>
  <si>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</si>
  <si>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</si>
  <si>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</si>
  <si>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</si>
  <si>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</si>
  <si>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</si>
  <si>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</si>
  <si>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</si>
  <si>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</si>
  <si>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</si>
  <si>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</si>
  <si>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</si>
  <si>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</si>
  <si>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</si>
  <si>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</si>
  <si>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</si>
  <si>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</si>
  <si>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</si>
  <si>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</si>
  <si>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</si>
  <si>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</si>
  <si>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</si>
  <si>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</si>
  <si>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</si>
  <si>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</si>
  <si>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</si>
  <si>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</si>
  <si>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</si>
  <si>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</si>
  <si>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</si>
  <si>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</si>
  <si>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</si>
  <si>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</si>
  <si>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</si>
  <si>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</si>
  <si>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</si>
  <si>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</si>
  <si>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</si>
  <si>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</si>
  <si>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</si>
  <si>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</si>
  <si>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</si>
  <si>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</si>
  <si>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</si>
  <si>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</si>
  <si>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</si>
  <si>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</si>
  <si>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</si>
  <si>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</si>
  <si>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</si>
  <si>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</si>
  <si>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</si>
  <si>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</si>
  <si>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</si>
  <si>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</si>
  <si>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</si>
  <si>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</si>
  <si>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</si>
  <si>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</si>
  <si>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</si>
  <si>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</si>
  <si>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</si>
  <si>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</si>
  <si>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</si>
  <si>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</si>
  <si>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</si>
  <si>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</si>
  <si>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</si>
  <si>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</si>
  <si>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</si>
  <si>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</si>
  <si>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</si>
  <si>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</si>
  <si>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</si>
  <si>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</si>
  <si>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</si>
  <si>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</si>
  <si>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</si>
  <si>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</si>
  <si>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</si>
  <si>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</si>
  <si>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</si>
  <si>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</si>
  <si>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</si>
  <si>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</si>
  <si>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</si>
  <si>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</si>
  <si>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</si>
  <si>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</si>
  <si>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</si>
  <si>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</si>
  <si>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</si>
  <si>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</si>
  <si>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</si>
  <si>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</si>
  <si>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</si>
  <si>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</si>
  <si>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</si>
  <si>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</si>
  <si>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</si>
  <si>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</si>
  <si>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</si>
  <si>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</si>
  <si>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</si>
  <si>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</si>
  <si>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</si>
  <si>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</si>
  <si>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</si>
  <si>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</si>
  <si>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</si>
  <si>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</si>
  <si>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</si>
  <si>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</si>
  <si>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</si>
  <si>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</si>
  <si>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</si>
  <si>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</si>
  <si>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</si>
  <si>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</si>
  <si>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</si>
  <si>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</si>
  <si>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</si>
  <si>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</si>
  <si>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</si>
  <si>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</si>
  <si>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</si>
  <si>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</si>
  <si>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</si>
  <si>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</si>
  <si>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</si>
  <si>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</si>
  <si>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</si>
  <si>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</si>
  <si>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</si>
  <si>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</si>
  <si>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</si>
  <si>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</si>
  <si>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</si>
  <si>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</si>
  <si>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</si>
  <si>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</si>
  <si>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</si>
  <si>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</si>
  <si>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</si>
  <si>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</si>
  <si>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</si>
  <si>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</si>
  <si>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</si>
  <si>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</si>
  <si>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</si>
  <si>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</si>
  <si>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</si>
  <si>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</si>
  <si>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</si>
  <si>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</si>
  <si>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</si>
  <si>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</si>
  <si>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</si>
  <si>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</si>
  <si>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</si>
  <si>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</si>
  <si>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</si>
  <si>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</si>
  <si>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</si>
  <si>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</si>
  <si>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</si>
  <si>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</si>
  <si>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</si>
  <si>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</si>
  <si>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</si>
  <si>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</si>
  <si>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</si>
  <si>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</si>
  <si>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</si>
  <si>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</si>
  <si>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</si>
  <si>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</si>
  <si>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</si>
  <si>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</si>
  <si>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</si>
  <si>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</si>
  <si>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</si>
  <si>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</si>
  <si>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</si>
  <si>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</si>
  <si>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</si>
  <si>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</si>
  <si>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</si>
  <si>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</si>
  <si>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</si>
  <si>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</si>
  <si>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</si>
  <si>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</si>
  <si>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</si>
  <si>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</si>
  <si>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</si>
  <si>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</si>
  <si>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</si>
  <si>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</si>
  <si>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</si>
  <si>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</si>
  <si>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</si>
  <si>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</si>
  <si>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</si>
  <si>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</si>
  <si>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</si>
  <si>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</si>
  <si>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</si>
  <si>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</si>
  <si>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</si>
  <si>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</si>
  <si>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</si>
  <si>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</si>
  <si>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</si>
  <si>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</si>
  <si>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</si>
  <si>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</si>
  <si>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</si>
  <si>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</si>
  <si>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</si>
  <si>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</si>
  <si>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</si>
  <si>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</si>
  <si>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</si>
  <si>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</si>
  <si>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</si>
  <si>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</si>
  <si>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</si>
  <si>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</si>
  <si>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</si>
  <si>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</si>
  <si>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</si>
  <si>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</si>
  <si>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</si>
  <si>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</si>
  <si>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</si>
  <si>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</si>
  <si>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</si>
  <si>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</si>
  <si>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</si>
  <si>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</si>
  <si>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</si>
  <si>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</si>
  <si>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</si>
  <si>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</si>
  <si>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</si>
  <si>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</si>
  <si>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</si>
  <si>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</si>
  <si>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</si>
  <si>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</si>
  <si>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</si>
  <si>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</si>
  <si>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</si>
  <si>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</si>
  <si>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</si>
  <si>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</si>
  <si>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</si>
  <si>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</si>
  <si>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</si>
  <si>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</si>
  <si>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</si>
  <si>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</si>
  <si>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</si>
  <si>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</si>
  <si>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</si>
  <si>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</si>
  <si>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</si>
  <si>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</si>
  <si>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</si>
  <si>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</si>
  <si>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</si>
  <si>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</si>
  <si>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</si>
  <si>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</si>
  <si>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</si>
  <si>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</si>
  <si>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</si>
  <si>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</si>
  <si>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</si>
  <si>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</si>
  <si>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</si>
  <si>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</si>
  <si>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</si>
  <si>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</si>
  <si>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</si>
  <si>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</si>
  <si>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</si>
  <si>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</si>
  <si>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</si>
  <si>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</si>
  <si>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</si>
  <si>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</si>
  <si>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</si>
  <si>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</si>
  <si>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</si>
  <si>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</si>
  <si>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</si>
  <si>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</si>
  <si>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</si>
  <si>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</si>
  <si>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</si>
  <si>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</si>
  <si>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</si>
  <si>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</si>
  <si>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</si>
  <si>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</si>
  <si>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</si>
  <si>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</si>
  <si>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</si>
  <si>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</si>
  <si>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</si>
  <si>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</si>
  <si>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</si>
  <si>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</si>
  <si>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</si>
  <si>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</si>
  <si>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</si>
  <si>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</si>
  <si>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</si>
  <si>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</si>
  <si>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</si>
  <si>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</si>
  <si>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</si>
  <si>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</si>
  <si>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</si>
  <si>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</si>
  <si>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</si>
  <si>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</si>
  <si>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</si>
  <si>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</si>
  <si>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</si>
  <si>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</si>
  <si>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</si>
  <si>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</si>
  <si>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</si>
  <si>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</si>
  <si>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</si>
  <si>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</si>
  <si>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</si>
  <si>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</si>
  <si>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</si>
  <si>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</si>
  <si>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</si>
  <si>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</si>
  <si>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</si>
  <si>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</si>
  <si>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</si>
  <si>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</si>
  <si>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</si>
  <si>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</si>
  <si>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</si>
  <si>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</si>
  <si>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</si>
  <si>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</si>
  <si>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</si>
  <si>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</si>
  <si>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</si>
  <si>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</si>
  <si>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</si>
  <si>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</si>
  <si>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</si>
  <si>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</si>
  <si>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</si>
  <si>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</si>
  <si>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</si>
  <si>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</si>
  <si>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</si>
  <si>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</si>
  <si>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</si>
  <si>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</si>
  <si>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</si>
  <si>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</si>
  <si>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</si>
  <si>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</si>
  <si>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</si>
  <si>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</si>
  <si>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</si>
  <si>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</si>
  <si>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</si>
  <si>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</si>
  <si>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</si>
  <si>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</si>
  <si>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</si>
  <si>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</si>
  <si>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</si>
  <si>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</si>
  <si>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</si>
  <si>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</si>
  <si>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</si>
  <si>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</si>
  <si>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</si>
  <si>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</si>
  <si>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</si>
  <si>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</si>
  <si>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</si>
  <si>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</si>
  <si>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</si>
  <si>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</si>
  <si>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</si>
  <si>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</si>
  <si>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</si>
  <si>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</si>
  <si>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</si>
  <si>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</si>
  <si>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</si>
  <si>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</si>
  <si>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</si>
  <si>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</si>
  <si>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</si>
  <si>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</si>
  <si>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</si>
  <si>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</si>
  <si>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</si>
  <si>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</si>
  <si>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</si>
  <si>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</si>
  <si>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</si>
  <si>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</si>
  <si>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</si>
  <si>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</si>
  <si>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</si>
  <si>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</si>
  <si>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</si>
  <si>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</si>
  <si>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</si>
  <si>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</si>
  <si>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</si>
  <si>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</si>
  <si>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</si>
  <si>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</si>
  <si>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</si>
  <si>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</si>
  <si>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</si>
  <si>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</si>
  <si>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</si>
  <si>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</si>
  <si>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</si>
  <si>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</si>
  <si>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</si>
  <si>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</si>
  <si>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</si>
  <si>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</si>
  <si>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</si>
  <si>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</si>
  <si>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</si>
  <si>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</si>
  <si>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</si>
  <si>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</si>
  <si>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</si>
  <si>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</si>
  <si>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</si>
  <si>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</si>
  <si>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</si>
  <si>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</si>
  <si>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</si>
  <si>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</si>
  <si>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</si>
  <si>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</si>
  <si>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</si>
  <si>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</si>
  <si>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</si>
  <si>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</si>
  <si>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</si>
  <si>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</si>
  <si>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</si>
  <si>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</si>
  <si>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</si>
  <si>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</si>
  <si>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</si>
  <si>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</si>
  <si>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</si>
  <si>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</si>
  <si>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</si>
  <si>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</si>
  <si>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</si>
  <si>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</si>
  <si>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</si>
  <si>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</si>
  <si>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</si>
  <si>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</si>
  <si>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</si>
  <si>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</si>
  <si>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</si>
  <si>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</si>
  <si>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</si>
  <si>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</si>
  <si>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</si>
  <si>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</si>
  <si>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</si>
  <si>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</si>
  <si>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</si>
  <si>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</si>
  <si>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</si>
  <si>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</si>
  <si>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</si>
  <si>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</si>
  <si>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</si>
  <si>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</si>
  <si>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</si>
  <si>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</si>
  <si>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</si>
  <si>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</si>
  <si>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</si>
  <si>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</si>
  <si>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</si>
  <si>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</si>
  <si>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</si>
  <si>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</si>
  <si>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</si>
  <si>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</si>
  <si>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</si>
  <si>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</si>
  <si>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</si>
  <si>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</si>
  <si>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</si>
  <si>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</si>
  <si>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</si>
  <si>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</si>
  <si>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</si>
  <si>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</si>
  <si>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</si>
  <si>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</si>
  <si>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</si>
  <si>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</si>
  <si>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</si>
  <si>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</si>
  <si>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</si>
  <si>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</si>
  <si>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</si>
  <si>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</si>
  <si>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</si>
  <si>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</si>
  <si>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</si>
  <si>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</si>
  <si>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</si>
  <si>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</si>
  <si>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</si>
  <si>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</si>
  <si>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</si>
  <si>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</si>
  <si>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</si>
  <si>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</si>
  <si>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</si>
  <si>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</si>
  <si>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</si>
  <si>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</si>
  <si>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</si>
  <si>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</si>
  <si>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</si>
  <si>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</si>
  <si>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</si>
  <si>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</si>
  <si>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</si>
  <si>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</si>
  <si>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</si>
  <si>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</si>
  <si>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</si>
  <si>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</si>
  <si>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</si>
  <si>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</si>
  <si>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</si>
  <si>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</si>
  <si>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</si>
  <si>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</si>
  <si>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</si>
  <si>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</si>
  <si>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</si>
  <si>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</si>
  <si>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</si>
  <si>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</si>
  <si>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</si>
  <si>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</si>
  <si>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</si>
  <si>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</si>
  <si>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</si>
  <si>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</si>
  <si>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</si>
  <si>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</si>
  <si>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</si>
  <si>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</si>
  <si>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</si>
  <si>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</si>
  <si>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</si>
  <si>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</si>
  <si>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</si>
  <si>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</si>
  <si>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</si>
  <si>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</si>
  <si>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</si>
  <si>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</si>
  <si>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</si>
  <si>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</si>
  <si>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</si>
  <si>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</si>
  <si>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</si>
  <si>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</si>
  <si>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</si>
  <si>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</si>
  <si>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</si>
  <si>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</si>
  <si>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</si>
  <si>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</si>
  <si>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</si>
  <si>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</si>
  <si>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</si>
  <si>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</si>
  <si>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</si>
  <si>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</si>
  <si>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</si>
  <si>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</si>
  <si>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</si>
  <si>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</si>
  <si>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</si>
  <si>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</si>
  <si>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</si>
  <si>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</si>
  <si>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</si>
  <si>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</si>
  <si>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</si>
  <si>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</si>
  <si>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</si>
  <si>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</si>
  <si>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</si>
  <si>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</si>
  <si>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</si>
  <si>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</si>
  <si>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</si>
  <si>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</si>
  <si>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</si>
  <si>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</si>
  <si>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</si>
  <si>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</si>
  <si>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</si>
  <si>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</si>
  <si>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</si>
  <si>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</si>
  <si>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</si>
  <si>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</si>
  <si>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</si>
  <si>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</si>
  <si>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</si>
  <si>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</si>
  <si>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</si>
  <si>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</si>
  <si>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</si>
  <si>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</si>
  <si>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</si>
  <si>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</si>
  <si>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</si>
  <si>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</si>
  <si>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</si>
  <si>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</si>
  <si>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</si>
  <si>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</si>
  <si>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</si>
  <si>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</si>
  <si>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</si>
  <si>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</si>
  <si>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</si>
  <si>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</si>
  <si>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</si>
  <si>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</si>
  <si>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</si>
  <si>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</si>
  <si>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</si>
  <si>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</si>
  <si>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</si>
  <si>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</si>
  <si>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</si>
  <si>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</si>
  <si>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</si>
  <si>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</si>
  <si>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</si>
  <si>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</si>
  <si>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</si>
  <si>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</si>
  <si>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</si>
  <si>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</si>
  <si>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</si>
  <si>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</si>
  <si>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</si>
  <si>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</si>
  <si>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</si>
  <si>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</si>
  <si>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</si>
  <si>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</si>
  <si>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</si>
  <si>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</si>
  <si>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</si>
  <si>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</si>
  <si>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</si>
  <si>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</si>
  <si>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</si>
  <si>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</si>
  <si>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</si>
  <si>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</si>
  <si>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</si>
  <si>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</si>
  <si>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</si>
  <si>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</si>
  <si>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</si>
  <si>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</si>
  <si>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</si>
  <si>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</si>
  <si>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</si>
  <si>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</si>
  <si>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</si>
  <si>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</si>
  <si>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</si>
  <si>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</si>
  <si>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</si>
  <si>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</si>
  <si>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</si>
  <si>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</si>
  <si>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</si>
  <si>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</si>
  <si>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</si>
  <si>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</si>
  <si>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</si>
  <si>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</si>
  <si>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</si>
  <si>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</si>
  <si>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</si>
  <si>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</si>
  <si>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</si>
  <si>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</si>
  <si>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</si>
  <si>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</si>
  <si>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</si>
  <si>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</si>
  <si>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</si>
  <si>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</si>
  <si>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</si>
  <si>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</si>
  <si>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</si>
  <si>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</si>
  <si>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</si>
  <si>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</si>
  <si>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</si>
  <si>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</si>
  <si>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</si>
  <si>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</si>
  <si>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</si>
  <si>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</si>
  <si>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</si>
  <si>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</si>
  <si>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</si>
  <si>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</si>
  <si>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</si>
  <si>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</si>
  <si>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</si>
  <si>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</si>
  <si>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</si>
  <si>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</si>
  <si>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</si>
  <si>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</si>
  <si>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</si>
  <si>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</si>
  <si>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</si>
  <si>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</si>
  <si>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</si>
  <si>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</si>
  <si>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</si>
  <si>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</si>
  <si>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</si>
  <si>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</si>
  <si>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</si>
  <si>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</si>
  <si>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</si>
  <si>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</si>
  <si>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</si>
  <si>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</si>
  <si>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</si>
  <si>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</si>
  <si>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</si>
  <si>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</si>
  <si>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</si>
  <si>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</si>
  <si>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</si>
  <si>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</si>
  <si>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</si>
  <si>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</si>
  <si>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</si>
  <si>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</si>
  <si>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</si>
  <si>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</si>
  <si>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</si>
  <si>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</si>
  <si>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</si>
  <si>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</si>
  <si>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</si>
  <si>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</si>
  <si>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</si>
  <si>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</si>
  <si>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</si>
  <si>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</si>
  <si>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</si>
  <si>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</si>
  <si>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</si>
  <si>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</si>
  <si>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</si>
  <si>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</si>
  <si>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</si>
  <si>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</si>
  <si>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</si>
  <si>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</si>
  <si>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</si>
  <si>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</si>
  <si>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</si>
  <si>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</si>
  <si>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</si>
  <si>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</si>
  <si>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</si>
  <si>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</si>
  <si>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</si>
  <si>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</si>
  <si>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</si>
  <si>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</si>
  <si>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</si>
  <si>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</si>
  <si>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</si>
  <si>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</si>
  <si>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</si>
  <si>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</si>
  <si>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</si>
  <si>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</si>
  <si>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</si>
  <si>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</si>
  <si>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</si>
  <si>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</si>
  <si>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</si>
  <si>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</si>
  <si>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</si>
  <si>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</si>
  <si>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</si>
  <si>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</si>
  <si>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</si>
  <si>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</si>
  <si>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</si>
  <si>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</si>
  <si>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</si>
  <si>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</si>
  <si>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</si>
  <si>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</si>
  <si>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</si>
  <si>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</si>
  <si>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</si>
  <si>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</si>
  <si>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</si>
  <si>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</si>
  <si>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</si>
  <si>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</si>
  <si>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</si>
  <si>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</si>
  <si>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</si>
  <si>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</si>
  <si>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</si>
  <si>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</si>
  <si>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</si>
  <si>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</si>
  <si>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</si>
  <si>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</si>
  <si>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</si>
  <si>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</si>
  <si>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</si>
  <si>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</si>
  <si>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</si>
  <si>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</si>
  <si>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</si>
  <si>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</si>
  <si>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</si>
  <si>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</si>
  <si>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</si>
  <si>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</si>
  <si>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</si>
  <si>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</si>
  <si>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</si>
  <si>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</si>
  <si>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</si>
  <si>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</si>
  <si>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</si>
  <si>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</si>
  <si>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</si>
  <si>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</si>
  <si>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</si>
  <si>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</si>
  <si>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</si>
  <si>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</si>
  <si>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</si>
  <si>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</si>
  <si>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</si>
  <si>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</si>
  <si>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</si>
  <si>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</si>
  <si>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</si>
  <si>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</si>
  <si>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</si>
  <si>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</si>
  <si>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</si>
  <si>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</si>
  <si>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</si>
  <si>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</si>
  <si>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</si>
  <si>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</si>
  <si>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</si>
  <si>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</si>
  <si>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</si>
  <si>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</si>
  <si>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</si>
  <si>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</si>
  <si>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</si>
  <si>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</si>
  <si>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</si>
  <si>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</si>
  <si>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</si>
  <si>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</si>
  <si>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</si>
  <si>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</si>
  <si>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</si>
  <si>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</si>
  <si>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</si>
  <si>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</si>
  <si>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</si>
  <si>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</si>
  <si>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</si>
  <si>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</si>
  <si>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</si>
  <si>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</si>
  <si>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</si>
  <si>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</si>
  <si>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</si>
  <si>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</si>
  <si>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</si>
  <si>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</si>
  <si>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</si>
  <si>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</si>
  <si>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</si>
  <si>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</si>
  <si>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</si>
  <si>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</si>
  <si>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</si>
  <si>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</si>
  <si>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</si>
  <si>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</si>
  <si>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</si>
  <si>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</si>
  <si>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</si>
  <si>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</si>
  <si>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</si>
  <si>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</si>
  <si>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</si>
  <si>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</si>
  <si>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</si>
  <si>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</si>
  <si>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</si>
  <si>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</si>
  <si>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</si>
  <si>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</si>
  <si>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</si>
  <si>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</si>
  <si>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</si>
  <si>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</si>
  <si>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</si>
  <si>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</si>
  <si>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</si>
  <si>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</si>
  <si>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</si>
  <si>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</si>
  <si>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</si>
  <si>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</si>
  <si>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</si>
  <si>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</si>
  <si>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</si>
  <si>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</si>
  <si>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</si>
  <si>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</si>
  <si>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</si>
  <si>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</si>
  <si>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</si>
  <si>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</si>
  <si>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</si>
  <si>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</si>
  <si>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</si>
  <si>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</si>
  <si>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</si>
  <si>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</si>
  <si>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</si>
  <si>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</si>
  <si>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</si>
  <si>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</si>
  <si>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</si>
  <si>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</si>
  <si>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</si>
  <si>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</si>
  <si>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</si>
  <si>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</si>
  <si>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</si>
  <si>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</si>
  <si>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</si>
  <si>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</si>
  <si>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</si>
  <si>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</si>
  <si>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</si>
  <si>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</si>
  <si>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</si>
  <si>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</si>
  <si>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</si>
  <si>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</si>
  <si>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</si>
  <si>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</si>
  <si>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</si>
  <si>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</si>
  <si>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</si>
  <si>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</si>
  <si>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</si>
  <si>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</si>
  <si>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</si>
  <si>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</si>
  <si>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</si>
  <si>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</si>
  <si>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</si>
  <si>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</si>
  <si>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</si>
  <si>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</si>
  <si>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</si>
  <si>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</si>
  <si>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</si>
  <si>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</si>
  <si>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</si>
  <si>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</si>
  <si>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</si>
  <si>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</si>
  <si>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</si>
  <si>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</si>
  <si>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</si>
  <si>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</si>
  <si>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</si>
  <si>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</si>
  <si>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</si>
  <si>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</si>
  <si>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</si>
  <si>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</si>
  <si>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</si>
  <si>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</si>
  <si>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</si>
  <si>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</si>
  <si>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</si>
  <si>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</si>
  <si>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</si>
  <si>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</si>
  <si>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</si>
  <si>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</si>
  <si>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</si>
  <si>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</si>
  <si>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</si>
  <si>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</si>
  <si>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</si>
  <si>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</si>
  <si>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</si>
  <si>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</si>
  <si>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</si>
  <si>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</si>
  <si>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</si>
  <si>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</si>
  <si>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</si>
  <si>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</si>
  <si>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</si>
  <si>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</si>
  <si>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</si>
  <si>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</si>
  <si>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</si>
  <si>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</si>
  <si>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</si>
  <si>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</si>
  <si>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</si>
  <si>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</si>
  <si>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</si>
  <si>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</si>
  <si>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</si>
  <si>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</si>
  <si>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</si>
  <si>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</si>
  <si>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</si>
  <si>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</si>
  <si>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</si>
  <si>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</si>
  <si>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</si>
  <si>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</si>
  <si>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</si>
  <si>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</si>
  <si>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</si>
  <si>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</si>
  <si>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</si>
  <si>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</si>
  <si>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</si>
  <si>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</si>
  <si>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</si>
  <si>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</si>
  <si>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</si>
  <si>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</si>
  <si>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</si>
  <si>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</si>
  <si>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</si>
  <si>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</si>
  <si>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</si>
  <si>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</si>
  <si>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</si>
  <si>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</si>
  <si>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</si>
  <si>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</si>
  <si>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</si>
  <si>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</si>
  <si>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</si>
  <si>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</si>
  <si>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</si>
  <si>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</si>
  <si>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</si>
  <si>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</si>
  <si>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</si>
  <si>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</si>
  <si>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</si>
  <si>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</si>
  <si>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</si>
  <si>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</si>
  <si>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</si>
  <si>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</si>
  <si>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</si>
  <si>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</si>
  <si>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</si>
  <si>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</si>
  <si>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</si>
  <si>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</si>
  <si>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</si>
  <si>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</si>
  <si>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</si>
  <si>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</si>
  <si>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</si>
  <si>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</si>
  <si>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</si>
  <si>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</si>
  <si>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</si>
  <si>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</si>
  <si>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</si>
  <si>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</si>
  <si>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</si>
  <si>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</si>
  <si>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</si>
  <si>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</si>
  <si>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</si>
  <si>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</si>
  <si>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</si>
  <si>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</si>
  <si>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</si>
  <si>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</si>
  <si>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</si>
  <si>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</si>
  <si>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</si>
  <si>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</si>
  <si>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</si>
  <si>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</si>
  <si>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</si>
  <si>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</si>
  <si>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</si>
  <si>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</si>
  <si>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</si>
  <si>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</si>
  <si>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</si>
  <si>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</si>
  <si>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</si>
  <si>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</si>
  <si>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</si>
  <si>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</si>
  <si>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</si>
  <si>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</si>
  <si>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</si>
  <si>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</si>
  <si>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</si>
  <si>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</si>
  <si>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</si>
  <si>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</si>
  <si>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</si>
  <si>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</si>
  <si>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</si>
  <si>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</si>
  <si>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</si>
  <si>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</si>
  <si>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</si>
  <si>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</si>
  <si>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</si>
  <si>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</si>
  <si>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</si>
  <si>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</si>
  <si>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</si>
  <si>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</si>
  <si>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</si>
  <si>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</si>
  <si>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</si>
  <si>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</si>
  <si>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</si>
  <si>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</si>
  <si>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</si>
  <si>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</si>
  <si>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</si>
  <si>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</si>
  <si>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</si>
  <si>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</si>
  <si>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</si>
  <si>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</si>
  <si>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</si>
  <si>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</si>
  <si>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</si>
  <si>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</si>
  <si>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</si>
  <si>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</si>
  <si>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</si>
  <si>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</si>
  <si>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</si>
  <si>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</si>
  <si>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</si>
  <si>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</si>
  <si>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</si>
  <si>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</si>
  <si>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</si>
  <si>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</si>
  <si>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</si>
  <si>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</si>
  <si>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</si>
  <si>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</si>
  <si>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</si>
  <si>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</si>
  <si>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</si>
  <si>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</si>
  <si>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</si>
  <si>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</si>
  <si>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</si>
  <si>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</si>
  <si>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</si>
  <si>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</si>
  <si>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</si>
  <si>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</si>
  <si>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</si>
  <si>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</si>
  <si>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</si>
  <si>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</si>
  <si>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</si>
  <si>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</si>
  <si>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</si>
  <si>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</si>
  <si>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</si>
  <si>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</si>
  <si>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</si>
  <si>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</si>
  <si>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</si>
  <si>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</si>
  <si>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</si>
  <si>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</si>
  <si>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</si>
  <si>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</si>
  <si>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</si>
  <si>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</si>
  <si>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</si>
  <si>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</si>
  <si>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</si>
  <si>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</si>
  <si>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</si>
  <si>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</si>
  <si>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</si>
  <si>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</si>
  <si>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</si>
  <si>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</si>
  <si>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</si>
  <si>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</si>
  <si>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</si>
  <si>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</si>
  <si>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</si>
  <si>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</si>
  <si>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</si>
  <si>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</si>
  <si>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</si>
  <si>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</si>
  <si>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</si>
  <si>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</si>
  <si>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</si>
  <si>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</si>
  <si>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</si>
  <si>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</si>
  <si>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</si>
  <si>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</si>
  <si>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</si>
  <si>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</si>
  <si>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</si>
  <si>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</si>
  <si>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</si>
  <si>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</si>
  <si>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</si>
  <si>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</si>
  <si>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</si>
  <si>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</si>
  <si>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</si>
  <si>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</si>
  <si>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</si>
  <si>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</si>
  <si>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</si>
  <si>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</si>
  <si>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</si>
  <si>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</si>
  <si>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</si>
  <si>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</si>
  <si>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</si>
  <si>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</si>
  <si>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</si>
  <si>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</si>
  <si>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</si>
  <si>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</si>
  <si>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</si>
  <si>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</si>
  <si>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</si>
  <si>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</si>
  <si>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</si>
  <si>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</si>
  <si>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</si>
  <si>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</si>
  <si>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</si>
  <si>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</si>
  <si>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</si>
  <si>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</si>
  <si>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</si>
  <si>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</si>
  <si>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</si>
  <si>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</si>
  <si>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</si>
  <si>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</si>
  <si>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</si>
  <si>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</si>
  <si>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</si>
  <si>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</si>
  <si>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</si>
  <si>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</si>
  <si>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</si>
  <si>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</si>
  <si>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</si>
  <si>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</si>
  <si>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</si>
  <si>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</si>
  <si>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</si>
  <si>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</si>
  <si>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</si>
  <si>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</si>
  <si>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</si>
  <si>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</si>
  <si>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</si>
  <si>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</si>
  <si>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</si>
  <si>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</si>
  <si>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</si>
  <si>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</si>
  <si>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</si>
  <si>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</si>
  <si>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</si>
  <si>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</si>
  <si>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</si>
  <si>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</si>
  <si>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</si>
  <si>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</si>
  <si>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</si>
  <si>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</si>
  <si>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</si>
  <si>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</si>
  <si>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</si>
  <si>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</si>
  <si>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</si>
  <si>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</si>
  <si>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</si>
  <si>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</si>
  <si>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</si>
  <si>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</si>
  <si>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</si>
  <si>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</si>
  <si>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</si>
  <si>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</si>
  <si>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</si>
  <si>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</si>
  <si>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</si>
  <si>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</si>
  <si>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</si>
  <si>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</si>
  <si>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</si>
  <si>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</si>
  <si>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</si>
  <si>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</si>
  <si>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</si>
  <si>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</si>
  <si>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</si>
  <si>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</si>
  <si>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</si>
  <si>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</si>
  <si>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</si>
  <si>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</si>
  <si>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</si>
  <si>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</si>
  <si>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</si>
  <si>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</si>
  <si>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</si>
  <si>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</si>
  <si>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</si>
  <si>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</si>
  <si>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</si>
  <si>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</si>
  <si>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</si>
  <si>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</si>
  <si>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</si>
  <si>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</si>
  <si>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</si>
  <si>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</si>
  <si>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</si>
  <si>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</si>
  <si>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</si>
  <si>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</si>
  <si>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</si>
  <si>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</si>
  <si>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</si>
  <si>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</si>
  <si>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</si>
  <si>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</si>
  <si>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</si>
  <si>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</si>
  <si>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</si>
  <si>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</si>
  <si>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</si>
  <si>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</si>
  <si>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</si>
  <si>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</si>
  <si>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</si>
  <si>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</si>
  <si>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</si>
  <si>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</si>
  <si>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</si>
  <si>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</si>
  <si>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</si>
  <si>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</si>
  <si>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</si>
  <si>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</si>
  <si>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</si>
  <si>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</si>
  <si>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</si>
  <si>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</si>
  <si>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</si>
  <si>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</si>
  <si>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</si>
  <si>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</si>
  <si>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</si>
  <si>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</si>
  <si>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</si>
  <si>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</si>
  <si>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</si>
  <si>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</si>
  <si>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</si>
  <si>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</si>
  <si>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</si>
  <si>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</si>
  <si>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</si>
  <si>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</si>
  <si>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</si>
  <si>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</si>
  <si>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</si>
  <si>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</si>
  <si>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</si>
  <si>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</si>
  <si>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</si>
  <si>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</si>
  <si>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</si>
  <si>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</si>
  <si>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</si>
  <si>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</si>
  <si>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</si>
  <si>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</si>
  <si>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</si>
  <si>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</si>
  <si>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</si>
  <si>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</si>
  <si>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</si>
  <si>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</si>
  <si>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</si>
  <si>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</si>
  <si>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</si>
  <si>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</si>
  <si>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</si>
  <si>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</si>
  <si>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</si>
  <si>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</si>
  <si>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</si>
  <si>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</si>
  <si>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</si>
  <si>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</si>
  <si>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</si>
  <si>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</si>
  <si>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</si>
  <si>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</si>
  <si>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</si>
  <si>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</si>
  <si>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</si>
  <si>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</si>
  <si>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</si>
  <si>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</si>
  <si>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</si>
  <si>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</si>
  <si>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</si>
  <si>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</si>
  <si>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</si>
  <si>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</si>
  <si>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</si>
  <si>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</si>
  <si>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</si>
  <si>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</si>
  <si>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</si>
  <si>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</si>
  <si>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</si>
  <si>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</si>
  <si>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</si>
  <si>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</si>
  <si>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</si>
  <si>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</si>
  <si>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</si>
  <si>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</si>
  <si>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</si>
  <si>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</si>
  <si>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</si>
  <si>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</si>
  <si>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</si>
  <si>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</si>
  <si>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</si>
  <si>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</si>
  <si>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</si>
  <si>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</si>
  <si>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</si>
  <si>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</si>
  <si>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</si>
  <si>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</si>
  <si>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</si>
  <si>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</si>
  <si>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</si>
  <si>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</si>
  <si>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</si>
  <si>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</si>
  <si>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</si>
  <si>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</si>
  <si>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</si>
  <si>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</si>
  <si>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</si>
  <si>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</si>
  <si>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</si>
  <si>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</si>
  <si>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</si>
  <si>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</si>
  <si>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</si>
  <si>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</si>
  <si>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</si>
  <si>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</si>
  <si>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</si>
  <si>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</si>
  <si>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</si>
  <si>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</si>
  <si>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</si>
  <si>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</si>
  <si>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</si>
  <si>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</si>
  <si>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</si>
  <si>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</si>
  <si>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</si>
  <si>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</si>
  <si>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</si>
  <si>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</si>
  <si>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</si>
  <si>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</si>
  <si>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</si>
  <si>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</si>
  <si>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</si>
  <si>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</si>
  <si>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</si>
  <si>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</si>
  <si>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</si>
  <si>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</si>
  <si>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</si>
  <si>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</si>
  <si>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</si>
  <si>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</si>
  <si>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</si>
  <si>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</si>
  <si>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</si>
  <si>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</si>
  <si>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</si>
  <si>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</si>
  <si>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</si>
  <si>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</si>
  <si>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</si>
  <si>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</si>
  <si>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</si>
  <si>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</si>
  <si>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</si>
  <si>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</si>
  <si>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</si>
  <si>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</si>
  <si>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</si>
  <si>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</si>
  <si>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</si>
  <si>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</si>
  <si>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</si>
  <si>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</si>
  <si>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</si>
  <si>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</si>
  <si>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</si>
  <si>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</si>
  <si>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</si>
  <si>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</si>
  <si>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</si>
  <si>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</si>
  <si>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</si>
  <si>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</si>
  <si>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</si>
  <si>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</si>
  <si>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</si>
  <si>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</si>
  <si>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</si>
  <si>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</si>
  <si>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</si>
  <si>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</si>
  <si>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</si>
  <si>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</si>
  <si>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</si>
  <si>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</si>
  <si>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</si>
  <si>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</si>
  <si>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</si>
  <si>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</si>
  <si>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</si>
  <si>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</si>
  <si>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</si>
  <si>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</si>
  <si>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</si>
  <si>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</si>
  <si>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</si>
  <si>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</si>
  <si>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</si>
  <si>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</si>
  <si>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</si>
  <si>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</si>
  <si>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</si>
  <si>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</si>
  <si>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</si>
  <si>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</si>
  <si>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</si>
  <si>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</si>
  <si>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</si>
  <si>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</si>
  <si>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</si>
  <si>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</si>
  <si>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</si>
  <si>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</si>
  <si>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</si>
  <si>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</si>
  <si>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</si>
  <si>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</si>
  <si>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</si>
  <si>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</si>
  <si>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</si>
  <si>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</si>
  <si>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</si>
  <si>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</si>
  <si>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</si>
  <si>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</si>
  <si>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</si>
  <si>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</si>
  <si>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</si>
  <si>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</si>
  <si>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</si>
  <si>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</si>
  <si>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</si>
  <si>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</si>
  <si>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</si>
  <si>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</si>
  <si>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</si>
  <si>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</si>
  <si>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</si>
  <si>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</si>
  <si>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</si>
  <si>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</si>
  <si>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</si>
  <si>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</si>
  <si>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</si>
  <si>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</si>
  <si>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</si>
  <si>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</si>
  <si>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</si>
  <si>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</si>
  <si>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</si>
  <si>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</si>
  <si>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</si>
  <si>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</si>
  <si>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</si>
  <si>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</si>
  <si>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</si>
  <si>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</si>
  <si>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</si>
  <si>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</si>
  <si>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</si>
  <si>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</si>
  <si>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</si>
  <si>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</si>
  <si>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</si>
  <si>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</si>
  <si>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</si>
  <si>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</si>
  <si>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</si>
  <si>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</si>
  <si>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</si>
  <si>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</si>
  <si>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</si>
  <si>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</si>
  <si>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</si>
  <si>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</si>
  <si>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</si>
  <si>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</si>
  <si>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</si>
  <si>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</si>
  <si>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</si>
  <si>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</si>
  <si>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</si>
  <si>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</si>
  <si>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</si>
  <si>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</si>
  <si>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</si>
  <si>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</si>
  <si>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</si>
  <si>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</si>
  <si>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</si>
  <si>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</si>
  <si>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</si>
  <si>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</si>
  <si>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</si>
  <si>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</si>
  <si>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</si>
  <si>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</si>
  <si>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</si>
  <si>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</si>
  <si>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</si>
  <si>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</si>
  <si>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</si>
  <si>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</si>
  <si>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</si>
  <si>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</si>
  <si>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</si>
  <si>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</si>
  <si>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</si>
  <si>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</si>
  <si>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Monthnum</t>
  </si>
  <si>
    <t>Count of TX ID</t>
  </si>
  <si>
    <t>Sum of Quantity</t>
  </si>
  <si>
    <t>Sum of Amount</t>
  </si>
  <si>
    <t>Average of Rating C</t>
  </si>
  <si>
    <t>Average of Days to Deliver</t>
  </si>
  <si>
    <t>Order</t>
  </si>
  <si>
    <t xml:space="preserve">Quantity </t>
  </si>
  <si>
    <t xml:space="preserve">Amount  </t>
  </si>
  <si>
    <t>Avg Rating</t>
  </si>
  <si>
    <t>Avg Delivery Days</t>
  </si>
  <si>
    <t>Row Labels</t>
  </si>
  <si>
    <t>Grand Total</t>
  </si>
  <si>
    <t>Unknown</t>
  </si>
  <si>
    <t>Male</t>
  </si>
  <si>
    <t>Female</t>
  </si>
  <si>
    <t>Other</t>
  </si>
  <si>
    <t>Column Labels</t>
  </si>
  <si>
    <t>6 to 10</t>
  </si>
  <si>
    <t>More than 10</t>
  </si>
  <si>
    <t>Jan</t>
  </si>
  <si>
    <t>Feb</t>
  </si>
  <si>
    <t>Mar</t>
  </si>
  <si>
    <t>How Customers Buy?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</si>
</sst>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m;@"/>
    <numFmt numFmtId="165" formatCode="&quot;$&quot;#,##0.00;[Red]&quot;$&quot;#,##0.00"/>
    <numFmt numFmtId="166" formatCode="0.0%"/>
  </numFmts>
  <fonts count="5"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b/>
      <sz val="12"/>
      <color theme="1"/>
      <name val="Aptos Narrow"/>
      <scheme val="minor"/>
    </font>
  </fonts>
  <fills count="10">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0"/>
        <bgColor indexed="64"/>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0" fontId="0" fillId="8" borderId="0" xfId="0" applyFill="1"/>
    <xf numFmtId="166" fontId="0" fillId="8" borderId="0" xfId="0" applyNumberFormat="1" applyFill="1"/>
    <xf numFmtId="0" fontId="1" fillId="9" borderId="1" xfId="0" applyFont="1" applyFill="1" applyBorder="1"/>
    <xf numFmtId="0" fontId="1" fillId="9" borderId="2" xfId="0" applyFont="1" applyFill="1" applyBorder="1" applyAlignment="1">
      <alignment horizontal="left"/>
    </xf>
    <xf numFmtId="0" fontId="1" fillId="9" borderId="2" xfId="0" applyFont="1" applyFill="1" applyBorder="1"/>
    <xf numFmtId="0" fontId="4" fillId="0" borderId="0" xfId="0" applyFont="1"/>
    <xf numFmtId="0" fontId="0" fillId="0" borderId="0" xfId="0" applyNumberFormat="1"/>
  </cellXfs>
  <cellStyles count="2">
    <cellStyle name="Hyperlink" xfId="1" builtinId="8"/>
    <cellStyle name="Normal" xfId="0" builtinId="0"/>
  </cellStyles>
  <dxfs count="7">
    <dxf>
      <numFmt numFmtId="0" formatCode="General"/>
    </dxf>
    <dxf>
      <numFmt numFmtId="164" formatCode="[$-409]mmmmm;@"/>
    </dxf>
    <dxf>
      <numFmt numFmtId="0" formatCode="General"/>
    </dxf>
    <dxf>
      <numFmt numFmtId="0" formatCode="General"/>
    </dxf>
    <dxf>
      <numFmt numFmtId="20" formatCode="d\-mmm\-yy"/>
    </dxf>
    <dxf>
      <numFmt numFmtId="20" formatCode="d\-mmm\-yy"/>
    </dxf>
    <dxf>
      <numFmt numFmtId="165" formatCode="&quot;$&quot;#,##0.00;[Red]&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[My current Excel dashboard.xlsx]Sheet6!PivotTable5</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200" b="1">
                <a:solidFill>
                  <a:sysClr val="windowText" lastClr="000000"/>
                </a:solidFill>
              </a:rPr>
              <a:t>How many they buy?</a:t>
            </a:r>
          </a:p>
        </c:rich>
      </c:tx>
      <c:layout>
        <c:manualLayout>
          <c:xMode val="edge"/>
          <c:yMode val="edge"/>
          <c:x val="0.34069437153689131"/>
          <c:y val="3.6860082127358841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11492226022273"/>
          <c:y val="6.7528502373630159E-2"/>
          <c:w val="0.88528237095363083"/>
          <c:h val="0.80140347039953341"/>
        </c:manualLayout>
      </c:layout>
      <c:barChart>
        <c:barDir val="col"/>
        <c:grouping val="clustered"/>
        <c:varyColors val="0"/>
        <c:ser>
          <c:idx val="0"/>
          <c:order val="0"/>
          <c:tx>
            <c:strRef>
              <c:f>Sheet6!$B$3</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Sheet6!$A$4:$A$11</c:f>
              <c:strCache>
                <c:ptCount val="7"/>
                <c:pt idx="0">
                  <c:v>1</c:v>
                </c:pt>
                <c:pt idx="1">
                  <c:v>2</c:v>
                </c:pt>
                <c:pt idx="2">
                  <c:v>3</c:v>
                </c:pt>
                <c:pt idx="3">
                  <c:v>4</c:v>
                </c:pt>
                <c:pt idx="4">
                  <c:v>5</c:v>
                </c:pt>
                <c:pt idx="5">
                  <c:v>6 to 10</c:v>
                </c:pt>
                <c:pt idx="6">
                  <c:v>More than 10</c:v>
                </c:pt>
              </c:strCache>
            </c:strRef>
          </c:cat>
          <c:val>
            <c:numRef>
              <c:f>Sheet6!$B$4:$B$11</c:f>
              <c:numCache>
                <c:formatCode>General</c:formatCode>
                <c:ptCount val="7"/>
                <c:pt idx="0">
                  <c:v>19</c:v>
                </c:pt>
                <c:pt idx="1">
                  <c:v>25</c:v>
                </c:pt>
                <c:pt idx="2">
                  <c:v>21</c:v>
                </c:pt>
                <c:pt idx="3">
                  <c:v>11</c:v>
                </c:pt>
                <c:pt idx="4">
                  <c:v>8</c:v>
                </c:pt>
                <c:pt idx="5">
                  <c:v>18</c:v>
                </c:pt>
                <c:pt idx="6">
                  <c:v>7</c:v>
                </c:pt>
              </c:numCache>
            </c:numRef>
          </c:val>
          <c:extLst>
            <c:ext xmlns:c16="http://schemas.microsoft.com/office/drawing/2014/chart" uri="{C3380CC4-5D6E-409C-BE32-E72D297353CC}">
              <c16:uniqueId val="{00000000-21E9-4957-9680-2B2A3C1EE1E2}"/>
            </c:ext>
          </c:extLst>
        </c:ser>
        <c:dLbls>
          <c:dLblPos val="outEnd"/>
          <c:showLegendKey val="0"/>
          <c:showVal val="1"/>
          <c:showCatName val="0"/>
          <c:showSerName val="0"/>
          <c:showPercent val="0"/>
          <c:showBubbleSize val="0"/>
        </c:dLbls>
        <c:gapWidth val="41"/>
        <c:axId val="613639120"/>
        <c:axId val="613646192"/>
      </c:barChart>
      <c:catAx>
        <c:axId val="613639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613646192"/>
        <c:crosses val="autoZero"/>
        <c:auto val="1"/>
        <c:lblAlgn val="ctr"/>
        <c:lblOffset val="100"/>
        <c:noMultiLvlLbl val="0"/>
      </c:catAx>
      <c:valAx>
        <c:axId val="613646192"/>
        <c:scaling>
          <c:orientation val="minMax"/>
        </c:scaling>
        <c:delete val="1"/>
        <c:axPos val="l"/>
        <c:numFmt formatCode="General" sourceLinked="1"/>
        <c:majorTickMark val="none"/>
        <c:minorTickMark val="none"/>
        <c:tickLblPos val="nextTo"/>
        <c:crossAx val="613639120"/>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current Excel dashboard.xlsx]Sheet1!Popular sales </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solidFill>
                  <a:sysClr val="windowText" lastClr="000000"/>
                </a:solidFill>
              </a:rPr>
              <a:t>Popular Products</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Sheet1!$B$3:$B$4</c:f>
              <c:strCache>
                <c:ptCount val="1"/>
              </c:strCache>
            </c:strRef>
          </c:tx>
          <c:spPr>
            <a:solidFill>
              <a:schemeClr val="accent2"/>
            </a:solidFill>
            <a:ln>
              <a:noFill/>
            </a:ln>
            <a:effectLst/>
          </c:spPr>
          <c:invertIfNegative val="0"/>
          <c:cat>
            <c:strRef>
              <c:f>Sheet1!$A$5:$A$24</c:f>
              <c:strCache>
                <c:ptCount val="20"/>
                <c:pt idx="0">
                  <c:v>Tote Bags</c:v>
                </c:pt>
                <c:pt idx="1">
                  <c:v>Jewelry</c:v>
                </c:pt>
                <c:pt idx="2">
                  <c:v>Pajama Sets</c:v>
                </c:pt>
                <c:pt idx="3">
                  <c:v>Workout Tops</c:v>
                </c:pt>
                <c:pt idx="4">
                  <c:v>Sunglasses</c:v>
                </c:pt>
                <c:pt idx="5">
                  <c:v>Baseball Caps</c:v>
                </c:pt>
                <c:pt idx="6">
                  <c:v>Casual Dresses</c:v>
                </c:pt>
                <c:pt idx="7">
                  <c:v>Hoodies &amp; Sweatshirts</c:v>
                </c:pt>
                <c:pt idx="8">
                  <c:v>Crop Tops</c:v>
                </c:pt>
                <c:pt idx="9">
                  <c:v>Maxi Dresses</c:v>
                </c:pt>
                <c:pt idx="10">
                  <c:v>Leggings</c:v>
                </c:pt>
                <c:pt idx="11">
                  <c:v>Sandals</c:v>
                </c:pt>
                <c:pt idx="12">
                  <c:v>Sneakers</c:v>
                </c:pt>
                <c:pt idx="13">
                  <c:v>Graphic Tees</c:v>
                </c:pt>
                <c:pt idx="14">
                  <c:v>Tank Tops</c:v>
                </c:pt>
                <c:pt idx="15">
                  <c:v>Shorts</c:v>
                </c:pt>
                <c:pt idx="16">
                  <c:v>Sundresses</c:v>
                </c:pt>
                <c:pt idx="17">
                  <c:v>Bikinis</c:v>
                </c:pt>
                <c:pt idx="18">
                  <c:v>Jeans</c:v>
                </c:pt>
                <c:pt idx="19">
                  <c:v>T-Shirts</c:v>
                </c:pt>
              </c:strCache>
            </c:strRef>
          </c:cat>
          <c:val>
            <c:numRef>
              <c:f>Sheet1!$B$5:$B$24</c:f>
              <c:numCache>
                <c:formatCode>General</c:formatCode>
                <c:ptCount val="20"/>
                <c:pt idx="4">
                  <c:v>9</c:v>
                </c:pt>
                <c:pt idx="8">
                  <c:v>4</c:v>
                </c:pt>
                <c:pt idx="10">
                  <c:v>3</c:v>
                </c:pt>
                <c:pt idx="11">
                  <c:v>10</c:v>
                </c:pt>
                <c:pt idx="12">
                  <c:v>2</c:v>
                </c:pt>
                <c:pt idx="13">
                  <c:v>6</c:v>
                </c:pt>
                <c:pt idx="15">
                  <c:v>2</c:v>
                </c:pt>
                <c:pt idx="16">
                  <c:v>10</c:v>
                </c:pt>
                <c:pt idx="18">
                  <c:v>105</c:v>
                </c:pt>
                <c:pt idx="19">
                  <c:v>35</c:v>
                </c:pt>
              </c:numCache>
            </c:numRef>
          </c:val>
          <c:extLst>
            <c:ext xmlns:c16="http://schemas.microsoft.com/office/drawing/2014/chart" uri="{C3380CC4-5D6E-409C-BE32-E72D297353CC}">
              <c16:uniqueId val="{00000000-F892-480D-9BB6-FC3C27626D5A}"/>
            </c:ext>
          </c:extLst>
        </c:ser>
        <c:ser>
          <c:idx val="1"/>
          <c:order val="1"/>
          <c:tx>
            <c:strRef>
              <c:f>Sheet1!$C$3:$C$4</c:f>
              <c:strCache>
                <c:ptCount val="1"/>
                <c:pt idx="0">
                  <c:v>F</c:v>
                </c:pt>
              </c:strCache>
            </c:strRef>
          </c:tx>
          <c:spPr>
            <a:solidFill>
              <a:schemeClr val="accent4"/>
            </a:solidFill>
            <a:ln>
              <a:noFill/>
            </a:ln>
            <a:effectLst/>
          </c:spPr>
          <c:invertIfNegative val="0"/>
          <c:cat>
            <c:strRef>
              <c:f>Sheet1!$A$5:$A$24</c:f>
              <c:strCache>
                <c:ptCount val="20"/>
                <c:pt idx="0">
                  <c:v>Tote Bags</c:v>
                </c:pt>
                <c:pt idx="1">
                  <c:v>Jewelry</c:v>
                </c:pt>
                <c:pt idx="2">
                  <c:v>Pajama Sets</c:v>
                </c:pt>
                <c:pt idx="3">
                  <c:v>Workout Tops</c:v>
                </c:pt>
                <c:pt idx="4">
                  <c:v>Sunglasses</c:v>
                </c:pt>
                <c:pt idx="5">
                  <c:v>Baseball Caps</c:v>
                </c:pt>
                <c:pt idx="6">
                  <c:v>Casual Dresses</c:v>
                </c:pt>
                <c:pt idx="7">
                  <c:v>Hoodies &amp; Sweatshirts</c:v>
                </c:pt>
                <c:pt idx="8">
                  <c:v>Crop Tops</c:v>
                </c:pt>
                <c:pt idx="9">
                  <c:v>Maxi Dresses</c:v>
                </c:pt>
                <c:pt idx="10">
                  <c:v>Leggings</c:v>
                </c:pt>
                <c:pt idx="11">
                  <c:v>Sandals</c:v>
                </c:pt>
                <c:pt idx="12">
                  <c:v>Sneakers</c:v>
                </c:pt>
                <c:pt idx="13">
                  <c:v>Graphic Tees</c:v>
                </c:pt>
                <c:pt idx="14">
                  <c:v>Tank Tops</c:v>
                </c:pt>
                <c:pt idx="15">
                  <c:v>Shorts</c:v>
                </c:pt>
                <c:pt idx="16">
                  <c:v>Sundresses</c:v>
                </c:pt>
                <c:pt idx="17">
                  <c:v>Bikinis</c:v>
                </c:pt>
                <c:pt idx="18">
                  <c:v>Jeans</c:v>
                </c:pt>
                <c:pt idx="19">
                  <c:v>T-Shirts</c:v>
                </c:pt>
              </c:strCache>
            </c:strRef>
          </c:cat>
          <c:val>
            <c:numRef>
              <c:f>Sheet1!$C$5:$C$24</c:f>
              <c:numCache>
                <c:formatCode>General</c:formatCode>
                <c:ptCount val="20"/>
                <c:pt idx="2">
                  <c:v>7</c:v>
                </c:pt>
                <c:pt idx="3">
                  <c:v>11</c:v>
                </c:pt>
                <c:pt idx="4">
                  <c:v>9</c:v>
                </c:pt>
                <c:pt idx="5">
                  <c:v>5</c:v>
                </c:pt>
                <c:pt idx="6">
                  <c:v>22</c:v>
                </c:pt>
                <c:pt idx="7">
                  <c:v>12</c:v>
                </c:pt>
                <c:pt idx="8">
                  <c:v>24</c:v>
                </c:pt>
                <c:pt idx="9">
                  <c:v>32</c:v>
                </c:pt>
                <c:pt idx="10">
                  <c:v>9</c:v>
                </c:pt>
                <c:pt idx="11">
                  <c:v>38</c:v>
                </c:pt>
                <c:pt idx="12">
                  <c:v>28</c:v>
                </c:pt>
                <c:pt idx="13">
                  <c:v>65</c:v>
                </c:pt>
                <c:pt idx="14">
                  <c:v>53</c:v>
                </c:pt>
                <c:pt idx="15">
                  <c:v>73</c:v>
                </c:pt>
                <c:pt idx="16">
                  <c:v>82</c:v>
                </c:pt>
                <c:pt idx="17">
                  <c:v>92</c:v>
                </c:pt>
                <c:pt idx="18">
                  <c:v>49</c:v>
                </c:pt>
                <c:pt idx="19">
                  <c:v>122</c:v>
                </c:pt>
              </c:numCache>
            </c:numRef>
          </c:val>
          <c:extLst>
            <c:ext xmlns:c16="http://schemas.microsoft.com/office/drawing/2014/chart" uri="{C3380CC4-5D6E-409C-BE32-E72D297353CC}">
              <c16:uniqueId val="{00000001-F892-480D-9BB6-FC3C27626D5A}"/>
            </c:ext>
          </c:extLst>
        </c:ser>
        <c:ser>
          <c:idx val="2"/>
          <c:order val="2"/>
          <c:tx>
            <c:strRef>
              <c:f>Sheet1!$D$3:$D$4</c:f>
              <c:strCache>
                <c:ptCount val="1"/>
                <c:pt idx="0">
                  <c:v>M</c:v>
                </c:pt>
              </c:strCache>
            </c:strRef>
          </c:tx>
          <c:spPr>
            <a:solidFill>
              <a:schemeClr val="accent6"/>
            </a:solidFill>
            <a:ln>
              <a:noFill/>
            </a:ln>
            <a:effectLst/>
          </c:spPr>
          <c:invertIfNegative val="0"/>
          <c:cat>
            <c:strRef>
              <c:f>Sheet1!$A$5:$A$24</c:f>
              <c:strCache>
                <c:ptCount val="20"/>
                <c:pt idx="0">
                  <c:v>Tote Bags</c:v>
                </c:pt>
                <c:pt idx="1">
                  <c:v>Jewelry</c:v>
                </c:pt>
                <c:pt idx="2">
                  <c:v>Pajama Sets</c:v>
                </c:pt>
                <c:pt idx="3">
                  <c:v>Workout Tops</c:v>
                </c:pt>
                <c:pt idx="4">
                  <c:v>Sunglasses</c:v>
                </c:pt>
                <c:pt idx="5">
                  <c:v>Baseball Caps</c:v>
                </c:pt>
                <c:pt idx="6">
                  <c:v>Casual Dresses</c:v>
                </c:pt>
                <c:pt idx="7">
                  <c:v>Hoodies &amp; Sweatshirts</c:v>
                </c:pt>
                <c:pt idx="8">
                  <c:v>Crop Tops</c:v>
                </c:pt>
                <c:pt idx="9">
                  <c:v>Maxi Dresses</c:v>
                </c:pt>
                <c:pt idx="10">
                  <c:v>Leggings</c:v>
                </c:pt>
                <c:pt idx="11">
                  <c:v>Sandals</c:v>
                </c:pt>
                <c:pt idx="12">
                  <c:v>Sneakers</c:v>
                </c:pt>
                <c:pt idx="13">
                  <c:v>Graphic Tees</c:v>
                </c:pt>
                <c:pt idx="14">
                  <c:v>Tank Tops</c:v>
                </c:pt>
                <c:pt idx="15">
                  <c:v>Shorts</c:v>
                </c:pt>
                <c:pt idx="16">
                  <c:v>Sundresses</c:v>
                </c:pt>
                <c:pt idx="17">
                  <c:v>Bikinis</c:v>
                </c:pt>
                <c:pt idx="18">
                  <c:v>Jeans</c:v>
                </c:pt>
                <c:pt idx="19">
                  <c:v>T-Shirts</c:v>
                </c:pt>
              </c:strCache>
            </c:strRef>
          </c:cat>
          <c:val>
            <c:numRef>
              <c:f>Sheet1!$D$5:$D$24</c:f>
              <c:numCache>
                <c:formatCode>General</c:formatCode>
                <c:ptCount val="20"/>
                <c:pt idx="0">
                  <c:v>1</c:v>
                </c:pt>
                <c:pt idx="1">
                  <c:v>2</c:v>
                </c:pt>
                <c:pt idx="2">
                  <c:v>3</c:v>
                </c:pt>
                <c:pt idx="3">
                  <c:v>10</c:v>
                </c:pt>
                <c:pt idx="5">
                  <c:v>20</c:v>
                </c:pt>
                <c:pt idx="6">
                  <c:v>7</c:v>
                </c:pt>
                <c:pt idx="7">
                  <c:v>19</c:v>
                </c:pt>
                <c:pt idx="8">
                  <c:v>9</c:v>
                </c:pt>
                <c:pt idx="9">
                  <c:v>10</c:v>
                </c:pt>
                <c:pt idx="10">
                  <c:v>33</c:v>
                </c:pt>
                <c:pt idx="11">
                  <c:v>33</c:v>
                </c:pt>
                <c:pt idx="12">
                  <c:v>55</c:v>
                </c:pt>
                <c:pt idx="13">
                  <c:v>17</c:v>
                </c:pt>
                <c:pt idx="14">
                  <c:v>32</c:v>
                </c:pt>
                <c:pt idx="15">
                  <c:v>22</c:v>
                </c:pt>
                <c:pt idx="16">
                  <c:v>7</c:v>
                </c:pt>
                <c:pt idx="17">
                  <c:v>38</c:v>
                </c:pt>
                <c:pt idx="18">
                  <c:v>79</c:v>
                </c:pt>
                <c:pt idx="19">
                  <c:v>82</c:v>
                </c:pt>
              </c:numCache>
            </c:numRef>
          </c:val>
          <c:extLst>
            <c:ext xmlns:c16="http://schemas.microsoft.com/office/drawing/2014/chart" uri="{C3380CC4-5D6E-409C-BE32-E72D297353CC}">
              <c16:uniqueId val="{00000002-F892-480D-9BB6-FC3C27626D5A}"/>
            </c:ext>
          </c:extLst>
        </c:ser>
        <c:ser>
          <c:idx val="3"/>
          <c:order val="3"/>
          <c:tx>
            <c:strRef>
              <c:f>Sheet1!$E$3:$E$4</c:f>
              <c:strCache>
                <c:ptCount val="1"/>
                <c:pt idx="0">
                  <c:v>O</c:v>
                </c:pt>
              </c:strCache>
            </c:strRef>
          </c:tx>
          <c:spPr>
            <a:solidFill>
              <a:schemeClr val="accent2">
                <a:lumMod val="60000"/>
              </a:schemeClr>
            </a:solidFill>
            <a:ln>
              <a:noFill/>
            </a:ln>
            <a:effectLst/>
          </c:spPr>
          <c:invertIfNegative val="0"/>
          <c:cat>
            <c:strRef>
              <c:f>Sheet1!$A$5:$A$24</c:f>
              <c:strCache>
                <c:ptCount val="20"/>
                <c:pt idx="0">
                  <c:v>Tote Bags</c:v>
                </c:pt>
                <c:pt idx="1">
                  <c:v>Jewelry</c:v>
                </c:pt>
                <c:pt idx="2">
                  <c:v>Pajama Sets</c:v>
                </c:pt>
                <c:pt idx="3">
                  <c:v>Workout Tops</c:v>
                </c:pt>
                <c:pt idx="4">
                  <c:v>Sunglasses</c:v>
                </c:pt>
                <c:pt idx="5">
                  <c:v>Baseball Caps</c:v>
                </c:pt>
                <c:pt idx="6">
                  <c:v>Casual Dresses</c:v>
                </c:pt>
                <c:pt idx="7">
                  <c:v>Hoodies &amp; Sweatshirts</c:v>
                </c:pt>
                <c:pt idx="8">
                  <c:v>Crop Tops</c:v>
                </c:pt>
                <c:pt idx="9">
                  <c:v>Maxi Dresses</c:v>
                </c:pt>
                <c:pt idx="10">
                  <c:v>Leggings</c:v>
                </c:pt>
                <c:pt idx="11">
                  <c:v>Sandals</c:v>
                </c:pt>
                <c:pt idx="12">
                  <c:v>Sneakers</c:v>
                </c:pt>
                <c:pt idx="13">
                  <c:v>Graphic Tees</c:v>
                </c:pt>
                <c:pt idx="14">
                  <c:v>Tank Tops</c:v>
                </c:pt>
                <c:pt idx="15">
                  <c:v>Shorts</c:v>
                </c:pt>
                <c:pt idx="16">
                  <c:v>Sundresses</c:v>
                </c:pt>
                <c:pt idx="17">
                  <c:v>Bikinis</c:v>
                </c:pt>
                <c:pt idx="18">
                  <c:v>Jeans</c:v>
                </c:pt>
                <c:pt idx="19">
                  <c:v>T-Shirts</c:v>
                </c:pt>
              </c:strCache>
            </c:strRef>
          </c:cat>
          <c:val>
            <c:numRef>
              <c:f>Sheet1!$E$5:$E$24</c:f>
              <c:numCache>
                <c:formatCode>General</c:formatCode>
                <c:ptCount val="20"/>
                <c:pt idx="4">
                  <c:v>3</c:v>
                </c:pt>
                <c:pt idx="10">
                  <c:v>7</c:v>
                </c:pt>
                <c:pt idx="14">
                  <c:v>6</c:v>
                </c:pt>
                <c:pt idx="19">
                  <c:v>1</c:v>
                </c:pt>
              </c:numCache>
            </c:numRef>
          </c:val>
          <c:extLst>
            <c:ext xmlns:c16="http://schemas.microsoft.com/office/drawing/2014/chart" uri="{C3380CC4-5D6E-409C-BE32-E72D297353CC}">
              <c16:uniqueId val="{00000003-F892-480D-9BB6-FC3C27626D5A}"/>
            </c:ext>
          </c:extLst>
        </c:ser>
        <c:dLbls>
          <c:showLegendKey val="0"/>
          <c:showVal val="0"/>
          <c:showCatName val="0"/>
          <c:showSerName val="0"/>
          <c:showPercent val="0"/>
          <c:showBubbleSize val="0"/>
        </c:dLbls>
        <c:gapWidth val="46"/>
        <c:overlap val="100"/>
        <c:axId val="1590687103"/>
        <c:axId val="1590676703"/>
      </c:barChart>
      <c:catAx>
        <c:axId val="1590687103"/>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676703"/>
        <c:crosses val="autoZero"/>
        <c:auto val="1"/>
        <c:lblAlgn val="ctr"/>
        <c:lblOffset val="50"/>
        <c:tickLblSkip val="1"/>
        <c:noMultiLvlLbl val="0"/>
      </c:catAx>
      <c:valAx>
        <c:axId val="1590676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687103"/>
        <c:crossesAt val="1"/>
        <c:crossBetween val="between"/>
      </c:valAx>
      <c:spPr>
        <a:noFill/>
        <a:ln>
          <a:noFill/>
        </a:ln>
        <a:effectLst>
          <a:glow rad="25400">
            <a:schemeClr val="accent1">
              <a:alpha val="37000"/>
            </a:schemeClr>
          </a:glow>
          <a:outerShdw blurRad="50800" dist="38100" dir="8100000" algn="tr" rotWithShape="0">
            <a:prstClr val="black">
              <a:alpha val="40000"/>
            </a:prstClr>
          </a:outerShdw>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[My current Excel dashboard.xlsx]Sheet7!PivotTable13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solidFill>
                  <a:sysClr val="windowText" lastClr="000000"/>
                </a:solidFill>
              </a:rPr>
              <a:t>Shipping Time Overview</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w="66675">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Sheet7!$B$3</c:f>
              <c:strCache>
                <c:ptCount val="1"/>
                <c:pt idx="0">
                  <c:v>Total</c:v>
                </c:pt>
              </c:strCache>
            </c:strRef>
          </c:tx>
          <c:spPr>
            <a:solidFill>
              <a:schemeClr val="accent6"/>
            </a:solidFill>
            <a:ln w="66675">
              <a:solidFill>
                <a:schemeClr val="accent6"/>
              </a:solidFill>
            </a:ln>
            <a:effectLst/>
          </c:spPr>
          <c:invertIfNegative val="0"/>
          <c:cat>
            <c:strRef>
              <c:f>Sheet7!$A$4:$A$14</c:f>
              <c:strCache>
                <c:ptCount val="10"/>
                <c:pt idx="0">
                  <c:v>0</c:v>
                </c:pt>
                <c:pt idx="1">
                  <c:v>1</c:v>
                </c:pt>
                <c:pt idx="2">
                  <c:v>2</c:v>
                </c:pt>
                <c:pt idx="3">
                  <c:v>3</c:v>
                </c:pt>
                <c:pt idx="4">
                  <c:v>4</c:v>
                </c:pt>
                <c:pt idx="5">
                  <c:v>5</c:v>
                </c:pt>
                <c:pt idx="6">
                  <c:v>6</c:v>
                </c:pt>
                <c:pt idx="7">
                  <c:v>7</c:v>
                </c:pt>
                <c:pt idx="8">
                  <c:v>8</c:v>
                </c:pt>
                <c:pt idx="9">
                  <c:v>9</c:v>
                </c:pt>
              </c:strCache>
            </c:strRef>
          </c:cat>
          <c:val>
            <c:numRef>
              <c:f>Sheet7!$B$4:$B$14</c:f>
              <c:numCache>
                <c:formatCode>General</c:formatCode>
                <c:ptCount val="10"/>
                <c:pt idx="0">
                  <c:v>6</c:v>
                </c:pt>
                <c:pt idx="1">
                  <c:v>36</c:v>
                </c:pt>
                <c:pt idx="2">
                  <c:v>14</c:v>
                </c:pt>
                <c:pt idx="3">
                  <c:v>23</c:v>
                </c:pt>
                <c:pt idx="4">
                  <c:v>15</c:v>
                </c:pt>
                <c:pt idx="5">
                  <c:v>7</c:v>
                </c:pt>
                <c:pt idx="6">
                  <c:v>5</c:v>
                </c:pt>
                <c:pt idx="7">
                  <c:v>1</c:v>
                </c:pt>
                <c:pt idx="8">
                  <c:v>1</c:v>
                </c:pt>
                <c:pt idx="9">
                  <c:v>1</c:v>
                </c:pt>
              </c:numCache>
            </c:numRef>
          </c:val>
          <c:extLst>
            <c:ext xmlns:c16="http://schemas.microsoft.com/office/drawing/2014/chart" uri="{C3380CC4-5D6E-409C-BE32-E72D297353CC}">
              <c16:uniqueId val="{00000000-84BE-44D4-8E1D-02473C670A46}"/>
            </c:ext>
          </c:extLst>
        </c:ser>
        <c:dLbls>
          <c:showLegendKey val="0"/>
          <c:showVal val="0"/>
          <c:showCatName val="0"/>
          <c:showSerName val="0"/>
          <c:showPercent val="0"/>
          <c:showBubbleSize val="0"/>
        </c:dLbls>
        <c:gapWidth val="102"/>
        <c:overlap val="100"/>
        <c:axId val="1758895295"/>
        <c:axId val="1758904863"/>
      </c:barChart>
      <c:catAx>
        <c:axId val="1758895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904863"/>
        <c:crosses val="autoZero"/>
        <c:auto val="1"/>
        <c:lblAlgn val="ctr"/>
        <c:lblOffset val="100"/>
        <c:noMultiLvlLbl val="0"/>
      </c:catAx>
      <c:valAx>
        <c:axId val="17589048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895295"/>
        <c:crosses val="autoZero"/>
        <c:crossBetween val="between"/>
      </c:valAx>
      <c:spPr>
        <a:noFill/>
        <a:ln>
          <a:noFill/>
        </a:ln>
        <a:effectLst>
          <a:outerShdw blurRad="50800" dir="5400000" algn="ctr" rotWithShape="0">
            <a:srgbClr val="000000">
              <a:alpha val="43137"/>
            </a:srgbClr>
          </a:outerShdw>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current Excel dashboard.xlsx]Sheet2!Purchase by gender</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b="1" i="0" u="none" strike="noStrike" baseline="0">
                <a:solidFill>
                  <a:sysClr val="windowText" lastClr="000000"/>
                </a:solidFill>
              </a:rPr>
              <a:t>Customer Gender Split</a:t>
            </a:r>
            <a:endParaRPr lang="en-US" sz="1200" b="1">
              <a:solidFill>
                <a:sysClr val="windowText" lastClr="000000"/>
              </a:solidFill>
            </a:endParaRPr>
          </a:p>
        </c:rich>
      </c:tx>
      <c:layout>
        <c:manualLayout>
          <c:xMode val="edge"/>
          <c:yMode val="edge"/>
          <c:x val="0.25112300533115506"/>
          <c:y val="2.81249723179406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pivotFmt>
      <c:pivotFmt>
        <c:idx val="5"/>
        <c:spPr>
          <a:solidFill>
            <a:schemeClr val="accent6"/>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
        <c:idx val="7"/>
        <c:spPr>
          <a:solidFill>
            <a:schemeClr val="accent6"/>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5400000" spcFirstLastPara="1" vertOverflow="ellipsis"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solidFill>
          <a:ln>
            <a:noFill/>
          </a:ln>
          <a:effectLst>
            <a:outerShdw blurRad="254000" sx="102000" sy="102000" algn="ctr" rotWithShape="0">
              <a:prstClr val="black">
                <a:alpha val="20000"/>
              </a:prstClr>
            </a:outerShdw>
          </a:effectLst>
        </c:spPr>
      </c:pivotFmt>
      <c:pivotFmt>
        <c:idx val="9"/>
        <c:spPr>
          <a:solidFill>
            <a:schemeClr val="accent6"/>
          </a:solidFill>
          <a:ln>
            <a:noFill/>
          </a:ln>
          <a:effectLst>
            <a:outerShdw blurRad="254000" sx="102000" sy="102000" algn="ctr" rotWithShape="0">
              <a:prstClr val="black">
                <a:alpha val="20000"/>
              </a:prstClr>
            </a:outerShdw>
          </a:effectLst>
        </c:spPr>
      </c:pivotFmt>
      <c:pivotFmt>
        <c:idx val="10"/>
        <c:spPr>
          <a:solidFill>
            <a:schemeClr val="accent6"/>
          </a:solidFill>
          <a:ln>
            <a:noFill/>
          </a:ln>
          <a:effectLst>
            <a:outerShdw blurRad="254000" sx="102000" sy="102000" algn="ctr" rotWithShape="0">
              <a:prstClr val="black">
                <a:alpha val="20000"/>
              </a:prstClr>
            </a:outerShdw>
          </a:effectLst>
        </c:spPr>
      </c:pivotFmt>
      <c:pivotFmt>
        <c:idx val="11"/>
        <c:spPr>
          <a:solidFill>
            <a:schemeClr val="accent6"/>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890369824323622"/>
          <c:y val="0.17766954707721744"/>
          <c:w val="0.49683306654543485"/>
          <c:h val="0.7768837087758772"/>
        </c:manualLayout>
      </c:layout>
      <c:doughnutChart>
        <c:varyColors val="1"/>
        <c:ser>
          <c:idx val="0"/>
          <c:order val="0"/>
          <c:tx>
            <c:strRef>
              <c:f>Sheet2!$B$3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F08-41BB-9341-34668E29A43D}"/>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F08-41BB-9341-34668E29A43D}"/>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F08-41BB-9341-34668E29A43D}"/>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F08-41BB-9341-34668E29A43D}"/>
              </c:ext>
            </c:extLst>
          </c:dPt>
          <c:dLbls>
            <c:spPr>
              <a:noFill/>
              <a:ln>
                <a:noFill/>
              </a:ln>
              <a:effectLst>
                <a:outerShdw blurRad="50800" dist="38100" dir="2700000" algn="tl" rotWithShape="0">
                  <a:prstClr val="black">
                    <a:alpha val="40000"/>
                  </a:prstClr>
                </a:outerShdw>
              </a:effectLst>
            </c:spPr>
            <c:txPr>
              <a:bodyPr rot="5400000" spcFirstLastPara="1" vertOverflow="ellipsis"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Sheet2!$A$4:$A$8</c:f>
              <c:strCache>
                <c:ptCount val="4"/>
                <c:pt idx="0">
                  <c:v>Female</c:v>
                </c:pt>
                <c:pt idx="1">
                  <c:v>Male</c:v>
                </c:pt>
                <c:pt idx="2">
                  <c:v>Other</c:v>
                </c:pt>
                <c:pt idx="3">
                  <c:v>Unknown</c:v>
                </c:pt>
              </c:strCache>
            </c:strRef>
          </c:cat>
          <c:val>
            <c:numRef>
              <c:f>Sheet2!$B$4:$B$8</c:f>
              <c:numCache>
                <c:formatCode>General</c:formatCode>
                <c:ptCount val="4"/>
                <c:pt idx="0">
                  <c:v>32635.300000000014</c:v>
                </c:pt>
                <c:pt idx="1">
                  <c:v>27947.3</c:v>
                </c:pt>
                <c:pt idx="2">
                  <c:v>994.3</c:v>
                </c:pt>
                <c:pt idx="3">
                  <c:v>11549.3</c:v>
                </c:pt>
              </c:numCache>
            </c:numRef>
          </c:val>
          <c:extLst>
            <c:ext xmlns:c16="http://schemas.microsoft.com/office/drawing/2014/chart" uri="{C3380CC4-5D6E-409C-BE32-E72D297353CC}">
              <c16:uniqueId val="{00000008-1F08-41BB-9341-34668E29A43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[My current Excel dashboard.xlsx]Sheet8!PivotTable14</c:name>
    <c:fmtId val="5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solidFill>
                  <a:sysClr val="windowText" lastClr="000000"/>
                </a:solidFill>
              </a:rPr>
              <a:t>Customer Happiness Score</a:t>
            </a:r>
            <a:endParaRPr lang="en-US" sz="1200" b="1">
              <a:solidFill>
                <a:sysClr val="windowText" lastClr="000000"/>
              </a:solidFill>
            </a:endParaRPr>
          </a:p>
        </c:rich>
      </c:tx>
      <c:layout>
        <c:manualLayout>
          <c:xMode val="edge"/>
          <c:yMode val="edge"/>
          <c:x val="0.1365940432350269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pivotFmt>
      <c:pivotFmt>
        <c:idx val="1"/>
        <c:spPr>
          <a:solidFill>
            <a:schemeClr val="accent6"/>
          </a:solidFill>
          <a:ln>
            <a:noFill/>
          </a:ln>
          <a:effectLst/>
          <a:sp3d/>
        </c:spPr>
        <c:marker>
          <c:symbol val="none"/>
        </c:marker>
      </c:pivotFmt>
      <c:pivotFmt>
        <c:idx val="2"/>
        <c:spPr>
          <a:solidFill>
            <a:schemeClr val="accent6"/>
          </a:solidFill>
          <a:ln w="98425">
            <a:solidFill>
              <a:schemeClr val="accent6"/>
            </a:solidFill>
          </a:ln>
          <a:effectLst/>
          <a:sp3d contourW="98425">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Sheet8!$B$3</c:f>
              <c:strCache>
                <c:ptCount val="1"/>
                <c:pt idx="0">
                  <c:v>Total</c:v>
                </c:pt>
              </c:strCache>
            </c:strRef>
          </c:tx>
          <c:spPr>
            <a:solidFill>
              <a:schemeClr val="accent6"/>
            </a:solidFill>
            <a:ln w="98425">
              <a:solidFill>
                <a:schemeClr val="accent6"/>
              </a:solidFill>
            </a:ln>
            <a:effectLst/>
            <a:sp3d contourW="98425">
              <a:contourClr>
                <a:schemeClr val="accent6"/>
              </a:contourClr>
            </a:sp3d>
          </c:spPr>
          <c:invertIfNegative val="0"/>
          <c:cat>
            <c:strRef>
              <c:f>Sheet8!$A$4:$A$9</c:f>
              <c:strCache>
                <c:ptCount val="5"/>
                <c:pt idx="0">
                  <c:v>1</c:v>
                </c:pt>
                <c:pt idx="1">
                  <c:v>2</c:v>
                </c:pt>
                <c:pt idx="2">
                  <c:v>3</c:v>
                </c:pt>
                <c:pt idx="3">
                  <c:v>4</c:v>
                </c:pt>
                <c:pt idx="4">
                  <c:v>5</c:v>
                </c:pt>
              </c:strCache>
            </c:strRef>
          </c:cat>
          <c:val>
            <c:numRef>
              <c:f>Sheet8!$B$4:$B$9</c:f>
              <c:numCache>
                <c:formatCode>General</c:formatCode>
                <c:ptCount val="5"/>
                <c:pt idx="0">
                  <c:v>1</c:v>
                </c:pt>
                <c:pt idx="1">
                  <c:v>4</c:v>
                </c:pt>
                <c:pt idx="2">
                  <c:v>20</c:v>
                </c:pt>
                <c:pt idx="3">
                  <c:v>47</c:v>
                </c:pt>
                <c:pt idx="4">
                  <c:v>37</c:v>
                </c:pt>
              </c:numCache>
            </c:numRef>
          </c:val>
          <c:extLst>
            <c:ext xmlns:c16="http://schemas.microsoft.com/office/drawing/2014/chart" uri="{C3380CC4-5D6E-409C-BE32-E72D297353CC}">
              <c16:uniqueId val="{00000000-83E7-4795-B1A4-43535F8EC711}"/>
            </c:ext>
          </c:extLst>
        </c:ser>
        <c:dLbls>
          <c:showLegendKey val="0"/>
          <c:showVal val="0"/>
          <c:showCatName val="0"/>
          <c:showSerName val="0"/>
          <c:showPercent val="0"/>
          <c:showBubbleSize val="0"/>
        </c:dLbls>
        <c:gapWidth val="150"/>
        <c:shape val="box"/>
        <c:axId val="1533835439"/>
        <c:axId val="1533841679"/>
        <c:axId val="0"/>
      </c:bar3DChart>
      <c:catAx>
        <c:axId val="153383543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841679"/>
        <c:crosses val="autoZero"/>
        <c:auto val="1"/>
        <c:lblAlgn val="ctr"/>
        <c:lblOffset val="100"/>
        <c:noMultiLvlLbl val="0"/>
      </c:catAx>
      <c:valAx>
        <c:axId val="15338416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8354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current Excel dashboard.xlsx]Sheet9!PivotTable15</c:name>
    <c:fmtId val="7"/>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sz="1200" b="1" i="0" u="none" strike="noStrike" cap="none" baseline="0">
                <a:solidFill>
                  <a:sysClr val="windowText" lastClr="000000"/>
                </a:solidFill>
              </a:rPr>
              <a:t>Monthly Sales Share</a:t>
            </a:r>
            <a:endParaRPr lang="en-US" sz="1200" b="1" cap="none" baseline="0">
              <a:solidFill>
                <a:sysClr val="windowText" lastClr="000000"/>
              </a:solidFill>
            </a:endParaRPr>
          </a:p>
        </c:rich>
      </c:tx>
      <c:layout>
        <c:manualLayout>
          <c:xMode val="edge"/>
          <c:yMode val="edge"/>
          <c:x val="0.30186136284956866"/>
          <c:y val="4.1284352970165389E-2"/>
        </c:manualLayout>
      </c:layout>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marker>
          <c:spPr>
            <a:solidFill>
              <a:schemeClr val="accent6"/>
            </a:solidFill>
            <a:ln w="9525">
              <a:solidFill>
                <a:schemeClr val="lt1"/>
              </a:solidFill>
            </a:ln>
            <a:effectLst/>
          </c:spPr>
        </c:marker>
      </c:pivotFmt>
      <c:pivotFmt>
        <c:idx val="2"/>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marker>
          <c:symbol val="none"/>
        </c:marker>
        <c:dLbl>
          <c:idx val="0"/>
          <c:spPr>
            <a:solidFill>
              <a:sysClr val="window" lastClr="FFFFFF">
                <a:alpha val="90000"/>
              </a:sysClr>
            </a:solidFill>
            <a:ln w="12700" cap="flat" cmpd="sng" algn="ctr">
              <a:solidFill>
                <a:srgbClr val="4887E6"/>
              </a:solidFill>
              <a:round/>
            </a:ln>
            <a:effectLst>
              <a:outerShdw blurRad="50800" dist="38100" dir="2700000" algn="tl" rotWithShape="0">
                <a:srgbClr val="4887E6">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
      </c:pivotFmt>
      <c:pivotFmt>
        <c:idx val="3"/>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ysClr val="window" lastClr="FFFFFF">
                <a:alpha val="90000"/>
              </a:sysClr>
            </a:solidFill>
            <a:ln w="12700" cap="flat" cmpd="sng" algn="ctr">
              <a:solidFill>
                <a:srgbClr val="4887E6"/>
              </a:solidFill>
              <a:round/>
            </a:ln>
            <a:effectLst>
              <a:outerShdw blurRad="50800" dist="38100" dir="2700000" algn="tl" rotWithShape="0">
                <a:srgbClr val="4887E6">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15:xForSave val="1"/>
            </c:ext>
          </c:extLst>
        </c:dLbl>
      </c:pivotFmt>
      <c:pivotFmt>
        <c:idx val="4"/>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dLbl>
          <c:idx val="0"/>
          <c:spPr>
            <a:solidFill>
              <a:sysClr val="window" lastClr="FFFFFF">
                <a:alpha val="90000"/>
              </a:sysClr>
            </a:solidFill>
            <a:ln w="12700" cap="flat" cmpd="sng" algn="ctr">
              <a:solidFill>
                <a:srgbClr val="4887E6"/>
              </a:solidFill>
              <a:round/>
            </a:ln>
            <a:effectLst>
              <a:outerShdw blurRad="50800" dist="38100" dir="2700000" algn="tl" rotWithShape="0">
                <a:srgbClr val="4887E6">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15:xForSave val="1"/>
            </c:ext>
          </c:extLst>
        </c:dLbl>
      </c:pivotFmt>
      <c:pivotFmt>
        <c:idx val="5"/>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dLbl>
          <c:idx val="0"/>
          <c:spPr>
            <a:solidFill>
              <a:sysClr val="window" lastClr="FFFFFF">
                <a:alpha val="90000"/>
              </a:sysClr>
            </a:solidFill>
            <a:ln w="12700" cap="flat" cmpd="sng" algn="ctr">
              <a:solidFill>
                <a:srgbClr val="4887E6"/>
              </a:solidFill>
              <a:round/>
            </a:ln>
            <a:effectLst>
              <a:outerShdw blurRad="50800" dist="38100" dir="2700000" algn="tl" rotWithShape="0">
                <a:srgbClr val="4887E6">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15:xForSave val="1"/>
            </c:ext>
          </c:extLst>
        </c:dLbl>
      </c:pivotFmt>
      <c:pivotFmt>
        <c:idx val="6"/>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marker>
          <c:symbol val="none"/>
        </c:marker>
        <c:dLbl>
          <c:idx val="0"/>
          <c:spPr>
            <a:solidFill>
              <a:sysClr val="window" lastClr="FFFFFF">
                <a:alpha val="90000"/>
              </a:sysClr>
            </a:solidFill>
            <a:ln w="12700" cap="flat" cmpd="sng" algn="ctr">
              <a:solidFill>
                <a:srgbClr val="4887E6"/>
              </a:solidFill>
              <a:round/>
            </a:ln>
            <a:effectLst>
              <a:outerShdw blurRad="50800" dist="38100" dir="2700000" algn="tl" rotWithShape="0">
                <a:srgbClr val="4887E6">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
      </c:pivotFmt>
      <c:pivotFmt>
        <c:idx val="7"/>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ysClr val="window" lastClr="FFFFFF">
                <a:alpha val="90000"/>
              </a:sysClr>
            </a:solidFill>
            <a:ln w="12700" cap="flat" cmpd="sng" algn="ctr">
              <a:solidFill>
                <a:srgbClr val="4887E6"/>
              </a:solidFill>
              <a:round/>
            </a:ln>
            <a:effectLst>
              <a:outerShdw blurRad="50800" dist="38100" dir="2700000" algn="tl" rotWithShape="0">
                <a:srgbClr val="4887E6">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
      </c:pivotFmt>
      <c:pivotFmt>
        <c:idx val="8"/>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ysClr val="window" lastClr="FFFFFF">
                <a:alpha val="90000"/>
              </a:sysClr>
            </a:solidFill>
            <a:ln w="12700" cap="flat" cmpd="sng" algn="ctr">
              <a:solidFill>
                <a:srgbClr val="4887E6"/>
              </a:solidFill>
              <a:round/>
            </a:ln>
            <a:effectLst>
              <a:outerShdw blurRad="50800" dist="38100" dir="2700000" algn="tl" rotWithShape="0">
                <a:srgbClr val="4887E6">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
      </c:pivotFmt>
      <c:pivotFmt>
        <c:idx val="9"/>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ysClr val="window" lastClr="FFFFFF">
                <a:alpha val="90000"/>
              </a:sysClr>
            </a:solidFill>
            <a:ln w="12700" cap="flat" cmpd="sng" algn="ctr">
              <a:solidFill>
                <a:srgbClr val="4887E6"/>
              </a:solidFill>
              <a:round/>
            </a:ln>
            <a:effectLst>
              <a:outerShdw blurRad="50800" dist="38100" dir="2700000" algn="tl" rotWithShape="0">
                <a:srgbClr val="4887E6">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
      </c:pivotFmt>
      <c:pivotFmt>
        <c:idx val="1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marker>
          <c:symbol val="none"/>
        </c:marker>
        <c:dLbl>
          <c:idx val="0"/>
          <c:spPr>
            <a:solidFill>
              <a:sysClr val="window" lastClr="FFFFFF">
                <a:alpha val="90000"/>
              </a:sysClr>
            </a:solidFill>
            <a:ln w="12700" cap="flat" cmpd="sng" algn="ctr">
              <a:solidFill>
                <a:srgbClr val="4887E6"/>
              </a:solidFill>
              <a:round/>
            </a:ln>
            <a:effectLst>
              <a:outerShdw blurRad="50800" dist="38100" dir="2700000" algn="tl" rotWithShape="0">
                <a:srgbClr val="4887E6">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
      </c:pivotFmt>
      <c:pivotFmt>
        <c:idx val="11"/>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ysClr val="window" lastClr="FFFFFF">
                <a:alpha val="90000"/>
              </a:sysClr>
            </a:solidFill>
            <a:ln w="12700" cap="flat" cmpd="sng" algn="ctr">
              <a:solidFill>
                <a:srgbClr val="4887E6"/>
              </a:solidFill>
              <a:round/>
            </a:ln>
            <a:effectLst>
              <a:outerShdw blurRad="50800" dist="38100" dir="2700000" algn="tl" rotWithShape="0">
                <a:srgbClr val="4887E6">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
      </c:pivotFmt>
      <c:pivotFmt>
        <c:idx val="12"/>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ysClr val="window" lastClr="FFFFFF">
                <a:alpha val="90000"/>
              </a:sysClr>
            </a:solidFill>
            <a:ln w="12700" cap="flat" cmpd="sng" algn="ctr">
              <a:solidFill>
                <a:srgbClr val="4887E6"/>
              </a:solidFill>
              <a:round/>
            </a:ln>
            <a:effectLst>
              <a:outerShdw blurRad="50800" dist="38100" dir="2700000" algn="tl" rotWithShape="0">
                <a:srgbClr val="4887E6">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
      </c:pivotFmt>
      <c:pivotFmt>
        <c:idx val="13"/>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ysClr val="window" lastClr="FFFFFF">
                <a:alpha val="90000"/>
              </a:sysClr>
            </a:solidFill>
            <a:ln w="12700" cap="flat" cmpd="sng" algn="ctr">
              <a:solidFill>
                <a:srgbClr val="4887E6"/>
              </a:solidFill>
              <a:round/>
            </a:ln>
            <a:effectLst>
              <a:outerShdw blurRad="50800" dist="38100" dir="2700000" algn="tl" rotWithShape="0">
                <a:srgbClr val="4887E6">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
      </c:pivotFmt>
    </c:pivotFmts>
    <c:view3D>
      <c:rotX val="50"/>
      <c:rotY val="2"/>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4166860311634033E-2"/>
          <c:y val="0.29563757669299978"/>
          <c:w val="0.92371178673445031"/>
          <c:h val="0.63830745855473559"/>
        </c:manualLayout>
      </c:layout>
      <c:pie3DChart>
        <c:varyColors val="1"/>
        <c:ser>
          <c:idx val="0"/>
          <c:order val="0"/>
          <c:tx>
            <c:strRef>
              <c:f>Sheet9!$B$3</c:f>
              <c:strCache>
                <c:ptCount val="1"/>
                <c:pt idx="0">
                  <c:v>Total</c:v>
                </c:pt>
              </c:strCache>
            </c:strRef>
          </c:tx>
          <c:explosion val="20"/>
          <c:dPt>
            <c:idx val="0"/>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1-BF88-4C38-AD0A-2FE60B9AFD61}"/>
              </c:ext>
            </c:extLst>
          </c:dPt>
          <c:dPt>
            <c:idx val="1"/>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3-BF88-4C38-AD0A-2FE60B9AFD61}"/>
              </c:ext>
            </c:extLst>
          </c:dPt>
          <c:dPt>
            <c:idx val="2"/>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5-BF88-4C38-AD0A-2FE60B9AFD61}"/>
              </c:ext>
            </c:extLst>
          </c:dPt>
          <c:dLbls>
            <c:dLbl>
              <c:idx val="0"/>
              <c:spPr>
                <a:solidFill>
                  <a:sysClr val="window" lastClr="FFFFFF">
                    <a:alpha val="90000"/>
                  </a:sysClr>
                </a:solidFill>
                <a:ln w="12700" cap="flat" cmpd="sng" algn="ctr">
                  <a:solidFill>
                    <a:srgbClr val="4887E6"/>
                  </a:solidFill>
                  <a:round/>
                </a:ln>
                <a:effectLst>
                  <a:outerShdw blurRad="50800" dist="38100" dir="2700000" algn="tl" rotWithShape="0">
                    <a:srgbClr val="4887E6">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 xmlns:c16="http://schemas.microsoft.com/office/drawing/2014/chart" uri="{C3380CC4-5D6E-409C-BE32-E72D297353CC}">
                  <c16:uniqueId val="{00000001-BF88-4C38-AD0A-2FE60B9AFD61}"/>
                </c:ext>
              </c:extLst>
            </c:dLbl>
            <c:dLbl>
              <c:idx val="1"/>
              <c:spPr>
                <a:solidFill>
                  <a:sysClr val="window" lastClr="FFFFFF">
                    <a:alpha val="90000"/>
                  </a:sysClr>
                </a:solidFill>
                <a:ln w="12700" cap="flat" cmpd="sng" algn="ctr">
                  <a:solidFill>
                    <a:srgbClr val="4887E6"/>
                  </a:solidFill>
                  <a:round/>
                </a:ln>
                <a:effectLst>
                  <a:outerShdw blurRad="50800" dist="38100" dir="2700000" algn="tl" rotWithShape="0">
                    <a:srgbClr val="4887E6">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 xmlns:c16="http://schemas.microsoft.com/office/drawing/2014/chart" uri="{C3380CC4-5D6E-409C-BE32-E72D297353CC}">
                  <c16:uniqueId val="{00000003-BF88-4C38-AD0A-2FE60B9AFD61}"/>
                </c:ext>
              </c:extLst>
            </c:dLbl>
            <c:dLbl>
              <c:idx val="2"/>
              <c:spPr>
                <a:solidFill>
                  <a:sysClr val="window" lastClr="FFFFFF">
                    <a:alpha val="90000"/>
                  </a:sysClr>
                </a:solidFill>
                <a:ln w="12700" cap="flat" cmpd="sng" algn="ctr">
                  <a:solidFill>
                    <a:srgbClr val="4887E6"/>
                  </a:solidFill>
                  <a:round/>
                </a:ln>
                <a:effectLst>
                  <a:outerShdw blurRad="50800" dist="38100" dir="2700000" algn="tl" rotWithShape="0">
                    <a:srgbClr val="4887E6">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 xmlns:c16="http://schemas.microsoft.com/office/drawing/2014/chart" uri="{C3380CC4-5D6E-409C-BE32-E72D297353CC}">
                  <c16:uniqueId val="{00000005-BF88-4C38-AD0A-2FE60B9AFD61}"/>
                </c:ext>
              </c:extLst>
            </c:dLbl>
            <c:spPr>
              <a:solidFill>
                <a:sysClr val="window" lastClr="FFFFFF">
                  <a:alpha val="90000"/>
                </a:sysClr>
              </a:solidFill>
              <a:ln w="12700" cap="flat" cmpd="sng" algn="ctr">
                <a:solidFill>
                  <a:srgbClr val="4887E6"/>
                </a:solidFill>
                <a:round/>
              </a:ln>
              <a:effectLst>
                <a:outerShdw blurRad="50800" dist="38100" dir="2700000" algn="tl" rotWithShape="0">
                  <a:srgbClr val="4887E6">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s>
          <c:cat>
            <c:strRef>
              <c:f>Sheet9!$A$4:$A$6</c:f>
              <c:strCache>
                <c:ptCount val="3"/>
                <c:pt idx="0">
                  <c:v>Jan</c:v>
                </c:pt>
                <c:pt idx="1">
                  <c:v>Feb</c:v>
                </c:pt>
                <c:pt idx="2">
                  <c:v>Mar</c:v>
                </c:pt>
              </c:strCache>
            </c:strRef>
          </c:cat>
          <c:val>
            <c:numRef>
              <c:f>Sheet9!$B$4:$B$6</c:f>
              <c:numCache>
                <c:formatCode>General</c:formatCode>
                <c:ptCount val="3"/>
                <c:pt idx="0">
                  <c:v>10959.899999999998</c:v>
                </c:pt>
                <c:pt idx="1">
                  <c:v>6914.2999999999993</c:v>
                </c:pt>
                <c:pt idx="2">
                  <c:v>10073.100000000002</c:v>
                </c:pt>
              </c:numCache>
            </c:numRef>
          </c:val>
          <c:extLst>
            <c:ext xmlns:c16="http://schemas.microsoft.com/office/drawing/2014/chart" uri="{C3380CC4-5D6E-409C-BE32-E72D297353CC}">
              <c16:uniqueId val="{00000006-BF88-4C38-AD0A-2FE60B9AFD61}"/>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current Excel dashboard.xlsx]Sheet3!PivotTable3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solidFill>
                  <a:sysClr val="windowText" lastClr="000000"/>
                </a:solidFill>
              </a:rPr>
              <a:t>13-Week Trend- Qty &amp; Amount</a:t>
            </a:r>
            <a:endParaRPr lang="en-US" sz="1200" b="1">
              <a:solidFill>
                <a:sysClr val="windowText" lastClr="000000"/>
              </a:solidFill>
            </a:endParaRPr>
          </a:p>
        </c:rich>
      </c:tx>
      <c:layout>
        <c:manualLayout>
          <c:xMode val="edge"/>
          <c:yMode val="edge"/>
          <c:x val="0.10341684195585157"/>
          <c:y val="1.81208015386986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pivotFmt>
      <c:pivotFmt>
        <c:idx val="1"/>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pivotFmt>
      <c:pivotFmt>
        <c:idx val="2"/>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pivotFmt>
      <c:pivotFmt>
        <c:idx val="3"/>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4"/>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pivotFmt>
      <c:pivotFmt>
        <c:idx val="5"/>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6"/>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56105222414983E-2"/>
          <c:y val="0.13729812666107347"/>
          <c:w val="0.78667585301837273"/>
          <c:h val="0.75705417031204436"/>
        </c:manualLayout>
      </c:layout>
      <c:lineChart>
        <c:grouping val="standard"/>
        <c:varyColors val="0"/>
        <c:ser>
          <c:idx val="1"/>
          <c:order val="1"/>
          <c:tx>
            <c:strRef>
              <c:f>Sheet3!$C$3</c:f>
              <c:strCache>
                <c:ptCount val="1"/>
                <c:pt idx="0">
                  <c:v>Sum of Amount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Sheet3!$A$4:$A$17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Sheet3!$C$4:$C$17</c:f>
              <c:numCache>
                <c:formatCode>"$"#,##0.00;[Red]"$"#,##0.00</c:formatCode>
                <c:ptCount val="13"/>
                <c:pt idx="0">
                  <c:v>7137.5999999999995</c:v>
                </c:pt>
                <c:pt idx="1">
                  <c:v>563.40000000000009</c:v>
                </c:pt>
                <c:pt idx="2">
                  <c:v>979.19999999999982</c:v>
                </c:pt>
                <c:pt idx="3">
                  <c:v>1385.2</c:v>
                </c:pt>
                <c:pt idx="4">
                  <c:v>894.5</c:v>
                </c:pt>
                <c:pt idx="5">
                  <c:v>2224.7000000000003</c:v>
                </c:pt>
                <c:pt idx="6">
                  <c:v>1471.2000000000003</c:v>
                </c:pt>
                <c:pt idx="7">
                  <c:v>1754</c:v>
                </c:pt>
                <c:pt idx="8">
                  <c:v>1715.3999999999999</c:v>
                </c:pt>
                <c:pt idx="9">
                  <c:v>1307.5999999999999</c:v>
                </c:pt>
                <c:pt idx="10">
                  <c:v>3206.2999999999997</c:v>
                </c:pt>
                <c:pt idx="11">
                  <c:v>3210.3</c:v>
                </c:pt>
                <c:pt idx="12">
                  <c:v>2097.9</c:v>
                </c:pt>
              </c:numCache>
            </c:numRef>
          </c:val>
          <c:smooth val="0"/>
          <c:extLst>
            <c:ext xmlns:c16="http://schemas.microsoft.com/office/drawing/2014/chart" uri="{C3380CC4-5D6E-409C-BE32-E72D297353CC}">
              <c16:uniqueId val="{00000000-D052-4809-BD30-3DE5B75C03E8}"/>
            </c:ext>
          </c:extLst>
        </c:ser>
        <c:dLbls>
          <c:showLegendKey val="0"/>
          <c:showVal val="0"/>
          <c:showCatName val="0"/>
          <c:showSerName val="0"/>
          <c:showPercent val="0"/>
          <c:showBubbleSize val="0"/>
        </c:dLbls>
        <c:marker val="1"/>
        <c:smooth val="0"/>
        <c:axId val="531338736"/>
        <c:axId val="529781696"/>
      </c:lineChart>
      <c:lineChart>
        <c:grouping val="standard"/>
        <c:varyColors val="0"/>
        <c:ser>
          <c:idx val="0"/>
          <c:order val="0"/>
          <c:tx>
            <c:strRef>
              <c:f>Sheet3!$B$3</c:f>
              <c:strCache>
                <c:ptCount val="1"/>
                <c:pt idx="0">
                  <c:v>Sum of Quantity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Sheet3!$A$4:$A$17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Sheet3!$B$4:$B$17</c:f>
              <c:numCache>
                <c:formatCode>General</c:formatCode>
                <c:ptCount val="13"/>
                <c:pt idx="0">
                  <c:v>65</c:v>
                </c:pt>
                <c:pt idx="1">
                  <c:v>15</c:v>
                </c:pt>
                <c:pt idx="2">
                  <c:v>22</c:v>
                </c:pt>
                <c:pt idx="3">
                  <c:v>43</c:v>
                </c:pt>
                <c:pt idx="4">
                  <c:v>14</c:v>
                </c:pt>
                <c:pt idx="5">
                  <c:v>46</c:v>
                </c:pt>
                <c:pt idx="6">
                  <c:v>36</c:v>
                </c:pt>
                <c:pt idx="7">
                  <c:v>34</c:v>
                </c:pt>
                <c:pt idx="8">
                  <c:v>56</c:v>
                </c:pt>
                <c:pt idx="9">
                  <c:v>21</c:v>
                </c:pt>
                <c:pt idx="10">
                  <c:v>46</c:v>
                </c:pt>
                <c:pt idx="11">
                  <c:v>27</c:v>
                </c:pt>
                <c:pt idx="12">
                  <c:v>54</c:v>
                </c:pt>
              </c:numCache>
            </c:numRef>
          </c:val>
          <c:smooth val="0"/>
          <c:extLst>
            <c:ext xmlns:c16="http://schemas.microsoft.com/office/drawing/2014/chart" uri="{C3380CC4-5D6E-409C-BE32-E72D297353CC}">
              <c16:uniqueId val="{00000001-D052-4809-BD30-3DE5B75C03E8}"/>
            </c:ext>
          </c:extLst>
        </c:ser>
        <c:dLbls>
          <c:showLegendKey val="0"/>
          <c:showVal val="0"/>
          <c:showCatName val="0"/>
          <c:showSerName val="0"/>
          <c:showPercent val="0"/>
          <c:showBubbleSize val="0"/>
        </c:dLbls>
        <c:marker val="1"/>
        <c:smooth val="0"/>
        <c:axId val="529777536"/>
        <c:axId val="529790016"/>
      </c:lineChart>
      <c:catAx>
        <c:axId val="531338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81696"/>
        <c:crosses val="autoZero"/>
        <c:auto val="1"/>
        <c:lblAlgn val="ctr"/>
        <c:lblOffset val="100"/>
        <c:noMultiLvlLbl val="0"/>
      </c:catAx>
      <c:valAx>
        <c:axId val="529781696"/>
        <c:scaling>
          <c:orientation val="minMax"/>
        </c:scaling>
        <c:delete val="0"/>
        <c:axPos val="l"/>
        <c:numFmt formatCode="&quot;$&quot;#,##0.00;[Red]&quot;$&quot;#,##0.00" sourceLinked="1"/>
        <c:majorTickMark val="out"/>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338736"/>
        <c:crosses val="autoZero"/>
        <c:crossBetween val="between"/>
      </c:valAx>
      <c:valAx>
        <c:axId val="529790016"/>
        <c:scaling>
          <c:orientation val="minMax"/>
        </c:scaling>
        <c:delete val="0"/>
        <c:axPos val="r"/>
        <c:numFmt formatCode="General" sourceLinked="1"/>
        <c:majorTickMark val="out"/>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77536"/>
        <c:crosses val="max"/>
        <c:crossBetween val="between"/>
      </c:valAx>
      <c:catAx>
        <c:axId val="529777536"/>
        <c:scaling>
          <c:orientation val="minMax"/>
        </c:scaling>
        <c:delete val="1"/>
        <c:axPos val="t"/>
        <c:numFmt formatCode="General" sourceLinked="1"/>
        <c:majorTickMark val="out"/>
        <c:minorTickMark val="none"/>
        <c:tickLblPos val="nextTo"/>
        <c:crossAx val="529790016"/>
        <c:crosses val="max"/>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current Excel dashboard.xlsx]Sheet3!PivotTable3</c:name>
    <c:fmtId val="1"/>
  </c:pivotSource>
  <c:chart>
    <c:autoTitleDeleted val="0"/>
    <c:pivotFmts>
      <c:pivotFmt>
        <c:idx val="0"/>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pivotFmt>
      <c:pivotFmt>
        <c:idx val="1"/>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pivotFmt>
      <c:pivotFmt>
        <c:idx val="2"/>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27318460192476"/>
          <c:y val="6.4814814814814811E-2"/>
          <c:w val="0.78667585301837273"/>
          <c:h val="0.75705417031204436"/>
        </c:manualLayout>
      </c:layout>
      <c:lineChart>
        <c:grouping val="standard"/>
        <c:varyColors val="0"/>
        <c:ser>
          <c:idx val="1"/>
          <c:order val="1"/>
          <c:tx>
            <c:strRef>
              <c:f>Sheet3!$C$3</c:f>
              <c:strCache>
                <c:ptCount val="1"/>
                <c:pt idx="0">
                  <c:v>Sum of Amount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Sheet3!$A$4:$A$17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Sheet3!$C$4:$C$17</c:f>
              <c:numCache>
                <c:formatCode>"$"#,##0.00;[Red]"$"#,##0.00</c:formatCode>
                <c:ptCount val="13"/>
                <c:pt idx="0">
                  <c:v>7137.5999999999995</c:v>
                </c:pt>
                <c:pt idx="1">
                  <c:v>563.40000000000009</c:v>
                </c:pt>
                <c:pt idx="2">
                  <c:v>979.19999999999982</c:v>
                </c:pt>
                <c:pt idx="3">
                  <c:v>1385.2</c:v>
                </c:pt>
                <c:pt idx="4">
                  <c:v>894.5</c:v>
                </c:pt>
                <c:pt idx="5">
                  <c:v>2224.7000000000003</c:v>
                </c:pt>
                <c:pt idx="6">
                  <c:v>1471.2000000000003</c:v>
                </c:pt>
                <c:pt idx="7">
                  <c:v>1754</c:v>
                </c:pt>
                <c:pt idx="8">
                  <c:v>1715.3999999999999</c:v>
                </c:pt>
                <c:pt idx="9">
                  <c:v>1307.5999999999999</c:v>
                </c:pt>
                <c:pt idx="10">
                  <c:v>3206.2999999999997</c:v>
                </c:pt>
                <c:pt idx="11">
                  <c:v>3210.3</c:v>
                </c:pt>
                <c:pt idx="12">
                  <c:v>2097.9</c:v>
                </c:pt>
              </c:numCache>
            </c:numRef>
          </c:val>
          <c:smooth val="0"/>
          <c:extLst>
            <c:ext xmlns:c16="http://schemas.microsoft.com/office/drawing/2014/chart" uri="{C3380CC4-5D6E-409C-BE32-E72D297353CC}">
              <c16:uniqueId val="{00000001-AA3D-4B6F-89BD-3FF3195D132F}"/>
            </c:ext>
          </c:extLst>
        </c:ser>
        <c:dLbls>
          <c:showLegendKey val="0"/>
          <c:showVal val="0"/>
          <c:showCatName val="0"/>
          <c:showSerName val="0"/>
          <c:showPercent val="0"/>
          <c:showBubbleSize val="0"/>
        </c:dLbls>
        <c:marker val="1"/>
        <c:smooth val="0"/>
        <c:axId val="531338736"/>
        <c:axId val="529781696"/>
      </c:lineChart>
      <c:lineChart>
        <c:grouping val="standard"/>
        <c:varyColors val="0"/>
        <c:ser>
          <c:idx val="0"/>
          <c:order val="0"/>
          <c:tx>
            <c:strRef>
              <c:f>Sheet3!$B$3</c:f>
              <c:strCache>
                <c:ptCount val="1"/>
                <c:pt idx="0">
                  <c:v>Sum of Quantity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Sheet3!$A$4:$A$17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Sheet3!$B$4:$B$17</c:f>
              <c:numCache>
                <c:formatCode>General</c:formatCode>
                <c:ptCount val="13"/>
                <c:pt idx="0">
                  <c:v>65</c:v>
                </c:pt>
                <c:pt idx="1">
                  <c:v>15</c:v>
                </c:pt>
                <c:pt idx="2">
                  <c:v>22</c:v>
                </c:pt>
                <c:pt idx="3">
                  <c:v>43</c:v>
                </c:pt>
                <c:pt idx="4">
                  <c:v>14</c:v>
                </c:pt>
                <c:pt idx="5">
                  <c:v>46</c:v>
                </c:pt>
                <c:pt idx="6">
                  <c:v>36</c:v>
                </c:pt>
                <c:pt idx="7">
                  <c:v>34</c:v>
                </c:pt>
                <c:pt idx="8">
                  <c:v>56</c:v>
                </c:pt>
                <c:pt idx="9">
                  <c:v>21</c:v>
                </c:pt>
                <c:pt idx="10">
                  <c:v>46</c:v>
                </c:pt>
                <c:pt idx="11">
                  <c:v>27</c:v>
                </c:pt>
                <c:pt idx="12">
                  <c:v>54</c:v>
                </c:pt>
              </c:numCache>
            </c:numRef>
          </c:val>
          <c:smooth val="0"/>
          <c:extLst>
            <c:ext xmlns:c16="http://schemas.microsoft.com/office/drawing/2014/chart" uri="{C3380CC4-5D6E-409C-BE32-E72D297353CC}">
              <c16:uniqueId val="{00000000-AA3D-4B6F-89BD-3FF3195D132F}"/>
            </c:ext>
          </c:extLst>
        </c:ser>
        <c:dLbls>
          <c:showLegendKey val="0"/>
          <c:showVal val="0"/>
          <c:showCatName val="0"/>
          <c:showSerName val="0"/>
          <c:showPercent val="0"/>
          <c:showBubbleSize val="0"/>
        </c:dLbls>
        <c:marker val="1"/>
        <c:smooth val="0"/>
        <c:axId val="529777536"/>
        <c:axId val="529790016"/>
      </c:lineChart>
      <c:catAx>
        <c:axId val="531338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81696"/>
        <c:crosses val="autoZero"/>
        <c:auto val="1"/>
        <c:lblAlgn val="ctr"/>
        <c:lblOffset val="100"/>
        <c:noMultiLvlLbl val="0"/>
      </c:catAx>
      <c:valAx>
        <c:axId val="529781696"/>
        <c:scaling>
          <c:orientation val="minMax"/>
        </c:scaling>
        <c:delete val="0"/>
        <c:axPos val="l"/>
        <c:numFmt formatCode="&quot;$&quot;#,##0.00;[Red]&quot;$&quot;#,##0.00" sourceLinked="1"/>
        <c:majorTickMark val="out"/>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338736"/>
        <c:crosses val="autoZero"/>
        <c:crossBetween val="between"/>
      </c:valAx>
      <c:valAx>
        <c:axId val="529790016"/>
        <c:scaling>
          <c:orientation val="minMax"/>
        </c:scaling>
        <c:delete val="0"/>
        <c:axPos val="r"/>
        <c:numFmt formatCode="General" sourceLinked="1"/>
        <c:majorTickMark val="out"/>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77536"/>
        <c:crosses val="max"/>
        <c:crossBetween val="between"/>
      </c:valAx>
      <c:catAx>
        <c:axId val="529777536"/>
        <c:scaling>
          <c:orientation val="minMax"/>
        </c:scaling>
        <c:delete val="1"/>
        <c:axPos val="t"/>
        <c:numFmt formatCode="General" sourceLinked="1"/>
        <c:majorTickMark val="out"/>
        <c:minorTickMark val="none"/>
        <c:tickLblPos val="nextTo"/>
        <c:crossAx val="529790016"/>
        <c:crosses val="max"/>
        <c:auto val="1"/>
        <c:lblAlgn val="ctr"/>
        <c:lblOffset val="100"/>
        <c:noMultiLvlLbl val="0"/>
      </c:catAx>
      <c:spPr>
        <a:noFill/>
        <a:ln>
          <a:noFill/>
        </a:ln>
        <a:effectLst/>
      </c:spPr>
    </c:plotArea>
    <c:legend>
      <c:legendPos val="r"/>
      <c:layout>
        <c:manualLayout>
          <c:xMode val="edge"/>
          <c:yMode val="edge"/>
          <c:x val="0.40826312335958004"/>
          <c:y val="0.49488845144356958"/>
          <c:w val="0.26673687664041995"/>
          <c:h val="0.214947142023913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current Excel dashboard.xlsx]Sheet6!PivotTable5</c:name>
    <c:fmtId val="0"/>
  </c:pivotSource>
  <c:chart>
    <c:autoTitleDeleted val="1"/>
    <c:pivotFmts>
      <c:pivotFmt>
        <c:idx val="0"/>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Sheet6!$A$4:$A$11</c:f>
              <c:strCache>
                <c:ptCount val="7"/>
                <c:pt idx="0">
                  <c:v>1</c:v>
                </c:pt>
                <c:pt idx="1">
                  <c:v>2</c:v>
                </c:pt>
                <c:pt idx="2">
                  <c:v>3</c:v>
                </c:pt>
                <c:pt idx="3">
                  <c:v>4</c:v>
                </c:pt>
                <c:pt idx="4">
                  <c:v>5</c:v>
                </c:pt>
                <c:pt idx="5">
                  <c:v>6 to 10</c:v>
                </c:pt>
                <c:pt idx="6">
                  <c:v>More than 10</c:v>
                </c:pt>
              </c:strCache>
            </c:strRef>
          </c:cat>
          <c:val>
            <c:numRef>
              <c:f>Sheet6!$B$4:$B$11</c:f>
              <c:numCache>
                <c:formatCode>General</c:formatCode>
                <c:ptCount val="7"/>
                <c:pt idx="0">
                  <c:v>19</c:v>
                </c:pt>
                <c:pt idx="1">
                  <c:v>25</c:v>
                </c:pt>
                <c:pt idx="2">
                  <c:v>21</c:v>
                </c:pt>
                <c:pt idx="3">
                  <c:v>11</c:v>
                </c:pt>
                <c:pt idx="4">
                  <c:v>8</c:v>
                </c:pt>
                <c:pt idx="5">
                  <c:v>18</c:v>
                </c:pt>
                <c:pt idx="6">
                  <c:v>7</c:v>
                </c:pt>
              </c:numCache>
            </c:numRef>
          </c:val>
          <c:extLst>
            <c:ext xmlns:c16="http://schemas.microsoft.com/office/drawing/2014/chart" uri="{C3380CC4-5D6E-409C-BE32-E72D297353CC}">
              <c16:uniqueId val="{00000000-ECDF-42E5-88BF-1F421C12EA0B}"/>
            </c:ext>
          </c:extLst>
        </c:ser>
        <c:dLbls>
          <c:dLblPos val="outEnd"/>
          <c:showLegendKey val="0"/>
          <c:showVal val="1"/>
          <c:showCatName val="0"/>
          <c:showSerName val="0"/>
          <c:showPercent val="0"/>
          <c:showBubbleSize val="0"/>
        </c:dLbls>
        <c:gapWidth val="100"/>
        <c:overlap val="-24"/>
        <c:axId val="613639120"/>
        <c:axId val="613646192"/>
      </c:barChart>
      <c:catAx>
        <c:axId val="61363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13646192"/>
        <c:crosses val="autoZero"/>
        <c:auto val="1"/>
        <c:lblAlgn val="ctr"/>
        <c:lblOffset val="100"/>
        <c:noMultiLvlLbl val="0"/>
      </c:catAx>
      <c:valAx>
        <c:axId val="613646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13639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current Excel dashboard.xlsx]Sheet1!Popular sales </c:name>
    <c:fmtId val="1"/>
  </c:pivotSource>
  <c:chart>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spPr>
          <a:solidFill>
            <a:schemeClr val="accent2"/>
          </a:solidFill>
          <a:ln>
            <a:noFill/>
          </a:ln>
          <a:effectLst/>
        </c:spPr>
        <c:marker>
          <c:symbol val="none"/>
        </c:marker>
      </c:pivotFmt>
      <c:pivotFmt>
        <c:idx val="9"/>
        <c:spPr>
          <a:solidFill>
            <a:schemeClr val="accent2"/>
          </a:solidFill>
          <a:ln>
            <a:noFill/>
          </a:ln>
          <a:effectLst/>
        </c:spPr>
        <c:marker>
          <c:symbol val="none"/>
        </c:marker>
      </c:pivotFmt>
      <c:pivotFmt>
        <c:idx val="10"/>
        <c:spPr>
          <a:solidFill>
            <a:schemeClr val="accent2"/>
          </a:solidFill>
          <a:ln>
            <a:noFill/>
          </a:ln>
          <a:effectLst/>
        </c:spPr>
        <c:marker>
          <c:symbol val="none"/>
        </c:marker>
      </c:pivotFmt>
      <c:pivotFmt>
        <c:idx val="11"/>
        <c:spPr>
          <a:solidFill>
            <a:schemeClr val="accent2"/>
          </a:solidFill>
          <a:ln>
            <a:noFill/>
          </a:ln>
          <a:effectLst/>
        </c:spPr>
        <c:marker>
          <c:symbol val="none"/>
        </c:marker>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Sheet1!$B$3:$B$4</c:f>
              <c:strCache>
                <c:ptCount val="1"/>
              </c:strCache>
            </c:strRef>
          </c:tx>
          <c:spPr>
            <a:solidFill>
              <a:schemeClr val="accent2"/>
            </a:solidFill>
            <a:ln>
              <a:noFill/>
            </a:ln>
            <a:effectLst/>
          </c:spPr>
          <c:invertIfNegative val="0"/>
          <c:cat>
            <c:strRef>
              <c:f>Sheet1!$A$5:$A$24</c:f>
              <c:strCache>
                <c:ptCount val="20"/>
                <c:pt idx="0">
                  <c:v>Tote Bags</c:v>
                </c:pt>
                <c:pt idx="1">
                  <c:v>Jewelry</c:v>
                </c:pt>
                <c:pt idx="2">
                  <c:v>Pajama Sets</c:v>
                </c:pt>
                <c:pt idx="3">
                  <c:v>Workout Tops</c:v>
                </c:pt>
                <c:pt idx="4">
                  <c:v>Sunglasses</c:v>
                </c:pt>
                <c:pt idx="5">
                  <c:v>Baseball Caps</c:v>
                </c:pt>
                <c:pt idx="6">
                  <c:v>Casual Dresses</c:v>
                </c:pt>
                <c:pt idx="7">
                  <c:v>Hoodies &amp; Sweatshirts</c:v>
                </c:pt>
                <c:pt idx="8">
                  <c:v>Crop Tops</c:v>
                </c:pt>
                <c:pt idx="9">
                  <c:v>Maxi Dresses</c:v>
                </c:pt>
                <c:pt idx="10">
                  <c:v>Leggings</c:v>
                </c:pt>
                <c:pt idx="11">
                  <c:v>Sandals</c:v>
                </c:pt>
                <c:pt idx="12">
                  <c:v>Sneakers</c:v>
                </c:pt>
                <c:pt idx="13">
                  <c:v>Graphic Tees</c:v>
                </c:pt>
                <c:pt idx="14">
                  <c:v>Tank Tops</c:v>
                </c:pt>
                <c:pt idx="15">
                  <c:v>Shorts</c:v>
                </c:pt>
                <c:pt idx="16">
                  <c:v>Sundresses</c:v>
                </c:pt>
                <c:pt idx="17">
                  <c:v>Bikinis</c:v>
                </c:pt>
                <c:pt idx="18">
                  <c:v>Jeans</c:v>
                </c:pt>
                <c:pt idx="19">
                  <c:v>T-Shirts</c:v>
                </c:pt>
              </c:strCache>
            </c:strRef>
          </c:cat>
          <c:val>
            <c:numRef>
              <c:f>Sheet1!$B$5:$B$24</c:f>
              <c:numCache>
                <c:formatCode>General</c:formatCode>
                <c:ptCount val="20"/>
                <c:pt idx="4">
                  <c:v>9</c:v>
                </c:pt>
                <c:pt idx="8">
                  <c:v>4</c:v>
                </c:pt>
                <c:pt idx="10">
                  <c:v>3</c:v>
                </c:pt>
                <c:pt idx="11">
                  <c:v>10</c:v>
                </c:pt>
                <c:pt idx="12">
                  <c:v>2</c:v>
                </c:pt>
                <c:pt idx="13">
                  <c:v>6</c:v>
                </c:pt>
                <c:pt idx="15">
                  <c:v>2</c:v>
                </c:pt>
                <c:pt idx="16">
                  <c:v>10</c:v>
                </c:pt>
                <c:pt idx="18">
                  <c:v>105</c:v>
                </c:pt>
                <c:pt idx="19">
                  <c:v>35</c:v>
                </c:pt>
              </c:numCache>
            </c:numRef>
          </c:val>
          <c:extLst>
            <c:ext xmlns:c16="http://schemas.microsoft.com/office/drawing/2014/chart" uri="{C3380CC4-5D6E-409C-BE32-E72D297353CC}">
              <c16:uniqueId val="{00000000-2730-4C93-AB0E-35C72FFFD7B4}"/>
            </c:ext>
          </c:extLst>
        </c:ser>
        <c:ser>
          <c:idx val="1"/>
          <c:order val="1"/>
          <c:tx>
            <c:strRef>
              <c:f>Sheet1!$C$3:$C$4</c:f>
              <c:strCache>
                <c:ptCount val="1"/>
                <c:pt idx="0">
                  <c:v>F</c:v>
                </c:pt>
              </c:strCache>
            </c:strRef>
          </c:tx>
          <c:spPr>
            <a:solidFill>
              <a:schemeClr val="accent4"/>
            </a:solidFill>
            <a:ln>
              <a:noFill/>
            </a:ln>
            <a:effectLst/>
          </c:spPr>
          <c:invertIfNegative val="0"/>
          <c:cat>
            <c:strRef>
              <c:f>Sheet1!$A$5:$A$24</c:f>
              <c:strCache>
                <c:ptCount val="20"/>
                <c:pt idx="0">
                  <c:v>Tote Bags</c:v>
                </c:pt>
                <c:pt idx="1">
                  <c:v>Jewelry</c:v>
                </c:pt>
                <c:pt idx="2">
                  <c:v>Pajama Sets</c:v>
                </c:pt>
                <c:pt idx="3">
                  <c:v>Workout Tops</c:v>
                </c:pt>
                <c:pt idx="4">
                  <c:v>Sunglasses</c:v>
                </c:pt>
                <c:pt idx="5">
                  <c:v>Baseball Caps</c:v>
                </c:pt>
                <c:pt idx="6">
                  <c:v>Casual Dresses</c:v>
                </c:pt>
                <c:pt idx="7">
                  <c:v>Hoodies &amp; Sweatshirts</c:v>
                </c:pt>
                <c:pt idx="8">
                  <c:v>Crop Tops</c:v>
                </c:pt>
                <c:pt idx="9">
                  <c:v>Maxi Dresses</c:v>
                </c:pt>
                <c:pt idx="10">
                  <c:v>Leggings</c:v>
                </c:pt>
                <c:pt idx="11">
                  <c:v>Sandals</c:v>
                </c:pt>
                <c:pt idx="12">
                  <c:v>Sneakers</c:v>
                </c:pt>
                <c:pt idx="13">
                  <c:v>Graphic Tees</c:v>
                </c:pt>
                <c:pt idx="14">
                  <c:v>Tank Tops</c:v>
                </c:pt>
                <c:pt idx="15">
                  <c:v>Shorts</c:v>
                </c:pt>
                <c:pt idx="16">
                  <c:v>Sundresses</c:v>
                </c:pt>
                <c:pt idx="17">
                  <c:v>Bikinis</c:v>
                </c:pt>
                <c:pt idx="18">
                  <c:v>Jeans</c:v>
                </c:pt>
                <c:pt idx="19">
                  <c:v>T-Shirts</c:v>
                </c:pt>
              </c:strCache>
            </c:strRef>
          </c:cat>
          <c:val>
            <c:numRef>
              <c:f>Sheet1!$C$5:$C$24</c:f>
              <c:numCache>
                <c:formatCode>General</c:formatCode>
                <c:ptCount val="20"/>
                <c:pt idx="2">
                  <c:v>7</c:v>
                </c:pt>
                <c:pt idx="3">
                  <c:v>11</c:v>
                </c:pt>
                <c:pt idx="4">
                  <c:v>9</c:v>
                </c:pt>
                <c:pt idx="5">
                  <c:v>5</c:v>
                </c:pt>
                <c:pt idx="6">
                  <c:v>22</c:v>
                </c:pt>
                <c:pt idx="7">
                  <c:v>12</c:v>
                </c:pt>
                <c:pt idx="8">
                  <c:v>24</c:v>
                </c:pt>
                <c:pt idx="9">
                  <c:v>32</c:v>
                </c:pt>
                <c:pt idx="10">
                  <c:v>9</c:v>
                </c:pt>
                <c:pt idx="11">
                  <c:v>38</c:v>
                </c:pt>
                <c:pt idx="12">
                  <c:v>28</c:v>
                </c:pt>
                <c:pt idx="13">
                  <c:v>65</c:v>
                </c:pt>
                <c:pt idx="14">
                  <c:v>53</c:v>
                </c:pt>
                <c:pt idx="15">
                  <c:v>73</c:v>
                </c:pt>
                <c:pt idx="16">
                  <c:v>82</c:v>
                </c:pt>
                <c:pt idx="17">
                  <c:v>92</c:v>
                </c:pt>
                <c:pt idx="18">
                  <c:v>49</c:v>
                </c:pt>
                <c:pt idx="19">
                  <c:v>122</c:v>
                </c:pt>
              </c:numCache>
            </c:numRef>
          </c:val>
          <c:extLst>
            <c:ext xmlns:c16="http://schemas.microsoft.com/office/drawing/2014/chart" uri="{C3380CC4-5D6E-409C-BE32-E72D297353CC}">
              <c16:uniqueId val="{00000001-2730-4C93-AB0E-35C72FFFD7B4}"/>
            </c:ext>
          </c:extLst>
        </c:ser>
        <c:ser>
          <c:idx val="2"/>
          <c:order val="2"/>
          <c:tx>
            <c:strRef>
              <c:f>Sheet1!$D$3:$D$4</c:f>
              <c:strCache>
                <c:ptCount val="1"/>
                <c:pt idx="0">
                  <c:v>M</c:v>
                </c:pt>
              </c:strCache>
            </c:strRef>
          </c:tx>
          <c:spPr>
            <a:solidFill>
              <a:schemeClr val="accent6"/>
            </a:solidFill>
            <a:ln>
              <a:noFill/>
            </a:ln>
            <a:effectLst/>
          </c:spPr>
          <c:invertIfNegative val="0"/>
          <c:cat>
            <c:strRef>
              <c:f>Sheet1!$A$5:$A$24</c:f>
              <c:strCache>
                <c:ptCount val="20"/>
                <c:pt idx="0">
                  <c:v>Tote Bags</c:v>
                </c:pt>
                <c:pt idx="1">
                  <c:v>Jewelry</c:v>
                </c:pt>
                <c:pt idx="2">
                  <c:v>Pajama Sets</c:v>
                </c:pt>
                <c:pt idx="3">
                  <c:v>Workout Tops</c:v>
                </c:pt>
                <c:pt idx="4">
                  <c:v>Sunglasses</c:v>
                </c:pt>
                <c:pt idx="5">
                  <c:v>Baseball Caps</c:v>
                </c:pt>
                <c:pt idx="6">
                  <c:v>Casual Dresses</c:v>
                </c:pt>
                <c:pt idx="7">
                  <c:v>Hoodies &amp; Sweatshirts</c:v>
                </c:pt>
                <c:pt idx="8">
                  <c:v>Crop Tops</c:v>
                </c:pt>
                <c:pt idx="9">
                  <c:v>Maxi Dresses</c:v>
                </c:pt>
                <c:pt idx="10">
                  <c:v>Leggings</c:v>
                </c:pt>
                <c:pt idx="11">
                  <c:v>Sandals</c:v>
                </c:pt>
                <c:pt idx="12">
                  <c:v>Sneakers</c:v>
                </c:pt>
                <c:pt idx="13">
                  <c:v>Graphic Tees</c:v>
                </c:pt>
                <c:pt idx="14">
                  <c:v>Tank Tops</c:v>
                </c:pt>
                <c:pt idx="15">
                  <c:v>Shorts</c:v>
                </c:pt>
                <c:pt idx="16">
                  <c:v>Sundresses</c:v>
                </c:pt>
                <c:pt idx="17">
                  <c:v>Bikinis</c:v>
                </c:pt>
                <c:pt idx="18">
                  <c:v>Jeans</c:v>
                </c:pt>
                <c:pt idx="19">
                  <c:v>T-Shirts</c:v>
                </c:pt>
              </c:strCache>
            </c:strRef>
          </c:cat>
          <c:val>
            <c:numRef>
              <c:f>Sheet1!$D$5:$D$24</c:f>
              <c:numCache>
                <c:formatCode>General</c:formatCode>
                <c:ptCount val="20"/>
                <c:pt idx="0">
                  <c:v>1</c:v>
                </c:pt>
                <c:pt idx="1">
                  <c:v>2</c:v>
                </c:pt>
                <c:pt idx="2">
                  <c:v>3</c:v>
                </c:pt>
                <c:pt idx="3">
                  <c:v>10</c:v>
                </c:pt>
                <c:pt idx="5">
                  <c:v>20</c:v>
                </c:pt>
                <c:pt idx="6">
                  <c:v>7</c:v>
                </c:pt>
                <c:pt idx="7">
                  <c:v>19</c:v>
                </c:pt>
                <c:pt idx="8">
                  <c:v>9</c:v>
                </c:pt>
                <c:pt idx="9">
                  <c:v>10</c:v>
                </c:pt>
                <c:pt idx="10">
                  <c:v>33</c:v>
                </c:pt>
                <c:pt idx="11">
                  <c:v>33</c:v>
                </c:pt>
                <c:pt idx="12">
                  <c:v>55</c:v>
                </c:pt>
                <c:pt idx="13">
                  <c:v>17</c:v>
                </c:pt>
                <c:pt idx="14">
                  <c:v>32</c:v>
                </c:pt>
                <c:pt idx="15">
                  <c:v>22</c:v>
                </c:pt>
                <c:pt idx="16">
                  <c:v>7</c:v>
                </c:pt>
                <c:pt idx="17">
                  <c:v>38</c:v>
                </c:pt>
                <c:pt idx="18">
                  <c:v>79</c:v>
                </c:pt>
                <c:pt idx="19">
                  <c:v>82</c:v>
                </c:pt>
              </c:numCache>
            </c:numRef>
          </c:val>
          <c:extLst>
            <c:ext xmlns:c16="http://schemas.microsoft.com/office/drawing/2014/chart" uri="{C3380CC4-5D6E-409C-BE32-E72D297353CC}">
              <c16:uniqueId val="{00000002-2730-4C93-AB0E-35C72FFFD7B4}"/>
            </c:ext>
          </c:extLst>
        </c:ser>
        <c:ser>
          <c:idx val="3"/>
          <c:order val="3"/>
          <c:tx>
            <c:strRef>
              <c:f>Sheet1!$E$3:$E$4</c:f>
              <c:strCache>
                <c:ptCount val="1"/>
                <c:pt idx="0">
                  <c:v>O</c:v>
                </c:pt>
              </c:strCache>
            </c:strRef>
          </c:tx>
          <c:spPr>
            <a:solidFill>
              <a:schemeClr val="accent2">
                <a:lumMod val="60000"/>
              </a:schemeClr>
            </a:solidFill>
            <a:ln>
              <a:noFill/>
            </a:ln>
            <a:effectLst/>
          </c:spPr>
          <c:invertIfNegative val="0"/>
          <c:cat>
            <c:strRef>
              <c:f>Sheet1!$A$5:$A$24</c:f>
              <c:strCache>
                <c:ptCount val="20"/>
                <c:pt idx="0">
                  <c:v>Tote Bags</c:v>
                </c:pt>
                <c:pt idx="1">
                  <c:v>Jewelry</c:v>
                </c:pt>
                <c:pt idx="2">
                  <c:v>Pajama Sets</c:v>
                </c:pt>
                <c:pt idx="3">
                  <c:v>Workout Tops</c:v>
                </c:pt>
                <c:pt idx="4">
                  <c:v>Sunglasses</c:v>
                </c:pt>
                <c:pt idx="5">
                  <c:v>Baseball Caps</c:v>
                </c:pt>
                <c:pt idx="6">
                  <c:v>Casual Dresses</c:v>
                </c:pt>
                <c:pt idx="7">
                  <c:v>Hoodies &amp; Sweatshirts</c:v>
                </c:pt>
                <c:pt idx="8">
                  <c:v>Crop Tops</c:v>
                </c:pt>
                <c:pt idx="9">
                  <c:v>Maxi Dresses</c:v>
                </c:pt>
                <c:pt idx="10">
                  <c:v>Leggings</c:v>
                </c:pt>
                <c:pt idx="11">
                  <c:v>Sandals</c:v>
                </c:pt>
                <c:pt idx="12">
                  <c:v>Sneakers</c:v>
                </c:pt>
                <c:pt idx="13">
                  <c:v>Graphic Tees</c:v>
                </c:pt>
                <c:pt idx="14">
                  <c:v>Tank Tops</c:v>
                </c:pt>
                <c:pt idx="15">
                  <c:v>Shorts</c:v>
                </c:pt>
                <c:pt idx="16">
                  <c:v>Sundresses</c:v>
                </c:pt>
                <c:pt idx="17">
                  <c:v>Bikinis</c:v>
                </c:pt>
                <c:pt idx="18">
                  <c:v>Jeans</c:v>
                </c:pt>
                <c:pt idx="19">
                  <c:v>T-Shirts</c:v>
                </c:pt>
              </c:strCache>
            </c:strRef>
          </c:cat>
          <c:val>
            <c:numRef>
              <c:f>Sheet1!$E$5:$E$24</c:f>
              <c:numCache>
                <c:formatCode>General</c:formatCode>
                <c:ptCount val="20"/>
                <c:pt idx="4">
                  <c:v>3</c:v>
                </c:pt>
                <c:pt idx="10">
                  <c:v>7</c:v>
                </c:pt>
                <c:pt idx="14">
                  <c:v>6</c:v>
                </c:pt>
                <c:pt idx="19">
                  <c:v>1</c:v>
                </c:pt>
              </c:numCache>
            </c:numRef>
          </c:val>
          <c:extLst>
            <c:ext xmlns:c16="http://schemas.microsoft.com/office/drawing/2014/chart" uri="{C3380CC4-5D6E-409C-BE32-E72D297353CC}">
              <c16:uniqueId val="{00000003-2730-4C93-AB0E-35C72FFFD7B4}"/>
            </c:ext>
          </c:extLst>
        </c:ser>
        <c:dLbls>
          <c:showLegendKey val="0"/>
          <c:showVal val="0"/>
          <c:showCatName val="0"/>
          <c:showSerName val="0"/>
          <c:showPercent val="0"/>
          <c:showBubbleSize val="0"/>
        </c:dLbls>
        <c:gapWidth val="46"/>
        <c:overlap val="100"/>
        <c:axId val="1590687103"/>
        <c:axId val="1590676703"/>
      </c:barChart>
      <c:catAx>
        <c:axId val="1590687103"/>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676703"/>
        <c:crosses val="autoZero"/>
        <c:auto val="1"/>
        <c:lblAlgn val="ctr"/>
        <c:lblOffset val="50"/>
        <c:tickLblSkip val="1"/>
        <c:noMultiLvlLbl val="0"/>
      </c:catAx>
      <c:valAx>
        <c:axId val="1590676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687103"/>
        <c:crossesAt val="1"/>
        <c:crossBetween val="between"/>
      </c:valAx>
      <c:spPr>
        <a:noFill/>
        <a:ln>
          <a:noFill/>
        </a:ln>
        <a:effectLst>
          <a:glow rad="25400">
            <a:schemeClr val="accent1">
              <a:alpha val="37000"/>
            </a:schemeClr>
          </a:glow>
          <a:outerShdw blurRad="50800" dist="38100" dir="8100000" algn="tr" rotWithShape="0">
            <a:prstClr val="black">
              <a:alpha val="40000"/>
            </a:prstClr>
          </a:outerShdw>
        </a:effectLst>
      </c:spPr>
    </c:plotArea>
    <c:legend>
      <c:legendPos val="r"/>
      <c:layout>
        <c:manualLayout>
          <c:xMode val="edge"/>
          <c:yMode val="edge"/>
          <c:x val="0.90934362535391755"/>
          <c:y val="4.3704507409014798E-2"/>
          <c:w val="5.9160311653956639E-2"/>
          <c:h val="0.2511736623473246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current Excel dashboard.xlsx]Sheet2!Purchase by gender</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5400000" spcFirstLastPara="1" vertOverflow="overflow" horzOverflow="overflow" wrap="square" lIns="38100" tIns="19050" rIns="38100" bIns="19050" anchor="t" anchorCtr="0">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pivotFmt>
      <c:pivotFmt>
        <c:idx val="5"/>
        <c:spPr>
          <a:solidFill>
            <a:schemeClr val="accent6"/>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Sheet2!$B$3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752-4760-9E3A-93FA612EB651}"/>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752-4760-9E3A-93FA612EB651}"/>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752-4760-9E3A-93FA612EB651}"/>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752-4760-9E3A-93FA612EB651}"/>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5400000" spcFirstLastPara="1" vertOverflow="overflow" horzOverflow="overflow" wrap="square" lIns="38100" tIns="19050" rIns="38100" bIns="19050" anchor="t" anchorCtr="0">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Sheet2!$A$4:$A$8</c:f>
              <c:strCache>
                <c:ptCount val="4"/>
                <c:pt idx="0">
                  <c:v>Female</c:v>
                </c:pt>
                <c:pt idx="1">
                  <c:v>Male</c:v>
                </c:pt>
                <c:pt idx="2">
                  <c:v>Other</c:v>
                </c:pt>
                <c:pt idx="3">
                  <c:v>Unknown</c:v>
                </c:pt>
              </c:strCache>
            </c:strRef>
          </c:cat>
          <c:val>
            <c:numRef>
              <c:f>Sheet2!$B$4:$B$8</c:f>
              <c:numCache>
                <c:formatCode>General</c:formatCode>
                <c:ptCount val="4"/>
                <c:pt idx="0">
                  <c:v>32635.300000000014</c:v>
                </c:pt>
                <c:pt idx="1">
                  <c:v>27947.3</c:v>
                </c:pt>
                <c:pt idx="2">
                  <c:v>994.3</c:v>
                </c:pt>
                <c:pt idx="3">
                  <c:v>11549.3</c:v>
                </c:pt>
              </c:numCache>
            </c:numRef>
          </c:val>
          <c:extLst>
            <c:ext xmlns:c16="http://schemas.microsoft.com/office/drawing/2014/chart" uri="{C3380CC4-5D6E-409C-BE32-E72D297353CC}">
              <c16:uniqueId val="{00000000-E3F3-439F-B34C-B7D2E30F782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[My current Excel dashboard.xlsx]Sheet7!PivotTable13</c:name>
    <c:fmtId val="9"/>
  </c:pivotSource>
  <c:chart>
    <c:autoTitleDeleted val="1"/>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Sheet7!$B$3</c:f>
              <c:strCache>
                <c:ptCount val="1"/>
                <c:pt idx="0">
                  <c:v>Total</c:v>
                </c:pt>
              </c:strCache>
            </c:strRef>
          </c:tx>
          <c:spPr>
            <a:solidFill>
              <a:schemeClr val="accent6"/>
            </a:solidFill>
            <a:ln>
              <a:noFill/>
            </a:ln>
            <a:effectLst/>
          </c:spPr>
          <c:invertIfNegative val="0"/>
          <c:cat>
            <c:strRef>
              <c:f>Sheet7!$A$4:$A$14</c:f>
              <c:strCache>
                <c:ptCount val="10"/>
                <c:pt idx="0">
                  <c:v>0</c:v>
                </c:pt>
                <c:pt idx="1">
                  <c:v>1</c:v>
                </c:pt>
                <c:pt idx="2">
                  <c:v>2</c:v>
                </c:pt>
                <c:pt idx="3">
                  <c:v>3</c:v>
                </c:pt>
                <c:pt idx="4">
                  <c:v>4</c:v>
                </c:pt>
                <c:pt idx="5">
                  <c:v>5</c:v>
                </c:pt>
                <c:pt idx="6">
                  <c:v>6</c:v>
                </c:pt>
                <c:pt idx="7">
                  <c:v>7</c:v>
                </c:pt>
                <c:pt idx="8">
                  <c:v>8</c:v>
                </c:pt>
                <c:pt idx="9">
                  <c:v>9</c:v>
                </c:pt>
              </c:strCache>
            </c:strRef>
          </c:cat>
          <c:val>
            <c:numRef>
              <c:f>Sheet7!$B$4:$B$14</c:f>
              <c:numCache>
                <c:formatCode>General</c:formatCode>
                <c:ptCount val="10"/>
                <c:pt idx="0">
                  <c:v>6</c:v>
                </c:pt>
                <c:pt idx="1">
                  <c:v>36</c:v>
                </c:pt>
                <c:pt idx="2">
                  <c:v>14</c:v>
                </c:pt>
                <c:pt idx="3">
                  <c:v>23</c:v>
                </c:pt>
                <c:pt idx="4">
                  <c:v>15</c:v>
                </c:pt>
                <c:pt idx="5">
                  <c:v>7</c:v>
                </c:pt>
                <c:pt idx="6">
                  <c:v>5</c:v>
                </c:pt>
                <c:pt idx="7">
                  <c:v>1</c:v>
                </c:pt>
                <c:pt idx="8">
                  <c:v>1</c:v>
                </c:pt>
                <c:pt idx="9">
                  <c:v>1</c:v>
                </c:pt>
              </c:numCache>
            </c:numRef>
          </c:val>
          <c:extLst>
            <c:ext xmlns:c16="http://schemas.microsoft.com/office/drawing/2014/chart" uri="{C3380CC4-5D6E-409C-BE32-E72D297353CC}">
              <c16:uniqueId val="{00000000-09BB-42F6-B22A-5A8528712B4C}"/>
            </c:ext>
          </c:extLst>
        </c:ser>
        <c:dLbls>
          <c:showLegendKey val="0"/>
          <c:showVal val="0"/>
          <c:showCatName val="0"/>
          <c:showSerName val="0"/>
          <c:showPercent val="0"/>
          <c:showBubbleSize val="0"/>
        </c:dLbls>
        <c:gapWidth val="150"/>
        <c:overlap val="100"/>
        <c:axId val="1758895295"/>
        <c:axId val="1758904863"/>
      </c:barChart>
      <c:catAx>
        <c:axId val="1758895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904863"/>
        <c:crosses val="autoZero"/>
        <c:auto val="1"/>
        <c:lblAlgn val="ctr"/>
        <c:lblOffset val="100"/>
        <c:noMultiLvlLbl val="0"/>
      </c:catAx>
      <c:valAx>
        <c:axId val="17589048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895295"/>
        <c:crosses val="autoZero"/>
        <c:crossBetween val="between"/>
      </c:valAx>
      <c:spPr>
        <a:noFill/>
        <a:ln>
          <a:noFill/>
        </a:ln>
        <a:effectLst>
          <a:outerShdw blurRad="50800" dir="5400000" algn="ctr" rotWithShape="0">
            <a:srgbClr val="000000">
              <a:alpha val="43137"/>
            </a:srgbClr>
          </a:outerShdw>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[My current Excel dashboard.xlsx]Sheet8!PivotTable14</c:name>
    <c:fmtId val="51"/>
  </c:pivotSource>
  <c:chart>
    <c:autoTitleDeleted val="1"/>
    <c:pivotFmts>
      <c:pivotFmt>
        <c:idx val="0"/>
        <c:spPr>
          <a:solidFill>
            <a:schemeClr val="accent6"/>
          </a:solidFill>
          <a:ln>
            <a:noFill/>
          </a:ln>
          <a:effectLst/>
          <a:sp3d/>
        </c:spPr>
        <c:marker>
          <c:symbol val="none"/>
        </c:marker>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Sheet8!$B$3</c:f>
              <c:strCache>
                <c:ptCount val="1"/>
                <c:pt idx="0">
                  <c:v>Total</c:v>
                </c:pt>
              </c:strCache>
            </c:strRef>
          </c:tx>
          <c:spPr>
            <a:solidFill>
              <a:schemeClr val="accent6"/>
            </a:solidFill>
            <a:ln>
              <a:noFill/>
            </a:ln>
            <a:effectLst/>
            <a:sp3d/>
          </c:spPr>
          <c:invertIfNegative val="0"/>
          <c:cat>
            <c:strRef>
              <c:f>Sheet8!$A$4:$A$9</c:f>
              <c:strCache>
                <c:ptCount val="5"/>
                <c:pt idx="0">
                  <c:v>1</c:v>
                </c:pt>
                <c:pt idx="1">
                  <c:v>2</c:v>
                </c:pt>
                <c:pt idx="2">
                  <c:v>3</c:v>
                </c:pt>
                <c:pt idx="3">
                  <c:v>4</c:v>
                </c:pt>
                <c:pt idx="4">
                  <c:v>5</c:v>
                </c:pt>
              </c:strCache>
            </c:strRef>
          </c:cat>
          <c:val>
            <c:numRef>
              <c:f>Sheet8!$B$4:$B$9</c:f>
              <c:numCache>
                <c:formatCode>General</c:formatCode>
                <c:ptCount val="5"/>
                <c:pt idx="0">
                  <c:v>1</c:v>
                </c:pt>
                <c:pt idx="1">
                  <c:v>4</c:v>
                </c:pt>
                <c:pt idx="2">
                  <c:v>20</c:v>
                </c:pt>
                <c:pt idx="3">
                  <c:v>47</c:v>
                </c:pt>
                <c:pt idx="4">
                  <c:v>37</c:v>
                </c:pt>
              </c:numCache>
            </c:numRef>
          </c:val>
          <c:extLst>
            <c:ext xmlns:c16="http://schemas.microsoft.com/office/drawing/2014/chart" uri="{C3380CC4-5D6E-409C-BE32-E72D297353CC}">
              <c16:uniqueId val="{00000000-4F59-45F5-98DC-5247BE19AD0F}"/>
            </c:ext>
          </c:extLst>
        </c:ser>
        <c:dLbls>
          <c:showLegendKey val="0"/>
          <c:showVal val="0"/>
          <c:showCatName val="0"/>
          <c:showSerName val="0"/>
          <c:showPercent val="0"/>
          <c:showBubbleSize val="0"/>
        </c:dLbls>
        <c:gapWidth val="150"/>
        <c:shape val="box"/>
        <c:axId val="1533835439"/>
        <c:axId val="1533841679"/>
        <c:axId val="0"/>
      </c:bar3DChart>
      <c:catAx>
        <c:axId val="153383543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841679"/>
        <c:crosses val="autoZero"/>
        <c:auto val="1"/>
        <c:lblAlgn val="ctr"/>
        <c:lblOffset val="100"/>
        <c:noMultiLvlLbl val="0"/>
      </c:catAx>
      <c:valAx>
        <c:axId val="15338416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8354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current Excel dashboard.xlsx]Sheet9!PivotTable15</c:name>
    <c:fmtId val="4"/>
  </c:pivotSource>
  <c:chart>
    <c:autoTitleDeleted val="1"/>
    <c:pivotFmts>
      <c:pivotFmt>
        <c:idx val="0"/>
      </c:pivotFmt>
      <c:pivotFmt>
        <c:idx val="1"/>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marker>
          <c:spPr>
            <a:solidFill>
              <a:schemeClr val="accent6"/>
            </a:solidFill>
            <a:ln w="9525">
              <a:solidFill>
                <a:schemeClr val="lt1"/>
              </a:solidFill>
            </a:ln>
            <a:effectLst/>
          </c:spPr>
        </c:marker>
      </c:pivotFmt>
      <c:pivotFmt>
        <c:idx val="2"/>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marker>
          <c:symbol val="none"/>
        </c:marker>
        <c:dLbl>
          <c:idx val="0"/>
          <c:spPr>
            <a:solidFill>
              <a:sysClr val="window" lastClr="FFFFFF">
                <a:alpha val="90000"/>
              </a:sysClr>
            </a:solidFill>
            <a:ln w="12700" cap="flat" cmpd="sng" algn="ctr">
              <a:solidFill>
                <a:srgbClr val="4887E6"/>
              </a:solidFill>
              <a:round/>
            </a:ln>
            <a:effectLst>
              <a:outerShdw blurRad="50800" dist="38100" dir="2700000" algn="tl" rotWithShape="0">
                <a:srgbClr val="4887E6">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
      </c:pivotFmt>
      <c:pivotFmt>
        <c:idx val="3"/>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ysClr val="window" lastClr="FFFFFF">
                <a:alpha val="90000"/>
              </a:sysClr>
            </a:solidFill>
            <a:ln w="12700" cap="flat" cmpd="sng" algn="ctr">
              <a:solidFill>
                <a:srgbClr val="4887E6"/>
              </a:solidFill>
              <a:round/>
            </a:ln>
            <a:effectLst>
              <a:outerShdw blurRad="50800" dist="38100" dir="2700000" algn="tl" rotWithShape="0">
                <a:srgbClr val="4887E6">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
      </c:pivotFmt>
      <c:pivotFmt>
        <c:idx val="4"/>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ysClr val="window" lastClr="FFFFFF">
                <a:alpha val="90000"/>
              </a:sysClr>
            </a:solidFill>
            <a:ln w="12700" cap="flat" cmpd="sng" algn="ctr">
              <a:solidFill>
                <a:srgbClr val="4887E6"/>
              </a:solidFill>
              <a:round/>
            </a:ln>
            <a:effectLst>
              <a:outerShdw blurRad="50800" dist="38100" dir="2700000" algn="tl" rotWithShape="0">
                <a:srgbClr val="4887E6">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
      </c:pivotFmt>
      <c:pivotFmt>
        <c:idx val="5"/>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ysClr val="window" lastClr="FFFFFF">
                <a:alpha val="90000"/>
              </a:sysClr>
            </a:solidFill>
            <a:ln w="12700" cap="flat" cmpd="sng" algn="ctr">
              <a:solidFill>
                <a:srgbClr val="4887E6"/>
              </a:solidFill>
              <a:round/>
            </a:ln>
            <a:effectLst>
              <a:outerShdw blurRad="50800" dist="38100" dir="2700000" algn="tl" rotWithShape="0">
                <a:srgbClr val="4887E6">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Sheet9!$B$3</c:f>
              <c:strCache>
                <c:ptCount val="1"/>
                <c:pt idx="0">
                  <c:v>Total</c:v>
                </c:pt>
              </c:strCache>
            </c:strRef>
          </c:tx>
          <c:dPt>
            <c:idx val="0"/>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3-7E04-421F-A3E7-0D6C87F68674}"/>
              </c:ext>
            </c:extLst>
          </c:dPt>
          <c:dPt>
            <c:idx val="1"/>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4-7E04-421F-A3E7-0D6C87F68674}"/>
              </c:ext>
            </c:extLst>
          </c:dPt>
          <c:dPt>
            <c:idx val="2"/>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5-7E04-421F-A3E7-0D6C87F68674}"/>
              </c:ext>
            </c:extLst>
          </c:dPt>
          <c:dLbls>
            <c:dLbl>
              <c:idx val="0"/>
              <c:spPr>
                <a:solidFill>
                  <a:sysClr val="window" lastClr="FFFFFF">
                    <a:alpha val="90000"/>
                  </a:sysClr>
                </a:solidFill>
                <a:ln w="12700" cap="flat" cmpd="sng" algn="ctr">
                  <a:solidFill>
                    <a:srgbClr val="4887E6"/>
                  </a:solidFill>
                  <a:round/>
                </a:ln>
                <a:effectLst>
                  <a:outerShdw blurRad="50800" dist="38100" dir="2700000" algn="tl" rotWithShape="0">
                    <a:srgbClr val="4887E6">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 xmlns:c16="http://schemas.microsoft.com/office/drawing/2014/chart" uri="{C3380CC4-5D6E-409C-BE32-E72D297353CC}">
                  <c16:uniqueId val="{00000003-7E04-421F-A3E7-0D6C87F68674}"/>
                </c:ext>
              </c:extLst>
            </c:dLbl>
            <c:dLbl>
              <c:idx val="1"/>
              <c:spPr>
                <a:solidFill>
                  <a:sysClr val="window" lastClr="FFFFFF">
                    <a:alpha val="90000"/>
                  </a:sysClr>
                </a:solidFill>
                <a:ln w="12700" cap="flat" cmpd="sng" algn="ctr">
                  <a:solidFill>
                    <a:srgbClr val="4887E6"/>
                  </a:solidFill>
                  <a:round/>
                </a:ln>
                <a:effectLst>
                  <a:outerShdw blurRad="50800" dist="38100" dir="2700000" algn="tl" rotWithShape="0">
                    <a:srgbClr val="4887E6">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 xmlns:c16="http://schemas.microsoft.com/office/drawing/2014/chart" uri="{C3380CC4-5D6E-409C-BE32-E72D297353CC}">
                  <c16:uniqueId val="{00000004-7E04-421F-A3E7-0D6C87F68674}"/>
                </c:ext>
              </c:extLst>
            </c:dLbl>
            <c:dLbl>
              <c:idx val="2"/>
              <c:spPr>
                <a:solidFill>
                  <a:sysClr val="window" lastClr="FFFFFF">
                    <a:alpha val="90000"/>
                  </a:sysClr>
                </a:solidFill>
                <a:ln w="12700" cap="flat" cmpd="sng" algn="ctr">
                  <a:solidFill>
                    <a:srgbClr val="4887E6"/>
                  </a:solidFill>
                  <a:round/>
                </a:ln>
                <a:effectLst>
                  <a:outerShdw blurRad="50800" dist="38100" dir="2700000" algn="tl" rotWithShape="0">
                    <a:srgbClr val="4887E6">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 xmlns:c16="http://schemas.microsoft.com/office/drawing/2014/chart" uri="{C3380CC4-5D6E-409C-BE32-E72D297353CC}">
                  <c16:uniqueId val="{00000005-7E04-421F-A3E7-0D6C87F68674}"/>
                </c:ext>
              </c:extLst>
            </c:dLbl>
            <c:spPr>
              <a:solidFill>
                <a:sysClr val="window" lastClr="FFFFFF">
                  <a:alpha val="90000"/>
                </a:sysClr>
              </a:solidFill>
              <a:ln w="12700" cap="flat" cmpd="sng" algn="ctr">
                <a:solidFill>
                  <a:srgbClr val="4887E6"/>
                </a:solidFill>
                <a:round/>
              </a:ln>
              <a:effectLst>
                <a:outerShdw blurRad="50800" dist="38100" dir="2700000" algn="tl" rotWithShape="0">
                  <a:srgbClr val="4887E6">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s>
          <c:cat>
            <c:strRef>
              <c:f>Sheet9!$A$4:$A$6</c:f>
              <c:strCache>
                <c:ptCount val="3"/>
                <c:pt idx="0">
                  <c:v>Jan</c:v>
                </c:pt>
                <c:pt idx="1">
                  <c:v>Feb</c:v>
                </c:pt>
                <c:pt idx="2">
                  <c:v>Mar</c:v>
                </c:pt>
              </c:strCache>
            </c:strRef>
          </c:cat>
          <c:val>
            <c:numRef>
              <c:f>Sheet9!$B$4:$B$6</c:f>
              <c:numCache>
                <c:formatCode>General</c:formatCode>
                <c:ptCount val="3"/>
                <c:pt idx="0">
                  <c:v>10959.899999999998</c:v>
                </c:pt>
                <c:pt idx="1">
                  <c:v>6914.2999999999993</c:v>
                </c:pt>
                <c:pt idx="2">
                  <c:v>10073.100000000002</c:v>
                </c:pt>
              </c:numCache>
            </c:numRef>
          </c:val>
          <c:extLst>
            <c:ext xmlns:c16="http://schemas.microsoft.com/office/drawing/2014/chart" uri="{C3380CC4-5D6E-409C-BE32-E72D297353CC}">
              <c16:uniqueId val="{00000000-7E04-421F-A3E7-0D6C87F68674}"/>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withinLinear" id="19">
  <a:schemeClr val="accent6"/>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https://chandoo.org/wp/" TargetMode="External"/><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https://chandoo.org/wp/" TargetMode="External"/><Relationship Id="rId1" Type="http://schemas.openxmlformats.org/officeDocument/2006/relationships/image" Target="../media/image2.png"/><Relationship Id="rId5" Type="http://schemas.openxmlformats.org/officeDocument/2006/relationships/image" Target="../media/image4.png"/><Relationship Id="rId4" Type="http://schemas.openxmlformats.org/officeDocument/2006/relationships/hyperlink" Target="https://chandoo.org/wp/excel-school-program/"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6350</xdr:colOff>
      <xdr:row>32</xdr:row>
      <xdr:rowOff>162278</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0" y="0"/>
          <a:ext cx="1861961" cy="5806722"/>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19050</xdr:colOff>
      <xdr:row>0</xdr:row>
      <xdr:rowOff>1</xdr:rowOff>
    </xdr:from>
    <xdr:to>
      <xdr:col>18</xdr:col>
      <xdr:colOff>31750</xdr:colOff>
      <xdr:row>32</xdr:row>
      <xdr:rowOff>162279</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1874661" y="1"/>
          <a:ext cx="9961033" cy="5806722"/>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321040</xdr:colOff>
      <xdr:row>9</xdr:row>
      <xdr:rowOff>162266</xdr:rowOff>
    </xdr:from>
    <xdr:to>
      <xdr:col>1</xdr:col>
      <xdr:colOff>853724</xdr:colOff>
      <xdr:row>11</xdr:row>
      <xdr:rowOff>49377</xdr:rowOff>
    </xdr:to>
    <xdr:sp macro="" textlink="KPIs!J4">
      <xdr:nvSpPr>
        <xdr:cNvPr id="6" name="TextBox 5">
          <a:extLst>
            <a:ext uri="{FF2B5EF4-FFF2-40B4-BE49-F238E27FC236}">
              <a16:creationId xmlns:a16="http://schemas.microsoft.com/office/drawing/2014/main" id="{00000000-0008-0000-0100-000006000000}"/>
            </a:ext>
          </a:extLst>
        </xdr:cNvPr>
        <xdr:cNvSpPr txBox="1"/>
      </xdr:nvSpPr>
      <xdr:spPr>
        <a:xfrm>
          <a:off x="553873" y="1749766"/>
          <a:ext cx="532684" cy="239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FB24E22-E03F-41DD-99A4-07C0A4F232DC}" type="TxLink">
            <a:rPr lang="en-US" sz="1400" b="1" i="0" u="none" strike="noStrike">
              <a:solidFill>
                <a:schemeClr val="bg1"/>
              </a:solidFill>
              <a:latin typeface="Aptos Narrow"/>
              <a:ea typeface="+mn-ea"/>
              <a:cs typeface="+mn-cs"/>
            </a:rPr>
            <a:pPr marL="0" indent="0"/>
            <a:t>4.1</a:t>
          </a:fld>
          <a:endParaRPr lang="en-US" sz="1400" b="1" i="0" u="none" strike="noStrike">
            <a:solidFill>
              <a:schemeClr val="bg1"/>
            </a:solidFill>
            <a:latin typeface="Aptos Narrow"/>
            <a:ea typeface="+mn-ea"/>
            <a:cs typeface="+mn-cs"/>
          </a:endParaRPr>
        </a:p>
      </xdr:txBody>
    </xdr:sp>
    <xdr:clientData/>
  </xdr:twoCellAnchor>
  <xdr:twoCellAnchor>
    <xdr:from>
      <xdr:col>1</xdr:col>
      <xdr:colOff>306222</xdr:colOff>
      <xdr:row>6</xdr:row>
      <xdr:rowOff>141100</xdr:rowOff>
    </xdr:from>
    <xdr:to>
      <xdr:col>1</xdr:col>
      <xdr:colOff>1284112</xdr:colOff>
      <xdr:row>8</xdr:row>
      <xdr:rowOff>98766</xdr:rowOff>
    </xdr:to>
    <xdr:sp macro="" textlink="KPIs!I4">
      <xdr:nvSpPr>
        <xdr:cNvPr id="7" name="TextBox 6">
          <a:extLst>
            <a:ext uri="{FF2B5EF4-FFF2-40B4-BE49-F238E27FC236}">
              <a16:creationId xmlns:a16="http://schemas.microsoft.com/office/drawing/2014/main" id="{00000000-0008-0000-0100-000007000000}"/>
            </a:ext>
          </a:extLst>
        </xdr:cNvPr>
        <xdr:cNvSpPr txBox="1"/>
      </xdr:nvSpPr>
      <xdr:spPr>
        <a:xfrm>
          <a:off x="539055" y="1199433"/>
          <a:ext cx="977890" cy="310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501DEAD-8DDA-44A2-8457-A64DB8E3AFC4}" type="TxLink">
            <a:rPr lang="en-US" sz="1400" b="1" i="0" u="none" strike="noStrike">
              <a:solidFill>
                <a:schemeClr val="bg1"/>
              </a:solidFill>
              <a:latin typeface="Aptos Narrow"/>
              <a:ea typeface="+mn-ea"/>
              <a:cs typeface="+mn-cs"/>
            </a:rPr>
            <a:pPr marL="0" indent="0"/>
            <a:t>$27.9K</a:t>
          </a:fld>
          <a:endParaRPr lang="en-US" sz="1400" b="1" i="0" u="none" strike="noStrike">
            <a:solidFill>
              <a:schemeClr val="bg1"/>
            </a:solidFill>
            <a:latin typeface="Aptos Narrow"/>
            <a:ea typeface="+mn-ea"/>
            <a:cs typeface="+mn-cs"/>
          </a:endParaRPr>
        </a:p>
      </xdr:txBody>
    </xdr:sp>
    <xdr:clientData/>
  </xdr:twoCellAnchor>
  <xdr:twoCellAnchor>
    <xdr:from>
      <xdr:col>1</xdr:col>
      <xdr:colOff>329505</xdr:colOff>
      <xdr:row>4</xdr:row>
      <xdr:rowOff>52904</xdr:rowOff>
    </xdr:from>
    <xdr:to>
      <xdr:col>1</xdr:col>
      <xdr:colOff>1079500</xdr:colOff>
      <xdr:row>5</xdr:row>
      <xdr:rowOff>148155</xdr:rowOff>
    </xdr:to>
    <xdr:sp macro="" textlink="KPIs!H4">
      <xdr:nvSpPr>
        <xdr:cNvPr id="8" name="TextBox 7">
          <a:extLst>
            <a:ext uri="{FF2B5EF4-FFF2-40B4-BE49-F238E27FC236}">
              <a16:creationId xmlns:a16="http://schemas.microsoft.com/office/drawing/2014/main" id="{00000000-0008-0000-0100-000008000000}"/>
            </a:ext>
          </a:extLst>
        </xdr:cNvPr>
        <xdr:cNvSpPr txBox="1"/>
      </xdr:nvSpPr>
      <xdr:spPr>
        <a:xfrm>
          <a:off x="562338" y="758460"/>
          <a:ext cx="749995" cy="271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F4B38C9-3BEC-407A-A5B0-FC450EB72ED2}" type="TxLink">
            <a:rPr lang="en-US" sz="1400" b="1" i="0" u="none" strike="noStrike">
              <a:solidFill>
                <a:schemeClr val="bg1"/>
              </a:solidFill>
              <a:latin typeface="Aptos Narrow"/>
              <a:ea typeface="+mn-ea"/>
              <a:cs typeface="+mn-cs"/>
            </a:rPr>
            <a:pPr marL="0" indent="0"/>
            <a:t>479</a:t>
          </a:fld>
          <a:endParaRPr lang="en-US" sz="1400" b="1" i="0" u="none" strike="noStrike">
            <a:solidFill>
              <a:schemeClr val="bg1"/>
            </a:solidFill>
            <a:latin typeface="Aptos Narrow"/>
            <a:ea typeface="+mn-ea"/>
            <a:cs typeface="+mn-cs"/>
          </a:endParaRPr>
        </a:p>
      </xdr:txBody>
    </xdr:sp>
    <xdr:clientData/>
  </xdr:twoCellAnchor>
  <xdr:twoCellAnchor>
    <xdr:from>
      <xdr:col>1</xdr:col>
      <xdr:colOff>330212</xdr:colOff>
      <xdr:row>12</xdr:row>
      <xdr:rowOff>92416</xdr:rowOff>
    </xdr:from>
    <xdr:to>
      <xdr:col>1</xdr:col>
      <xdr:colOff>881946</xdr:colOff>
      <xdr:row>14</xdr:row>
      <xdr:rowOff>35266</xdr:rowOff>
    </xdr:to>
    <xdr:sp macro="" textlink="KPIs!K4">
      <xdr:nvSpPr>
        <xdr:cNvPr id="9" name="TextBox 8">
          <a:extLst>
            <a:ext uri="{FF2B5EF4-FFF2-40B4-BE49-F238E27FC236}">
              <a16:creationId xmlns:a16="http://schemas.microsoft.com/office/drawing/2014/main" id="{00000000-0008-0000-0100-000009000000}"/>
            </a:ext>
          </a:extLst>
        </xdr:cNvPr>
        <xdr:cNvSpPr txBox="1"/>
      </xdr:nvSpPr>
      <xdr:spPr>
        <a:xfrm>
          <a:off x="563045" y="2209083"/>
          <a:ext cx="551734" cy="295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31E7AAE-2245-44C5-A47B-653EDCABE7D2}" type="TxLink">
            <a:rPr lang="en-US" sz="1400" b="1" i="0" u="none" strike="noStrike">
              <a:solidFill>
                <a:schemeClr val="bg1"/>
              </a:solidFill>
              <a:latin typeface="Aptos Narrow"/>
              <a:ea typeface="+mn-ea"/>
              <a:cs typeface="+mn-cs"/>
            </a:rPr>
            <a:pPr marL="0" indent="0"/>
            <a:t>2.6</a:t>
          </a:fld>
          <a:endParaRPr lang="en-US" sz="1400" b="1" i="0" u="none" strike="noStrike">
            <a:solidFill>
              <a:schemeClr val="bg1"/>
            </a:solidFill>
            <a:latin typeface="Aptos Narrow"/>
            <a:ea typeface="+mn-ea"/>
            <a:cs typeface="+mn-cs"/>
          </a:endParaRPr>
        </a:p>
      </xdr:txBody>
    </xdr:sp>
    <xdr:clientData/>
  </xdr:twoCellAnchor>
  <xdr:twoCellAnchor>
    <xdr:from>
      <xdr:col>0</xdr:col>
      <xdr:colOff>11</xdr:colOff>
      <xdr:row>0</xdr:row>
      <xdr:rowOff>86066</xdr:rowOff>
    </xdr:from>
    <xdr:to>
      <xdr:col>1</xdr:col>
      <xdr:colOff>557390</xdr:colOff>
      <xdr:row>2</xdr:row>
      <xdr:rowOff>86066</xdr:rowOff>
    </xdr:to>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11" y="86066"/>
          <a:ext cx="790212" cy="3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FFC000"/>
              </a:solidFill>
            </a:rPr>
            <a:t>🛒</a:t>
          </a:r>
          <a:r>
            <a:rPr lang="en-US" sz="1200" b="1" baseline="0">
              <a:solidFill>
                <a:schemeClr val="bg1"/>
              </a:solidFill>
            </a:rPr>
            <a:t>Order </a:t>
          </a:r>
          <a:endParaRPr lang="en-US" sz="1200" b="1">
            <a:solidFill>
              <a:schemeClr val="bg1"/>
            </a:solidFill>
          </a:endParaRPr>
        </a:p>
      </xdr:txBody>
    </xdr:sp>
    <xdr:clientData/>
  </xdr:twoCellAnchor>
  <xdr:twoCellAnchor>
    <xdr:from>
      <xdr:col>0</xdr:col>
      <xdr:colOff>0</xdr:colOff>
      <xdr:row>5</xdr:row>
      <xdr:rowOff>112172</xdr:rowOff>
    </xdr:from>
    <xdr:to>
      <xdr:col>1</xdr:col>
      <xdr:colOff>825490</xdr:colOff>
      <xdr:row>7</xdr:row>
      <xdr:rowOff>49378</xdr:rowOff>
    </xdr:to>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0" y="994116"/>
          <a:ext cx="1058323" cy="289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FFC000"/>
              </a:solidFill>
            </a:rPr>
            <a:t>💰</a:t>
          </a:r>
          <a:r>
            <a:rPr lang="en-US" sz="1200" b="1" baseline="0">
              <a:solidFill>
                <a:schemeClr val="bg1"/>
              </a:solidFill>
              <a:latin typeface="+mn-lt"/>
              <a:ea typeface="+mn-ea"/>
              <a:cs typeface="+mn-cs"/>
            </a:rPr>
            <a:t>Amount</a:t>
          </a:r>
          <a:r>
            <a:rPr lang="en-US" sz="1200" baseline="0"/>
            <a:t> </a:t>
          </a:r>
          <a:endParaRPr lang="en-US" sz="1200"/>
        </a:p>
      </xdr:txBody>
    </xdr:sp>
    <xdr:clientData/>
  </xdr:twoCellAnchor>
  <xdr:twoCellAnchor>
    <xdr:from>
      <xdr:col>0</xdr:col>
      <xdr:colOff>28233</xdr:colOff>
      <xdr:row>8</xdr:row>
      <xdr:rowOff>26093</xdr:rowOff>
    </xdr:from>
    <xdr:to>
      <xdr:col>1</xdr:col>
      <xdr:colOff>691446</xdr:colOff>
      <xdr:row>10</xdr:row>
      <xdr:rowOff>7043</xdr:rowOff>
    </xdr:to>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28233" y="1437204"/>
          <a:ext cx="896046" cy="333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FC000"/>
              </a:solidFill>
            </a:rPr>
            <a:t>⭐</a:t>
          </a:r>
          <a:r>
            <a:rPr lang="en-US" sz="1200" b="1" baseline="0">
              <a:solidFill>
                <a:schemeClr val="bg1"/>
              </a:solidFill>
              <a:latin typeface="+mn-lt"/>
              <a:ea typeface="+mn-ea"/>
              <a:cs typeface="+mn-cs"/>
            </a:rPr>
            <a:t>Rating</a:t>
          </a:r>
        </a:p>
      </xdr:txBody>
    </xdr:sp>
    <xdr:clientData/>
  </xdr:twoCellAnchor>
  <xdr:twoCellAnchor>
    <xdr:from>
      <xdr:col>0</xdr:col>
      <xdr:colOff>26820</xdr:colOff>
      <xdr:row>11</xdr:row>
      <xdr:rowOff>42320</xdr:rowOff>
    </xdr:from>
    <xdr:to>
      <xdr:col>2</xdr:col>
      <xdr:colOff>141110</xdr:colOff>
      <xdr:row>13</xdr:row>
      <xdr:rowOff>42320</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26820" y="1982598"/>
          <a:ext cx="1715901" cy="3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rgbClr val="FFC000"/>
              </a:solidFill>
              <a:latin typeface="+mn-lt"/>
              <a:ea typeface="+mn-ea"/>
              <a:cs typeface="+mn-cs"/>
            </a:rPr>
            <a:t>📆</a:t>
          </a:r>
          <a:r>
            <a:rPr lang="en-US" sz="1200" b="1">
              <a:solidFill>
                <a:schemeClr val="bg1"/>
              </a:solidFill>
              <a:latin typeface="+mn-lt"/>
              <a:ea typeface="+mn-ea"/>
              <a:cs typeface="+mn-cs"/>
            </a:rPr>
            <a:t>Avg Day to Deliver</a:t>
          </a:r>
        </a:p>
      </xdr:txBody>
    </xdr:sp>
    <xdr:clientData/>
  </xdr:twoCellAnchor>
  <xdr:twoCellAnchor>
    <xdr:from>
      <xdr:col>1</xdr:col>
      <xdr:colOff>357728</xdr:colOff>
      <xdr:row>1</xdr:row>
      <xdr:rowOff>98061</xdr:rowOff>
    </xdr:from>
    <xdr:to>
      <xdr:col>1</xdr:col>
      <xdr:colOff>1100668</xdr:colOff>
      <xdr:row>3</xdr:row>
      <xdr:rowOff>166499</xdr:rowOff>
    </xdr:to>
    <xdr:sp macro="" textlink="KPIs!G4">
      <xdr:nvSpPr>
        <xdr:cNvPr id="15" name="TextBox 14">
          <a:extLst>
            <a:ext uri="{FF2B5EF4-FFF2-40B4-BE49-F238E27FC236}">
              <a16:creationId xmlns:a16="http://schemas.microsoft.com/office/drawing/2014/main" id="{00000000-0008-0000-0100-00000F000000}"/>
            </a:ext>
          </a:extLst>
        </xdr:cNvPr>
        <xdr:cNvSpPr txBox="1"/>
      </xdr:nvSpPr>
      <xdr:spPr>
        <a:xfrm>
          <a:off x="590561" y="274450"/>
          <a:ext cx="742940" cy="421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F20F59-D50B-4AB6-9E98-6D02FCE77911}" type="TxLink">
            <a:rPr lang="en-US" sz="1400" b="1" i="0" u="none" strike="noStrike">
              <a:solidFill>
                <a:schemeClr val="bg1"/>
              </a:solidFill>
              <a:latin typeface="Aptos Narrow"/>
            </a:rPr>
            <a:pPr/>
            <a:t>109</a:t>
          </a:fld>
          <a:endParaRPr lang="en-US" sz="1400" b="1">
            <a:solidFill>
              <a:schemeClr val="bg1"/>
            </a:solidFill>
          </a:endParaRPr>
        </a:p>
      </xdr:txBody>
    </xdr:sp>
    <xdr:clientData/>
  </xdr:twoCellAnchor>
  <xdr:twoCellAnchor>
    <xdr:from>
      <xdr:col>0</xdr:col>
      <xdr:colOff>0</xdr:colOff>
      <xdr:row>3</xdr:row>
      <xdr:rowOff>694</xdr:rowOff>
    </xdr:from>
    <xdr:to>
      <xdr:col>1</xdr:col>
      <xdr:colOff>1219200</xdr:colOff>
      <xdr:row>5</xdr:row>
      <xdr:rowOff>19745</xdr:rowOff>
    </xdr:to>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0" y="529861"/>
          <a:ext cx="1452033" cy="371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FFC000"/>
              </a:solidFill>
            </a:rPr>
            <a:t>👚</a:t>
          </a:r>
          <a:r>
            <a:rPr lang="en-US" sz="1200" b="1" baseline="0">
              <a:solidFill>
                <a:schemeClr val="bg1"/>
              </a:solidFill>
              <a:latin typeface="+mn-lt"/>
              <a:ea typeface="+mn-ea"/>
              <a:cs typeface="+mn-cs"/>
            </a:rPr>
            <a:t>Quantity</a:t>
          </a:r>
        </a:p>
      </xdr:txBody>
    </xdr:sp>
    <xdr:clientData/>
  </xdr:twoCellAnchor>
  <xdr:twoCellAnchor>
    <xdr:from>
      <xdr:col>12</xdr:col>
      <xdr:colOff>486833</xdr:colOff>
      <xdr:row>0</xdr:row>
      <xdr:rowOff>91721</xdr:rowOff>
    </xdr:from>
    <xdr:to>
      <xdr:col>17</xdr:col>
      <xdr:colOff>599722</xdr:colOff>
      <xdr:row>12</xdr:row>
      <xdr:rowOff>91721</xdr:rowOff>
    </xdr:to>
    <xdr:graphicFrame macro="">
      <xdr:nvGraphicFramePr>
        <xdr:cNvPr id="31" name="Chart 30">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70556</xdr:colOff>
      <xdr:row>13</xdr:row>
      <xdr:rowOff>14112</xdr:rowOff>
    </xdr:from>
    <xdr:to>
      <xdr:col>8</xdr:col>
      <xdr:colOff>98778</xdr:colOff>
      <xdr:row>32</xdr:row>
      <xdr:rowOff>98778</xdr:rowOff>
    </xdr:to>
    <xdr:graphicFrame macro="">
      <xdr:nvGraphicFramePr>
        <xdr:cNvPr id="19" name="Chart 18">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500945</xdr:colOff>
      <xdr:row>13</xdr:row>
      <xdr:rowOff>0</xdr:rowOff>
    </xdr:from>
    <xdr:to>
      <xdr:col>17</xdr:col>
      <xdr:colOff>592667</xdr:colOff>
      <xdr:row>23</xdr:row>
      <xdr:rowOff>42334</xdr:rowOff>
    </xdr:to>
    <xdr:graphicFrame macro="">
      <xdr:nvGraphicFramePr>
        <xdr:cNvPr id="32" name="Chart 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197556</xdr:colOff>
      <xdr:row>13</xdr:row>
      <xdr:rowOff>14110</xdr:rowOff>
    </xdr:from>
    <xdr:to>
      <xdr:col>12</xdr:col>
      <xdr:colOff>409222</xdr:colOff>
      <xdr:row>23</xdr:row>
      <xdr:rowOff>56446</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204611</xdr:colOff>
      <xdr:row>0</xdr:row>
      <xdr:rowOff>98778</xdr:rowOff>
    </xdr:from>
    <xdr:to>
      <xdr:col>12</xdr:col>
      <xdr:colOff>395111</xdr:colOff>
      <xdr:row>12</xdr:row>
      <xdr:rowOff>91723</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197558</xdr:colOff>
      <xdr:row>23</xdr:row>
      <xdr:rowOff>141110</xdr:rowOff>
    </xdr:from>
    <xdr:to>
      <xdr:col>12</xdr:col>
      <xdr:colOff>416279</xdr:colOff>
      <xdr:row>32</xdr:row>
      <xdr:rowOff>91723</xdr:rowOff>
    </xdr:to>
    <xdr:graphicFrame macro="">
      <xdr:nvGraphicFramePr>
        <xdr:cNvPr id="36" name="Chart 35">
          <a:extLst>
            <a:ext uri="{FF2B5EF4-FFF2-40B4-BE49-F238E27FC236}">
              <a16:creationId xmlns:a16="http://schemas.microsoft.com/office/drawing/2014/main" id="{00000000-0008-0000-01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119944</xdr:colOff>
      <xdr:row>14</xdr:row>
      <xdr:rowOff>55741</xdr:rowOff>
    </xdr:from>
    <xdr:to>
      <xdr:col>2</xdr:col>
      <xdr:colOff>126999</xdr:colOff>
      <xdr:row>24</xdr:row>
      <xdr:rowOff>28224</xdr:rowOff>
    </xdr:to>
    <mc:AlternateContent xmlns:mc="http://schemas.openxmlformats.org/markup-compatibility/2006" xmlns:a14="http://schemas.microsoft.com/office/drawing/2010/main">
      <mc:Choice Requires="a14">
        <xdr:graphicFrame macro="">
          <xdr:nvGraphicFramePr>
            <xdr:cNvPr id="22" name="Order Mode 1">
              <a:extLst>
                <a:ext uri="{FF2B5EF4-FFF2-40B4-BE49-F238E27FC236}">
                  <a16:creationId xmlns:a16="http://schemas.microsoft.com/office/drawing/2014/main" id="{00000000-0008-0000-0100-000016000000}"/>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119944" y="2525185"/>
              <a:ext cx="1615722" cy="1736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141111</xdr:colOff>
      <xdr:row>24</xdr:row>
      <xdr:rowOff>127002</xdr:rowOff>
    </xdr:from>
    <xdr:to>
      <xdr:col>2</xdr:col>
      <xdr:colOff>119943</xdr:colOff>
      <xdr:row>32</xdr:row>
      <xdr:rowOff>127001</xdr:rowOff>
    </xdr:to>
    <mc:AlternateContent xmlns:mc="http://schemas.openxmlformats.org/markup-compatibility/2006" xmlns:a14="http://schemas.microsoft.com/office/drawing/2010/main">
      <mc:Choice Requires="a14">
        <xdr:graphicFrame macro="">
          <xdr:nvGraphicFramePr>
            <xdr:cNvPr id="23" name="Gender Value 1">
              <a:extLst>
                <a:ext uri="{FF2B5EF4-FFF2-40B4-BE49-F238E27FC236}">
                  <a16:creationId xmlns:a16="http://schemas.microsoft.com/office/drawing/2014/main" id="{00000000-0008-0000-0100-000017000000}"/>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141111" y="4360335"/>
              <a:ext cx="1587499" cy="14111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68439</xdr:colOff>
      <xdr:row>0</xdr:row>
      <xdr:rowOff>91722</xdr:rowOff>
    </xdr:from>
    <xdr:to>
      <xdr:col>8</xdr:col>
      <xdr:colOff>105834</xdr:colOff>
      <xdr:row>12</xdr:row>
      <xdr:rowOff>91722</xdr:rowOff>
    </xdr:to>
    <xdr:graphicFrame macro="">
      <xdr:nvGraphicFramePr>
        <xdr:cNvPr id="24" name="Chart 23">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500944</xdr:colOff>
      <xdr:row>23</xdr:row>
      <xdr:rowOff>119945</xdr:rowOff>
    </xdr:from>
    <xdr:to>
      <xdr:col>17</xdr:col>
      <xdr:colOff>605366</xdr:colOff>
      <xdr:row>32</xdr:row>
      <xdr:rowOff>105834</xdr:rowOff>
    </xdr:to>
    <xdr:pic>
      <xdr:nvPicPr>
        <xdr:cNvPr id="28" name="Picture 27">
          <a:extLst>
            <a:ext uri="{FF2B5EF4-FFF2-40B4-BE49-F238E27FC236}">
              <a16:creationId xmlns:a16="http://schemas.microsoft.com/office/drawing/2014/main" id="{00000000-0008-0000-0100-00001C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332611" y="4176889"/>
          <a:ext cx="3420533" cy="1573389"/>
        </a:xfrm>
        <a:prstGeom prst="rect">
          <a:avLst/>
        </a:prstGeom>
        <a:solidFill>
          <a:schemeClr val="bg1"/>
        </a:solid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63500</xdr:colOff>
      <xdr:row>13</xdr:row>
      <xdr:rowOff>139700</xdr:rowOff>
    </xdr:from>
    <xdr:to>
      <xdr:col>10</xdr:col>
      <xdr:colOff>12700</xdr:colOff>
      <xdr:row>29</xdr:row>
      <xdr:rowOff>38100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6</xdr:row>
      <xdr:rowOff>146050</xdr:rowOff>
    </xdr:from>
    <xdr:to>
      <xdr:col>10</xdr:col>
      <xdr:colOff>609600</xdr:colOff>
      <xdr:row>22</xdr:row>
      <xdr:rowOff>44450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165100</xdr:colOff>
      <xdr:row>1</xdr:row>
      <xdr:rowOff>19050</xdr:rowOff>
    </xdr:from>
    <xdr:to>
      <xdr:col>14</xdr:col>
      <xdr:colOff>381000</xdr:colOff>
      <xdr:row>19</xdr:row>
      <xdr:rowOff>44450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165100</xdr:colOff>
      <xdr:row>7</xdr:row>
      <xdr:rowOff>95250</xdr:rowOff>
    </xdr:from>
    <xdr:to>
      <xdr:col>8</xdr:col>
      <xdr:colOff>406400</xdr:colOff>
      <xdr:row>22</xdr:row>
      <xdr:rowOff>171450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152400</xdr:colOff>
      <xdr:row>7</xdr:row>
      <xdr:rowOff>95250</xdr:rowOff>
    </xdr:from>
    <xdr:to>
      <xdr:col>7</xdr:col>
      <xdr:colOff>285750</xdr:colOff>
      <xdr:row>21</xdr:row>
      <xdr:rowOff>139700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152400</xdr:colOff>
      <xdr:row>7</xdr:row>
      <xdr:rowOff>95250</xdr:rowOff>
    </xdr:from>
    <xdr:to>
      <xdr:col>9</xdr:col>
      <xdr:colOff>101600</xdr:colOff>
      <xdr:row>22</xdr:row>
      <xdr:rowOff>171450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203200</xdr:colOff>
      <xdr:row>7</xdr:row>
      <xdr:rowOff>146050</xdr:rowOff>
    </xdr:from>
    <xdr:to>
      <xdr:col>7</xdr:col>
      <xdr:colOff>50800</xdr:colOff>
      <xdr:row>21</xdr:row>
      <xdr:rowOff>96303</xdr:rowOff>
    </xdr:to>
    <mc:AlternateContent xmlns:mc="http://schemas.openxmlformats.org/markup-compatibility/2006" xmlns:a14="http://schemas.microsoft.com/office/drawing/2010/main">
      <mc:Choice Requires="a14">
        <xdr:graphicFrame macro="">
          <xdr:nvGraphicFramePr>
            <xdr:cNvPr id="2" name="Order Mode">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3530600" y="1390650"/>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165100</xdr:colOff>
      <xdr:row>7</xdr:row>
      <xdr:rowOff>76200</xdr:rowOff>
    </xdr:from>
    <xdr:to>
      <xdr:col>11</xdr:col>
      <xdr:colOff>12700</xdr:colOff>
      <xdr:row>21</xdr:row>
      <xdr:rowOff>26453</xdr:rowOff>
    </xdr:to>
    <mc:AlternateContent xmlns:mc="http://schemas.openxmlformats.org/markup-compatibility/2006" xmlns:a14="http://schemas.microsoft.com/office/drawing/2010/main">
      <mc:Choice Requires="a14">
        <xdr:graphicFrame macro="">
          <xdr:nvGraphicFramePr>
            <xdr:cNvPr id="4" name="Gender Value">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6134100" y="1320800"/>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101600</xdr:colOff>
      <xdr:row>7</xdr:row>
      <xdr:rowOff>95250</xdr:rowOff>
    </xdr:from>
    <xdr:to>
      <xdr:col>6</xdr:col>
      <xdr:colOff>412750</xdr:colOff>
      <xdr:row>19</xdr:row>
      <xdr:rowOff>82550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0</xdr:colOff>
      <xdr:row>0</xdr:row>
      <xdr:rowOff>0</xdr:rowOff>
    </xdr:from>
    <xdr:to>
      <xdr:col>26</xdr:col>
      <xdr:colOff>0</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81200" y="0"/>
          <a:ext cx="13258800" cy="7863840"/>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1981200" cy="7863840"/>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206339</xdr:colOff>
      <xdr:row>0</xdr:row>
      <xdr:rowOff>101429</xdr:rowOff>
    </xdr:from>
    <xdr:to>
      <xdr:col>1</xdr:col>
      <xdr:colOff>1689100</xdr:colOff>
      <xdr:row>3</xdr:row>
      <xdr:rowOff>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546261" cy="447211"/>
        </a:xfrm>
        <a:prstGeom prst="rect">
          <a:avLst/>
        </a:prstGeom>
      </xdr:spPr>
    </xdr:pic>
    <xdr:clientData/>
  </xdr:twoCellAnchor>
  <xdr:twoCellAnchor editAs="oneCell">
    <xdr:from>
      <xdr:col>22</xdr:col>
      <xdr:colOff>304800</xdr:colOff>
      <xdr:row>1</xdr:row>
      <xdr:rowOff>0</xdr:rowOff>
    </xdr:from>
    <xdr:to>
      <xdr:col>25</xdr:col>
      <xdr:colOff>0</xdr:colOff>
      <xdr:row>3</xdr:row>
      <xdr:rowOff>67829</xdr:rowOff>
    </xdr:to>
    <xdr:pic>
      <xdr:nvPicPr>
        <xdr:cNvPr id="6" name="Picture 5">
          <a:hlinkClick xmlns:r="http://schemas.openxmlformats.org/officeDocument/2006/relationships" r:id="rId2"/>
          <a:extLst>
            <a:ext uri="{FF2B5EF4-FFF2-40B4-BE49-F238E27FC236}">
              <a16:creationId xmlns:a16="http://schemas.microsoft.com/office/drawing/2014/main" id="{46E40EAC-D019-CE2B-01E2-EC0A7137278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487400" y="182880"/>
          <a:ext cx="1524000" cy="43358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7</xdr:col>
      <xdr:colOff>2844801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wad Nayosh" refreshedDate="45981.836619907408" createdVersion="6" refreshedVersion="6" minRefreshableVersion="3" recordCount="2400" xr:uid="{00000000-000A-0000-FFFF-FFFF00000000}">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6"/>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acheField>
    <cacheField name="County" numFmtId="0">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Monthnum" numFmtId="164">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Months"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400">
  <r>
    <s v="TX500001"/>
    <x v="0"/>
    <x v="0"/>
    <n v="10.9"/>
    <n v="10.9"/>
    <x v="0"/>
    <d v="2025-01-06T00:00:00"/>
    <x v="0"/>
    <x v="0"/>
    <x v="0"/>
    <s v="California"/>
    <s v="Alpine County"/>
    <x v="0"/>
    <x v="0"/>
    <s v="January"/>
    <x v="0"/>
  </r>
  <r>
    <s v="TX500002"/>
    <x v="1"/>
    <x v="1"/>
    <n v="30.6"/>
    <n v="61.2"/>
    <x v="0"/>
    <d v="2025-01-03T00:00:00"/>
    <x v="1"/>
    <x v="0"/>
    <x v="0"/>
    <s v="California"/>
    <s v="Contra Costa County"/>
    <x v="1"/>
    <x v="0"/>
    <s v="January"/>
    <x v="1"/>
  </r>
  <r>
    <s v="TX500003"/>
    <x v="2"/>
    <x v="2"/>
    <n v="109.4"/>
    <n v="328.20000000000005"/>
    <x v="0"/>
    <d v="2025-01-04T00:00:00"/>
    <x v="2"/>
    <x v="0"/>
    <x v="1"/>
    <s v="California"/>
    <s v="Fresno County"/>
    <x v="2"/>
    <x v="0"/>
    <s v="January"/>
    <x v="2"/>
  </r>
  <r>
    <s v="TX500004"/>
    <x v="3"/>
    <x v="3"/>
    <n v="37.700000000000003"/>
    <n v="263.90000000000003"/>
    <x v="0"/>
    <d v="2025-01-02T00:00:00"/>
    <x v="2"/>
    <x v="0"/>
    <x v="0"/>
    <s v="California"/>
    <s v="Fresno County"/>
    <x v="3"/>
    <x v="0"/>
    <s v="January"/>
    <x v="2"/>
  </r>
  <r>
    <s v="TX500005"/>
    <x v="4"/>
    <x v="2"/>
    <n v="56.7"/>
    <n v="170.10000000000002"/>
    <x v="0"/>
    <d v="2025-01-04T00:00:00"/>
    <x v="2"/>
    <x v="0"/>
    <x v="2"/>
    <s v="California"/>
    <s v="Los Angeles County"/>
    <x v="2"/>
    <x v="0"/>
    <s v="January"/>
    <x v="2"/>
  </r>
  <r>
    <s v="TX500006"/>
    <x v="1"/>
    <x v="4"/>
    <n v="83.5"/>
    <n v="1002"/>
    <x v="0"/>
    <d v="2025-01-04T00:00:00"/>
    <x v="1"/>
    <x v="1"/>
    <x v="0"/>
    <s v="California"/>
    <s v="Los Angeles County"/>
    <x v="2"/>
    <x v="0"/>
    <s v="January"/>
    <x v="1"/>
  </r>
  <r>
    <s v="TX500007"/>
    <x v="5"/>
    <x v="0"/>
    <n v="55.3"/>
    <n v="55.3"/>
    <x v="0"/>
    <d v="2025-01-02T00:00:00"/>
    <x v="2"/>
    <x v="0"/>
    <x v="0"/>
    <s v="California"/>
    <s v="Los Angeles County"/>
    <x v="3"/>
    <x v="0"/>
    <s v="January"/>
    <x v="2"/>
  </r>
  <r>
    <s v="TX500008"/>
    <x v="6"/>
    <x v="1"/>
    <n v="40.299999999999997"/>
    <n v="80.599999999999994"/>
    <x v="0"/>
    <d v="2025-01-02T00:00:00"/>
    <x v="1"/>
    <x v="2"/>
    <x v="2"/>
    <s v="California"/>
    <s v="Los Angeles County"/>
    <x v="3"/>
    <x v="0"/>
    <s v="January"/>
    <x v="1"/>
  </r>
  <r>
    <s v="TX500009"/>
    <x v="7"/>
    <x v="5"/>
    <n v="35.700000000000003"/>
    <n v="392.70000000000005"/>
    <x v="0"/>
    <d v="2025-01-02T00:00:00"/>
    <x v="2"/>
    <x v="0"/>
    <x v="0"/>
    <s v="California"/>
    <s v="Los Angeles County"/>
    <x v="3"/>
    <x v="0"/>
    <s v="January"/>
    <x v="2"/>
  </r>
  <r>
    <s v="TX500010"/>
    <x v="8"/>
    <x v="3"/>
    <n v="22.4"/>
    <n v="156.79999999999998"/>
    <x v="0"/>
    <d v="2025-01-04T00:00:00"/>
    <x v="1"/>
    <x v="0"/>
    <x v="1"/>
    <s v="California"/>
    <s v="Los Angeles County"/>
    <x v="2"/>
    <x v="0"/>
    <s v="January"/>
    <x v="1"/>
  </r>
  <r>
    <s v="TX500011"/>
    <x v="9"/>
    <x v="1"/>
    <n v="54.4"/>
    <n v="108.8"/>
    <x v="0"/>
    <d v="2025-01-07T00:00:00"/>
    <x v="2"/>
    <x v="0"/>
    <x v="0"/>
    <s v="California"/>
    <s v="Los Angeles County"/>
    <x v="4"/>
    <x v="0"/>
    <s v="January"/>
    <x v="2"/>
  </r>
  <r>
    <s v="TX500012"/>
    <x v="9"/>
    <x v="1"/>
    <n v="49"/>
    <n v="98"/>
    <x v="0"/>
    <d v="2025-01-03T00:00:00"/>
    <x v="2"/>
    <x v="2"/>
    <x v="1"/>
    <s v="California"/>
    <s v="Los Angeles County"/>
    <x v="1"/>
    <x v="0"/>
    <s v="January"/>
    <x v="2"/>
  </r>
  <r>
    <s v="TX500013"/>
    <x v="5"/>
    <x v="3"/>
    <n v="118.6"/>
    <n v="830.19999999999993"/>
    <x v="0"/>
    <d v="2025-01-05T00:00:00"/>
    <x v="2"/>
    <x v="1"/>
    <x v="0"/>
    <s v="California"/>
    <s v="Nevada County"/>
    <x v="5"/>
    <x v="0"/>
    <s v="January"/>
    <x v="2"/>
  </r>
  <r>
    <s v="TX500014"/>
    <x v="6"/>
    <x v="6"/>
    <n v="88.4"/>
    <n v="2386.8000000000002"/>
    <x v="0"/>
    <d v="2025-01-08T00:00:00"/>
    <x v="1"/>
    <x v="3"/>
    <x v="0"/>
    <s v="California"/>
    <s v="Placer County"/>
    <x v="6"/>
    <x v="0"/>
    <s v="January"/>
    <x v="1"/>
  </r>
  <r>
    <s v="TX500015"/>
    <x v="10"/>
    <x v="0"/>
    <n v="66.7"/>
    <n v="66.7"/>
    <x v="0"/>
    <d v="2025-01-04T00:00:00"/>
    <x v="1"/>
    <x v="0"/>
    <x v="0"/>
    <s v="California"/>
    <s v="Sacramento County"/>
    <x v="2"/>
    <x v="0"/>
    <s v="January"/>
    <x v="1"/>
  </r>
  <r>
    <s v="TX500016"/>
    <x v="9"/>
    <x v="7"/>
    <n v="30.9"/>
    <n v="309"/>
    <x v="0"/>
    <d v="2025-01-02T00:00:00"/>
    <x v="1"/>
    <x v="1"/>
    <x v="2"/>
    <s v="California"/>
    <s v="Sacramento County"/>
    <x v="3"/>
    <x v="0"/>
    <s v="January"/>
    <x v="1"/>
  </r>
  <r>
    <s v="TX500017"/>
    <x v="4"/>
    <x v="2"/>
    <n v="31.1"/>
    <n v="93.300000000000011"/>
    <x v="0"/>
    <d v="2025-01-02T00:00:00"/>
    <x v="2"/>
    <x v="0"/>
    <x v="1"/>
    <s v="California"/>
    <s v="Sacramento County"/>
    <x v="3"/>
    <x v="0"/>
    <s v="January"/>
    <x v="2"/>
  </r>
  <r>
    <s v="TX500018"/>
    <x v="7"/>
    <x v="2"/>
    <n v="36.6"/>
    <n v="109.80000000000001"/>
    <x v="0"/>
    <d v="2025-01-04T00:00:00"/>
    <x v="2"/>
    <x v="0"/>
    <x v="0"/>
    <s v="California"/>
    <s v="San Bernardino County"/>
    <x v="2"/>
    <x v="0"/>
    <s v="January"/>
    <x v="2"/>
  </r>
  <r>
    <s v="TX500019"/>
    <x v="6"/>
    <x v="8"/>
    <n v="51.1"/>
    <n v="408.8"/>
    <x v="0"/>
    <d v="2025-01-04T00:00:00"/>
    <x v="2"/>
    <x v="2"/>
    <x v="3"/>
    <s v="California"/>
    <s v="San Bernardino County"/>
    <x v="2"/>
    <x v="0"/>
    <s v="January"/>
    <x v="2"/>
  </r>
  <r>
    <s v="TX500020"/>
    <x v="9"/>
    <x v="0"/>
    <n v="25.2"/>
    <n v="25.2"/>
    <x v="0"/>
    <d v="2025-01-02T00:00:00"/>
    <x v="2"/>
    <x v="1"/>
    <x v="2"/>
    <s v="California"/>
    <s v="San Diego County"/>
    <x v="3"/>
    <x v="0"/>
    <s v="January"/>
    <x v="2"/>
  </r>
  <r>
    <s v="TX500021"/>
    <x v="9"/>
    <x v="9"/>
    <n v="43.8"/>
    <n v="219"/>
    <x v="0"/>
    <d v="2025-01-04T00:00:00"/>
    <x v="2"/>
    <x v="2"/>
    <x v="0"/>
    <s v="California"/>
    <s v="San Diego County"/>
    <x v="2"/>
    <x v="0"/>
    <s v="January"/>
    <x v="2"/>
  </r>
  <r>
    <s v="TX500022"/>
    <x v="8"/>
    <x v="4"/>
    <n v="46.7"/>
    <n v="560.40000000000009"/>
    <x v="0"/>
    <d v="2025-01-02T00:00:00"/>
    <x v="2"/>
    <x v="1"/>
    <x v="1"/>
    <s v="California"/>
    <s v="San Diego County"/>
    <x v="3"/>
    <x v="0"/>
    <s v="January"/>
    <x v="2"/>
  </r>
  <r>
    <s v="TX500023"/>
    <x v="3"/>
    <x v="10"/>
    <n v="79.900000000000006"/>
    <n v="1518.1000000000001"/>
    <x v="0"/>
    <d v="2025-01-02T00:00:00"/>
    <x v="1"/>
    <x v="0"/>
    <x v="2"/>
    <s v="California"/>
    <s v="San Diego County"/>
    <x v="3"/>
    <x v="0"/>
    <s v="January"/>
    <x v="1"/>
  </r>
  <r>
    <s v="TX500024"/>
    <x v="11"/>
    <x v="8"/>
    <n v="26.4"/>
    <n v="211.2"/>
    <x v="0"/>
    <d v="2025-01-02T00:00:00"/>
    <x v="2"/>
    <x v="3"/>
    <x v="0"/>
    <s v="California"/>
    <s v="San Diego County"/>
    <x v="3"/>
    <x v="0"/>
    <s v="January"/>
    <x v="2"/>
  </r>
  <r>
    <s v="TX500025"/>
    <x v="12"/>
    <x v="8"/>
    <n v="88.8"/>
    <n v="710.4"/>
    <x v="0"/>
    <d v="2025-01-02T00:00:00"/>
    <x v="2"/>
    <x v="4"/>
    <x v="0"/>
    <s v="California"/>
    <s v="San Diego County"/>
    <x v="3"/>
    <x v="0"/>
    <s v="January"/>
    <x v="2"/>
  </r>
  <r>
    <s v="TX500026"/>
    <x v="0"/>
    <x v="7"/>
    <n v="17.5"/>
    <n v="175"/>
    <x v="0"/>
    <d v="2025-01-02T00:00:00"/>
    <x v="2"/>
    <x v="2"/>
    <x v="0"/>
    <s v="California"/>
    <s v="San Mateo County"/>
    <x v="3"/>
    <x v="0"/>
    <s v="January"/>
    <x v="2"/>
  </r>
  <r>
    <s v="TX500027"/>
    <x v="1"/>
    <x v="11"/>
    <n v="38.700000000000003"/>
    <n v="348.3"/>
    <x v="0"/>
    <d v="2025-01-04T00:00:00"/>
    <x v="1"/>
    <x v="1"/>
    <x v="0"/>
    <s v="California"/>
    <s v="Santa Barbara County"/>
    <x v="2"/>
    <x v="0"/>
    <s v="January"/>
    <x v="1"/>
  </r>
  <r>
    <s v="TX500028"/>
    <x v="13"/>
    <x v="12"/>
    <n v="57.2"/>
    <n v="228.8"/>
    <x v="0"/>
    <d v="2025-01-03T00:00:00"/>
    <x v="0"/>
    <x v="1"/>
    <x v="2"/>
    <s v="California"/>
    <s v="Santa Clara County"/>
    <x v="1"/>
    <x v="0"/>
    <s v="January"/>
    <x v="0"/>
  </r>
  <r>
    <s v="TX500029"/>
    <x v="6"/>
    <x v="9"/>
    <n v="50.9"/>
    <n v="254.5"/>
    <x v="0"/>
    <d v="2025-01-07T00:00:00"/>
    <x v="0"/>
    <x v="1"/>
    <x v="2"/>
    <s v="California"/>
    <s v="Tehama County"/>
    <x v="4"/>
    <x v="0"/>
    <s v="January"/>
    <x v="0"/>
  </r>
  <r>
    <s v="TX500030"/>
    <x v="14"/>
    <x v="3"/>
    <n v="41"/>
    <n v="287"/>
    <x v="0"/>
    <d v="2025-01-05T00:00:00"/>
    <x v="2"/>
    <x v="1"/>
    <x v="0"/>
    <s v="California"/>
    <s v="Ventura County"/>
    <x v="5"/>
    <x v="0"/>
    <s v="January"/>
    <x v="2"/>
  </r>
  <r>
    <s v="TX500031"/>
    <x v="8"/>
    <x v="3"/>
    <n v="19.100000000000001"/>
    <n v="133.70000000000002"/>
    <x v="0"/>
    <d v="2025-01-05T00:00:00"/>
    <x v="1"/>
    <x v="0"/>
    <x v="2"/>
    <s v="California"/>
    <s v="Calaveras County"/>
    <x v="5"/>
    <x v="0"/>
    <s v="January"/>
    <x v="1"/>
  </r>
  <r>
    <s v="TX500032"/>
    <x v="2"/>
    <x v="9"/>
    <n v="166.1"/>
    <n v="830.5"/>
    <x v="0"/>
    <d v="2025-01-04T00:00:00"/>
    <x v="1"/>
    <x v="0"/>
    <x v="0"/>
    <s v="California"/>
    <s v="Inyo County"/>
    <x v="2"/>
    <x v="0"/>
    <s v="January"/>
    <x v="1"/>
  </r>
  <r>
    <s v="TX500033"/>
    <x v="4"/>
    <x v="2"/>
    <n v="29.9"/>
    <n v="89.699999999999989"/>
    <x v="0"/>
    <d v="2025-01-02T00:00:00"/>
    <x v="1"/>
    <x v="3"/>
    <x v="0"/>
    <s v="California"/>
    <s v="Los Angeles County"/>
    <x v="3"/>
    <x v="0"/>
    <s v="January"/>
    <x v="1"/>
  </r>
  <r>
    <s v="TX500034"/>
    <x v="10"/>
    <x v="13"/>
    <n v="21.7"/>
    <n v="130.19999999999999"/>
    <x v="0"/>
    <d v="2025-01-03T00:00:00"/>
    <x v="3"/>
    <x v="2"/>
    <x v="2"/>
    <s v="California"/>
    <s v="Los Angeles County"/>
    <x v="1"/>
    <x v="0"/>
    <s v="January"/>
    <x v="3"/>
  </r>
  <r>
    <s v="TX500035"/>
    <x v="11"/>
    <x v="1"/>
    <n v="32"/>
    <n v="64"/>
    <x v="0"/>
    <d v="2025-01-04T00:00:00"/>
    <x v="1"/>
    <x v="0"/>
    <x v="2"/>
    <s v="California"/>
    <s v="Los Angeles County"/>
    <x v="2"/>
    <x v="0"/>
    <s v="January"/>
    <x v="1"/>
  </r>
  <r>
    <s v="TX500036"/>
    <x v="8"/>
    <x v="1"/>
    <n v="15.8"/>
    <n v="31.6"/>
    <x v="0"/>
    <d v="2025-01-02T00:00:00"/>
    <x v="1"/>
    <x v="4"/>
    <x v="2"/>
    <s v="California"/>
    <s v="Los Angeles County"/>
    <x v="3"/>
    <x v="0"/>
    <s v="January"/>
    <x v="1"/>
  </r>
  <r>
    <s v="TX500037"/>
    <x v="2"/>
    <x v="14"/>
    <n v="203.1"/>
    <n v="3452.7"/>
    <x v="0"/>
    <d v="2025-01-05T00:00:00"/>
    <x v="1"/>
    <x v="3"/>
    <x v="1"/>
    <s v="California"/>
    <s v="Los Angeles County"/>
    <x v="5"/>
    <x v="0"/>
    <s v="January"/>
    <x v="1"/>
  </r>
  <r>
    <s v="TX500038"/>
    <x v="7"/>
    <x v="15"/>
    <n v="39"/>
    <n v="507"/>
    <x v="0"/>
    <d v="2025-01-07T00:00:00"/>
    <x v="1"/>
    <x v="0"/>
    <x v="2"/>
    <s v="California"/>
    <s v="Los Angeles County"/>
    <x v="4"/>
    <x v="0"/>
    <s v="January"/>
    <x v="1"/>
  </r>
  <r>
    <s v="TX500039"/>
    <x v="10"/>
    <x v="0"/>
    <n v="26.5"/>
    <n v="26.5"/>
    <x v="1"/>
    <d v="2025-01-03T00:00:00"/>
    <x v="1"/>
    <x v="2"/>
    <x v="0"/>
    <s v="California"/>
    <s v="Los Angeles County"/>
    <x v="3"/>
    <x v="0"/>
    <s v="January"/>
    <x v="1"/>
  </r>
  <r>
    <s v="TX500040"/>
    <x v="5"/>
    <x v="0"/>
    <n v="43.1"/>
    <n v="43.1"/>
    <x v="1"/>
    <d v="2025-01-03T00:00:00"/>
    <x v="2"/>
    <x v="2"/>
    <x v="1"/>
    <s v="California"/>
    <s v="Los Angeles County"/>
    <x v="3"/>
    <x v="0"/>
    <s v="January"/>
    <x v="2"/>
  </r>
  <r>
    <s v="TX500041"/>
    <x v="1"/>
    <x v="2"/>
    <n v="139"/>
    <n v="417"/>
    <x v="1"/>
    <d v="2025-01-03T00:00:00"/>
    <x v="2"/>
    <x v="4"/>
    <x v="2"/>
    <s v="California"/>
    <s v="Los Angeles County"/>
    <x v="3"/>
    <x v="0"/>
    <s v="January"/>
    <x v="2"/>
  </r>
  <r>
    <s v="TX500042"/>
    <x v="12"/>
    <x v="0"/>
    <n v="80.7"/>
    <n v="80.7"/>
    <x v="1"/>
    <d v="2025-01-03T00:00:00"/>
    <x v="1"/>
    <x v="0"/>
    <x v="2"/>
    <s v="California"/>
    <s v="Napa County"/>
    <x v="3"/>
    <x v="0"/>
    <s v="January"/>
    <x v="1"/>
  </r>
  <r>
    <s v="TX500043"/>
    <x v="4"/>
    <x v="1"/>
    <n v="54.5"/>
    <n v="109"/>
    <x v="1"/>
    <d v="2025-01-04T00:00:00"/>
    <x v="1"/>
    <x v="1"/>
    <x v="1"/>
    <s v="California"/>
    <s v="Sacramento County"/>
    <x v="1"/>
    <x v="0"/>
    <s v="January"/>
    <x v="1"/>
  </r>
  <r>
    <s v="TX500044"/>
    <x v="6"/>
    <x v="2"/>
    <n v="68.599999999999994"/>
    <n v="205.79999999999998"/>
    <x v="1"/>
    <d v="2025-01-02T00:00:00"/>
    <x v="2"/>
    <x v="0"/>
    <x v="1"/>
    <s v="California"/>
    <s v="San Diego County"/>
    <x v="7"/>
    <x v="0"/>
    <s v="January"/>
    <x v="2"/>
  </r>
  <r>
    <s v="TX500045"/>
    <x v="2"/>
    <x v="12"/>
    <n v="135.9"/>
    <n v="543.6"/>
    <x v="1"/>
    <d v="2025-01-03T00:00:00"/>
    <x v="2"/>
    <x v="2"/>
    <x v="2"/>
    <s v="California"/>
    <s v="San Diego County"/>
    <x v="3"/>
    <x v="0"/>
    <s v="January"/>
    <x v="2"/>
  </r>
  <r>
    <s v="TX500046"/>
    <x v="2"/>
    <x v="12"/>
    <n v="70.900000000000006"/>
    <n v="283.60000000000002"/>
    <x v="1"/>
    <d v="2025-01-03T00:00:00"/>
    <x v="2"/>
    <x v="0"/>
    <x v="0"/>
    <s v="California"/>
    <s v="San Francisco"/>
    <x v="3"/>
    <x v="0"/>
    <s v="January"/>
    <x v="2"/>
  </r>
  <r>
    <s v="TX500047"/>
    <x v="1"/>
    <x v="9"/>
    <n v="63.7"/>
    <n v="318.5"/>
    <x v="1"/>
    <d v="2025-01-03T00:00:00"/>
    <x v="1"/>
    <x v="1"/>
    <x v="1"/>
    <s v="California"/>
    <s v="San Mateo County"/>
    <x v="3"/>
    <x v="0"/>
    <s v="January"/>
    <x v="1"/>
  </r>
  <r>
    <s v="TX500048"/>
    <x v="13"/>
    <x v="0"/>
    <n v="29.7"/>
    <n v="29.7"/>
    <x v="1"/>
    <d v="2025-01-04T00:00:00"/>
    <x v="2"/>
    <x v="1"/>
    <x v="0"/>
    <s v="California"/>
    <s v="Santa Clara County"/>
    <x v="1"/>
    <x v="0"/>
    <s v="January"/>
    <x v="2"/>
  </r>
  <r>
    <s v="TX500049"/>
    <x v="4"/>
    <x v="2"/>
    <n v="26.8"/>
    <n v="80.400000000000006"/>
    <x v="1"/>
    <d v="2025-01-11T00:00:00"/>
    <x v="2"/>
    <x v="1"/>
    <x v="2"/>
    <s v="California"/>
    <s v="Santa Clara County"/>
    <x v="8"/>
    <x v="0"/>
    <s v="January"/>
    <x v="2"/>
  </r>
  <r>
    <s v="TX500050"/>
    <x v="14"/>
    <x v="0"/>
    <n v="27"/>
    <n v="27"/>
    <x v="1"/>
    <d v="2025-01-04T00:00:00"/>
    <x v="2"/>
    <x v="0"/>
    <x v="0"/>
    <s v="California"/>
    <s v="Sonoma County"/>
    <x v="1"/>
    <x v="0"/>
    <s v="January"/>
    <x v="2"/>
  </r>
  <r>
    <s v="TX500051"/>
    <x v="8"/>
    <x v="0"/>
    <n v="41.4"/>
    <n v="41.4"/>
    <x v="1"/>
    <d v="2025-01-03T00:00:00"/>
    <x v="1"/>
    <x v="1"/>
    <x v="2"/>
    <s v="California"/>
    <s v="Stanislaus County"/>
    <x v="3"/>
    <x v="0"/>
    <s v="January"/>
    <x v="1"/>
  </r>
  <r>
    <s v="TX500052"/>
    <x v="8"/>
    <x v="1"/>
    <n v="24.3"/>
    <n v="48.6"/>
    <x v="1"/>
    <d v="2025-01-05T00:00:00"/>
    <x v="2"/>
    <x v="1"/>
    <x v="0"/>
    <s v="California"/>
    <s v="Stanislaus County"/>
    <x v="2"/>
    <x v="0"/>
    <s v="January"/>
    <x v="2"/>
  </r>
  <r>
    <s v="TX500053"/>
    <x v="8"/>
    <x v="2"/>
    <n v="41.7"/>
    <n v="125.10000000000001"/>
    <x v="1"/>
    <d v="2025-01-04T00:00:00"/>
    <x v="1"/>
    <x v="0"/>
    <x v="2"/>
    <s v="California"/>
    <s v="Tulare County"/>
    <x v="1"/>
    <x v="0"/>
    <s v="January"/>
    <x v="1"/>
  </r>
  <r>
    <s v="TX500054"/>
    <x v="0"/>
    <x v="1"/>
    <n v="18"/>
    <n v="36"/>
    <x v="1"/>
    <d v="2025-01-03T00:00:00"/>
    <x v="2"/>
    <x v="0"/>
    <x v="2"/>
    <s v="California"/>
    <s v="Alameda County"/>
    <x v="3"/>
    <x v="0"/>
    <s v="January"/>
    <x v="2"/>
  </r>
  <r>
    <s v="TX500055"/>
    <x v="7"/>
    <x v="2"/>
    <n v="91.3"/>
    <n v="273.89999999999998"/>
    <x v="1"/>
    <d v="2025-01-05T00:00:00"/>
    <x v="1"/>
    <x v="2"/>
    <x v="2"/>
    <s v="California"/>
    <s v="Los Angeles County"/>
    <x v="2"/>
    <x v="0"/>
    <s v="January"/>
    <x v="1"/>
  </r>
  <r>
    <s v="TX500056"/>
    <x v="8"/>
    <x v="8"/>
    <n v="19.3"/>
    <n v="154.4"/>
    <x v="1"/>
    <d v="2025-01-03T00:00:00"/>
    <x v="1"/>
    <x v="0"/>
    <x v="0"/>
    <s v="California"/>
    <s v="Los Angeles County"/>
    <x v="3"/>
    <x v="0"/>
    <s v="January"/>
    <x v="1"/>
  </r>
  <r>
    <s v="TX500057"/>
    <x v="12"/>
    <x v="15"/>
    <n v="63.2"/>
    <n v="821.6"/>
    <x v="1"/>
    <d v="2025-01-03T00:00:00"/>
    <x v="2"/>
    <x v="0"/>
    <x v="0"/>
    <s v="California"/>
    <s v="Los Angeles County"/>
    <x v="3"/>
    <x v="0"/>
    <s v="January"/>
    <x v="2"/>
  </r>
  <r>
    <s v="TX500058"/>
    <x v="10"/>
    <x v="11"/>
    <n v="33.299999999999997"/>
    <n v="299.7"/>
    <x v="2"/>
    <d v="2025-01-11T00:00:00"/>
    <x v="2"/>
    <x v="0"/>
    <x v="2"/>
    <s v="California"/>
    <s v="Los Angeles County"/>
    <x v="9"/>
    <x v="0"/>
    <s v="January"/>
    <x v="2"/>
  </r>
  <r>
    <s v="TX500059"/>
    <x v="7"/>
    <x v="1"/>
    <n v="64.2"/>
    <n v="128.4"/>
    <x v="2"/>
    <d v="2025-01-04T00:00:00"/>
    <x v="1"/>
    <x v="0"/>
    <x v="2"/>
    <s v="California"/>
    <s v="Los Angeles County"/>
    <x v="3"/>
    <x v="0"/>
    <s v="January"/>
    <x v="1"/>
  </r>
  <r>
    <s v="TX500060"/>
    <x v="9"/>
    <x v="2"/>
    <n v="23.1"/>
    <n v="69.300000000000011"/>
    <x v="2"/>
    <d v="2025-01-06T00:00:00"/>
    <x v="2"/>
    <x v="1"/>
    <x v="2"/>
    <s v="California"/>
    <s v="Los Angeles County"/>
    <x v="2"/>
    <x v="0"/>
    <s v="January"/>
    <x v="2"/>
  </r>
  <r>
    <s v="TX500061"/>
    <x v="15"/>
    <x v="1"/>
    <n v="71.099999999999994"/>
    <n v="142.19999999999999"/>
    <x v="2"/>
    <d v="2025-01-05T00:00:00"/>
    <x v="2"/>
    <x v="3"/>
    <x v="1"/>
    <s v="California"/>
    <s v="Los Angeles County"/>
    <x v="1"/>
    <x v="0"/>
    <s v="January"/>
    <x v="2"/>
  </r>
  <r>
    <s v="TX500062"/>
    <x v="0"/>
    <x v="1"/>
    <n v="11.5"/>
    <n v="23"/>
    <x v="2"/>
    <d v="2025-01-04T00:00:00"/>
    <x v="2"/>
    <x v="0"/>
    <x v="0"/>
    <s v="California"/>
    <s v="Los Angeles County"/>
    <x v="3"/>
    <x v="0"/>
    <s v="January"/>
    <x v="2"/>
  </r>
  <r>
    <s v="TX500063"/>
    <x v="15"/>
    <x v="10"/>
    <n v="69.2"/>
    <n v="1314.8"/>
    <x v="2"/>
    <d v="2025-01-08T00:00:00"/>
    <x v="2"/>
    <x v="0"/>
    <x v="0"/>
    <s v="California"/>
    <s v="Los Angeles County"/>
    <x v="0"/>
    <x v="0"/>
    <s v="January"/>
    <x v="2"/>
  </r>
  <r>
    <s v="TX500064"/>
    <x v="0"/>
    <x v="0"/>
    <n v="26.8"/>
    <n v="26.8"/>
    <x v="2"/>
    <d v="2025-01-04T00:00:00"/>
    <x v="1"/>
    <x v="2"/>
    <x v="4"/>
    <s v="California"/>
    <s v="Los Angeles County"/>
    <x v="3"/>
    <x v="0"/>
    <s v="January"/>
    <x v="1"/>
  </r>
  <r>
    <s v="TX500065"/>
    <x v="16"/>
    <x v="2"/>
    <n v="31.2"/>
    <n v="93.6"/>
    <x v="2"/>
    <d v="2025-01-06T00:00:00"/>
    <x v="2"/>
    <x v="0"/>
    <x v="0"/>
    <s v="California"/>
    <s v="Los Angeles County"/>
    <x v="2"/>
    <x v="0"/>
    <s v="January"/>
    <x v="2"/>
  </r>
  <r>
    <s v="TX500066"/>
    <x v="12"/>
    <x v="1"/>
    <n v="113.2"/>
    <n v="226.4"/>
    <x v="2"/>
    <d v="2025-01-04T00:00:00"/>
    <x v="2"/>
    <x v="4"/>
    <x v="0"/>
    <s v="California"/>
    <s v="Los Angeles County"/>
    <x v="3"/>
    <x v="0"/>
    <s v="January"/>
    <x v="2"/>
  </r>
  <r>
    <s v="TX500067"/>
    <x v="10"/>
    <x v="8"/>
    <n v="21"/>
    <n v="168"/>
    <x v="2"/>
    <d v="2025-01-04T00:00:00"/>
    <x v="1"/>
    <x v="0"/>
    <x v="0"/>
    <s v="California"/>
    <s v="Sacramento County"/>
    <x v="3"/>
    <x v="0"/>
    <s v="January"/>
    <x v="1"/>
  </r>
  <r>
    <s v="TX500068"/>
    <x v="1"/>
    <x v="1"/>
    <n v="89.1"/>
    <n v="178.2"/>
    <x v="2"/>
    <d v="2025-01-04T00:00:00"/>
    <x v="2"/>
    <x v="2"/>
    <x v="2"/>
    <s v="California"/>
    <s v="Sacramento County"/>
    <x v="3"/>
    <x v="0"/>
    <s v="January"/>
    <x v="2"/>
  </r>
  <r>
    <s v="TX500069"/>
    <x v="1"/>
    <x v="0"/>
    <n v="97.7"/>
    <n v="97.7"/>
    <x v="2"/>
    <d v="2025-01-05T00:00:00"/>
    <x v="2"/>
    <x v="0"/>
    <x v="1"/>
    <s v="California"/>
    <s v="Sacramento County"/>
    <x v="1"/>
    <x v="0"/>
    <s v="January"/>
    <x v="2"/>
  </r>
  <r>
    <s v="TX500070"/>
    <x v="15"/>
    <x v="12"/>
    <n v="97.7"/>
    <n v="390.8"/>
    <x v="2"/>
    <d v="2025-01-05T00:00:00"/>
    <x v="1"/>
    <x v="3"/>
    <x v="0"/>
    <s v="California"/>
    <s v="Sacramento County"/>
    <x v="1"/>
    <x v="0"/>
    <s v="January"/>
    <x v="1"/>
  </r>
  <r>
    <s v="TX500071"/>
    <x v="17"/>
    <x v="2"/>
    <n v="47.4"/>
    <n v="142.19999999999999"/>
    <x v="2"/>
    <d v="2025-01-06T00:00:00"/>
    <x v="1"/>
    <x v="3"/>
    <x v="2"/>
    <s v="California"/>
    <s v="San Diego County"/>
    <x v="2"/>
    <x v="0"/>
    <s v="January"/>
    <x v="1"/>
  </r>
  <r>
    <s v="TX500072"/>
    <x v="7"/>
    <x v="0"/>
    <n v="89.6"/>
    <n v="89.6"/>
    <x v="2"/>
    <d v="2025-01-06T00:00:00"/>
    <x v="2"/>
    <x v="0"/>
    <x v="2"/>
    <s v="California"/>
    <s v="San Diego County"/>
    <x v="2"/>
    <x v="0"/>
    <s v="January"/>
    <x v="2"/>
  </r>
  <r>
    <s v="TX500073"/>
    <x v="10"/>
    <x v="16"/>
    <n v="28.4"/>
    <n v="511.2"/>
    <x v="2"/>
    <d v="2025-01-06T00:00:00"/>
    <x v="2"/>
    <x v="3"/>
    <x v="2"/>
    <s v="California"/>
    <s v="San Francisco"/>
    <x v="2"/>
    <x v="0"/>
    <s v="January"/>
    <x v="2"/>
  </r>
  <r>
    <s v="TX500074"/>
    <x v="0"/>
    <x v="1"/>
    <n v="17.899999999999999"/>
    <n v="35.799999999999997"/>
    <x v="2"/>
    <d v="2025-01-04T00:00:00"/>
    <x v="2"/>
    <x v="0"/>
    <x v="2"/>
    <s v="California"/>
    <s v="San Mateo County"/>
    <x v="3"/>
    <x v="0"/>
    <s v="January"/>
    <x v="2"/>
  </r>
  <r>
    <s v="TX500075"/>
    <x v="9"/>
    <x v="1"/>
    <n v="48.4"/>
    <n v="96.8"/>
    <x v="2"/>
    <d v="2025-01-06T00:00:00"/>
    <x v="1"/>
    <x v="1"/>
    <x v="0"/>
    <s v="California"/>
    <s v="San Mateo County"/>
    <x v="2"/>
    <x v="0"/>
    <s v="January"/>
    <x v="1"/>
  </r>
  <r>
    <s v="TX500076"/>
    <x v="12"/>
    <x v="12"/>
    <n v="44.4"/>
    <n v="177.6"/>
    <x v="2"/>
    <d v="2025-01-04T00:00:00"/>
    <x v="3"/>
    <x v="1"/>
    <x v="1"/>
    <s v="California"/>
    <s v="Santa Clara County"/>
    <x v="3"/>
    <x v="0"/>
    <s v="January"/>
    <x v="3"/>
  </r>
  <r>
    <s v="TX500077"/>
    <x v="2"/>
    <x v="8"/>
    <n v="103.7"/>
    <n v="829.6"/>
    <x v="2"/>
    <d v="2025-01-04T00:00:00"/>
    <x v="2"/>
    <x v="0"/>
    <x v="1"/>
    <s v="California"/>
    <s v="Stanislaus County"/>
    <x v="3"/>
    <x v="0"/>
    <s v="January"/>
    <x v="2"/>
  </r>
  <r>
    <s v="TX500078"/>
    <x v="5"/>
    <x v="12"/>
    <n v="58.6"/>
    <n v="234.4"/>
    <x v="2"/>
    <d v="2025-01-05T00:00:00"/>
    <x v="1"/>
    <x v="3"/>
    <x v="0"/>
    <s v="California"/>
    <s v="Stanislaus County"/>
    <x v="1"/>
    <x v="0"/>
    <s v="January"/>
    <x v="1"/>
  </r>
  <r>
    <s v="TX500079"/>
    <x v="9"/>
    <x v="12"/>
    <n v="54.8"/>
    <n v="219.2"/>
    <x v="2"/>
    <d v="2025-01-07T00:00:00"/>
    <x v="2"/>
    <x v="2"/>
    <x v="1"/>
    <s v="California"/>
    <s v="Ventura County"/>
    <x v="5"/>
    <x v="0"/>
    <s v="January"/>
    <x v="2"/>
  </r>
  <r>
    <s v="TX500080"/>
    <x v="12"/>
    <x v="2"/>
    <n v="78.8"/>
    <n v="236.39999999999998"/>
    <x v="2"/>
    <d v="2025-01-09T00:00:00"/>
    <x v="2"/>
    <x v="4"/>
    <x v="1"/>
    <s v="California"/>
    <s v="Alameda County"/>
    <x v="4"/>
    <x v="0"/>
    <s v="January"/>
    <x v="2"/>
  </r>
  <r>
    <s v="TX500081"/>
    <x v="18"/>
    <x v="9"/>
    <n v="36.799999999999997"/>
    <n v="184"/>
    <x v="2"/>
    <d v="2025-01-06T00:00:00"/>
    <x v="1"/>
    <x v="4"/>
    <x v="1"/>
    <s v="California"/>
    <s v="Kern County"/>
    <x v="2"/>
    <x v="0"/>
    <s v="January"/>
    <x v="1"/>
  </r>
  <r>
    <s v="TX500082"/>
    <x v="6"/>
    <x v="13"/>
    <n v="50.6"/>
    <n v="303.60000000000002"/>
    <x v="2"/>
    <d v="2025-01-05T00:00:00"/>
    <x v="2"/>
    <x v="3"/>
    <x v="0"/>
    <s v="California"/>
    <s v="Los Angeles County"/>
    <x v="1"/>
    <x v="0"/>
    <s v="January"/>
    <x v="2"/>
  </r>
  <r>
    <s v="TX500083"/>
    <x v="15"/>
    <x v="2"/>
    <n v="36.799999999999997"/>
    <n v="110.39999999999999"/>
    <x v="2"/>
    <d v="2025-01-03T00:00:00"/>
    <x v="1"/>
    <x v="2"/>
    <x v="1"/>
    <s v="California"/>
    <s v="Los Angeles County"/>
    <x v="7"/>
    <x v="0"/>
    <s v="January"/>
    <x v="1"/>
  </r>
  <r>
    <s v="TX500084"/>
    <x v="8"/>
    <x v="11"/>
    <n v="41.8"/>
    <n v="376.2"/>
    <x v="3"/>
    <d v="2025-01-10T00:00:00"/>
    <x v="2"/>
    <x v="3"/>
    <x v="0"/>
    <s v="California"/>
    <s v="Los Angeles County"/>
    <x v="4"/>
    <x v="0"/>
    <s v="January"/>
    <x v="2"/>
  </r>
  <r>
    <s v="TX500085"/>
    <x v="18"/>
    <x v="0"/>
    <n v="77.3"/>
    <n v="77.3"/>
    <x v="3"/>
    <d v="2025-01-05T00:00:00"/>
    <x v="1"/>
    <x v="4"/>
    <x v="4"/>
    <s v="California"/>
    <s v="Los Angeles County"/>
    <x v="3"/>
    <x v="0"/>
    <s v="January"/>
    <x v="1"/>
  </r>
  <r>
    <s v="TX500086"/>
    <x v="8"/>
    <x v="12"/>
    <n v="19.8"/>
    <n v="79.2"/>
    <x v="3"/>
    <d v="2025-01-10T00:00:00"/>
    <x v="1"/>
    <x v="1"/>
    <x v="2"/>
    <s v="California"/>
    <s v="Los Angeles County"/>
    <x v="4"/>
    <x v="0"/>
    <s v="January"/>
    <x v="1"/>
  </r>
  <r>
    <s v="TX500087"/>
    <x v="13"/>
    <x v="12"/>
    <n v="15.5"/>
    <n v="62"/>
    <x v="3"/>
    <d v="2025-01-05T00:00:00"/>
    <x v="2"/>
    <x v="1"/>
    <x v="2"/>
    <s v="California"/>
    <s v="Los Angeles County"/>
    <x v="3"/>
    <x v="0"/>
    <s v="January"/>
    <x v="2"/>
  </r>
  <r>
    <s v="TX500088"/>
    <x v="12"/>
    <x v="0"/>
    <n v="46.8"/>
    <n v="46.8"/>
    <x v="3"/>
    <d v="2025-01-08T00:00:00"/>
    <x v="1"/>
    <x v="0"/>
    <x v="2"/>
    <s v="California"/>
    <s v="Los Angeles County"/>
    <x v="5"/>
    <x v="0"/>
    <s v="January"/>
    <x v="1"/>
  </r>
  <r>
    <s v="TX500089"/>
    <x v="9"/>
    <x v="11"/>
    <n v="28.6"/>
    <n v="257.40000000000003"/>
    <x v="3"/>
    <d v="2025-01-08T00:00:00"/>
    <x v="1"/>
    <x v="0"/>
    <x v="2"/>
    <s v="California"/>
    <s v="Los Angeles County"/>
    <x v="5"/>
    <x v="0"/>
    <s v="January"/>
    <x v="1"/>
  </r>
  <r>
    <s v="TX500090"/>
    <x v="2"/>
    <x v="0"/>
    <n v="97.7"/>
    <n v="97.7"/>
    <x v="3"/>
    <d v="2025-01-07T00:00:00"/>
    <x v="2"/>
    <x v="1"/>
    <x v="0"/>
    <s v="California"/>
    <s v="Los Angeles County"/>
    <x v="2"/>
    <x v="0"/>
    <s v="January"/>
    <x v="2"/>
  </r>
  <r>
    <s v="TX500091"/>
    <x v="9"/>
    <x v="9"/>
    <n v="54.7"/>
    <n v="273.5"/>
    <x v="3"/>
    <d v="2025-01-07T00:00:00"/>
    <x v="0"/>
    <x v="0"/>
    <x v="2"/>
    <s v="California"/>
    <s v="Riverside County"/>
    <x v="2"/>
    <x v="0"/>
    <s v="January"/>
    <x v="0"/>
  </r>
  <r>
    <s v="TX500092"/>
    <x v="2"/>
    <x v="13"/>
    <n v="130.5"/>
    <n v="783"/>
    <x v="3"/>
    <d v="2025-01-06T00:00:00"/>
    <x v="2"/>
    <x v="0"/>
    <x v="1"/>
    <s v="California"/>
    <s v="Riverside County"/>
    <x v="1"/>
    <x v="0"/>
    <s v="January"/>
    <x v="2"/>
  </r>
  <r>
    <s v="TX500093"/>
    <x v="11"/>
    <x v="1"/>
    <n v="50.4"/>
    <n v="100.8"/>
    <x v="3"/>
    <d v="2025-01-06T00:00:00"/>
    <x v="1"/>
    <x v="2"/>
    <x v="2"/>
    <s v="California"/>
    <s v="Sacramento County"/>
    <x v="1"/>
    <x v="0"/>
    <s v="January"/>
    <x v="1"/>
  </r>
  <r>
    <s v="TX500094"/>
    <x v="6"/>
    <x v="15"/>
    <n v="61.5"/>
    <n v="799.5"/>
    <x v="3"/>
    <d v="2025-01-05T00:00:00"/>
    <x v="0"/>
    <x v="3"/>
    <x v="1"/>
    <s v="California"/>
    <s v="Santa Clara County"/>
    <x v="3"/>
    <x v="0"/>
    <s v="January"/>
    <x v="0"/>
  </r>
  <r>
    <s v="TX500095"/>
    <x v="9"/>
    <x v="12"/>
    <n v="30.1"/>
    <n v="120.4"/>
    <x v="3"/>
    <d v="2025-01-05T00:00:00"/>
    <x v="2"/>
    <x v="0"/>
    <x v="2"/>
    <s v="California"/>
    <s v="Alameda County"/>
    <x v="3"/>
    <x v="0"/>
    <s v="January"/>
    <x v="2"/>
  </r>
  <r>
    <s v="TX500096"/>
    <x v="2"/>
    <x v="9"/>
    <n v="74.8"/>
    <n v="374"/>
    <x v="3"/>
    <d v="2025-01-05T00:00:00"/>
    <x v="2"/>
    <x v="1"/>
    <x v="0"/>
    <s v="California"/>
    <s v="Contra Costa County"/>
    <x v="3"/>
    <x v="0"/>
    <s v="January"/>
    <x v="2"/>
  </r>
  <r>
    <s v="TX500097"/>
    <x v="16"/>
    <x v="2"/>
    <n v="64.900000000000006"/>
    <n v="194.70000000000002"/>
    <x v="3"/>
    <d v="2025-01-11T00:00:00"/>
    <x v="1"/>
    <x v="0"/>
    <x v="0"/>
    <s v="California"/>
    <s v="Fresno County"/>
    <x v="6"/>
    <x v="0"/>
    <s v="January"/>
    <x v="1"/>
  </r>
  <r>
    <s v="TX500098"/>
    <x v="9"/>
    <x v="1"/>
    <n v="50.5"/>
    <n v="101"/>
    <x v="3"/>
    <d v="2025-01-06T00:00:00"/>
    <x v="1"/>
    <x v="1"/>
    <x v="0"/>
    <s v="California"/>
    <s v="Kern County"/>
    <x v="1"/>
    <x v="0"/>
    <s v="January"/>
    <x v="1"/>
  </r>
  <r>
    <s v="TX500099"/>
    <x v="11"/>
    <x v="3"/>
    <n v="63"/>
    <n v="441"/>
    <x v="3"/>
    <d v="2025-01-07T00:00:00"/>
    <x v="1"/>
    <x v="3"/>
    <x v="2"/>
    <s v="California"/>
    <s v="Los Angeles County"/>
    <x v="2"/>
    <x v="0"/>
    <s v="January"/>
    <x v="1"/>
  </r>
  <r>
    <s v="TX500100"/>
    <x v="2"/>
    <x v="2"/>
    <n v="93.6"/>
    <n v="280.79999999999995"/>
    <x v="3"/>
    <d v="2025-01-17T00:00:00"/>
    <x v="2"/>
    <x v="0"/>
    <x v="2"/>
    <s v="California"/>
    <s v="Los Angeles County"/>
    <x v="10"/>
    <x v="0"/>
    <s v="January"/>
    <x v="2"/>
  </r>
  <r>
    <s v="TX500101"/>
    <x v="5"/>
    <x v="17"/>
    <n v="41.4"/>
    <n v="1242"/>
    <x v="3"/>
    <d v="2025-01-08T00:00:00"/>
    <x v="1"/>
    <x v="2"/>
    <x v="2"/>
    <s v="California"/>
    <s v="Los Angeles County"/>
    <x v="5"/>
    <x v="0"/>
    <s v="January"/>
    <x v="1"/>
  </r>
  <r>
    <s v="TX500102"/>
    <x v="2"/>
    <x v="1"/>
    <n v="160"/>
    <n v="320"/>
    <x v="4"/>
    <d v="2025-01-06T00:00:00"/>
    <x v="1"/>
    <x v="2"/>
    <x v="2"/>
    <s v="California"/>
    <s v="Placer County"/>
    <x v="3"/>
    <x v="1"/>
    <s v="January"/>
    <x v="1"/>
  </r>
  <r>
    <s v="TX500103"/>
    <x v="19"/>
    <x v="5"/>
    <n v="10.5"/>
    <n v="115.5"/>
    <x v="4"/>
    <d v="2025-01-08T00:00:00"/>
    <x v="2"/>
    <x v="4"/>
    <x v="0"/>
    <s v="California"/>
    <s v="San Diego County"/>
    <x v="2"/>
    <x v="1"/>
    <s v="January"/>
    <x v="2"/>
  </r>
  <r>
    <s v="TX500104"/>
    <x v="10"/>
    <x v="1"/>
    <n v="53"/>
    <n v="106"/>
    <x v="4"/>
    <d v="2025-01-05T00:00:00"/>
    <x v="1"/>
    <x v="2"/>
    <x v="4"/>
    <s v="California"/>
    <s v="San Francisco"/>
    <x v="7"/>
    <x v="1"/>
    <s v="January"/>
    <x v="1"/>
  </r>
  <r>
    <s v="TX500105"/>
    <x v="8"/>
    <x v="2"/>
    <n v="18.5"/>
    <n v="55.5"/>
    <x v="4"/>
    <d v="2025-01-10T00:00:00"/>
    <x v="2"/>
    <x v="1"/>
    <x v="2"/>
    <s v="California"/>
    <s v="Santa Clara County"/>
    <x v="0"/>
    <x v="1"/>
    <s v="January"/>
    <x v="2"/>
  </r>
  <r>
    <s v="TX500106"/>
    <x v="16"/>
    <x v="2"/>
    <n v="84.5"/>
    <n v="253.5"/>
    <x v="4"/>
    <d v="2025-01-07T00:00:00"/>
    <x v="2"/>
    <x v="4"/>
    <x v="1"/>
    <s v="California"/>
    <s v="Ventura County"/>
    <x v="1"/>
    <x v="1"/>
    <s v="January"/>
    <x v="2"/>
  </r>
  <r>
    <s v="TX500107"/>
    <x v="15"/>
    <x v="3"/>
    <n v="31.2"/>
    <n v="218.4"/>
    <x v="4"/>
    <d v="2025-01-05T00:00:00"/>
    <x v="2"/>
    <x v="2"/>
    <x v="2"/>
    <s v="California"/>
    <s v="Los Angeles County"/>
    <x v="7"/>
    <x v="1"/>
    <s v="January"/>
    <x v="2"/>
  </r>
  <r>
    <s v="TX500108"/>
    <x v="8"/>
    <x v="16"/>
    <n v="32.6"/>
    <n v="586.80000000000007"/>
    <x v="4"/>
    <d v="2025-01-06T00:00:00"/>
    <x v="1"/>
    <x v="1"/>
    <x v="1"/>
    <s v="California"/>
    <s v="Los Angeles County"/>
    <x v="3"/>
    <x v="1"/>
    <s v="January"/>
    <x v="1"/>
  </r>
  <r>
    <s v="TX500109"/>
    <x v="10"/>
    <x v="12"/>
    <n v="45.4"/>
    <n v="181.6"/>
    <x v="4"/>
    <d v="2025-01-07T00:00:00"/>
    <x v="1"/>
    <x v="1"/>
    <x v="0"/>
    <s v="California"/>
    <s v="Los Angeles County"/>
    <x v="1"/>
    <x v="1"/>
    <s v="January"/>
    <x v="1"/>
  </r>
  <r>
    <s v="TX500110"/>
    <x v="2"/>
    <x v="4"/>
    <n v="120"/>
    <n v="1440"/>
    <x v="4"/>
    <d v="2025-01-06T00:00:00"/>
    <x v="2"/>
    <x v="2"/>
    <x v="4"/>
    <s v="California"/>
    <s v="Los Angeles County"/>
    <x v="3"/>
    <x v="1"/>
    <s v="January"/>
    <x v="2"/>
  </r>
  <r>
    <s v="TX500111"/>
    <x v="0"/>
    <x v="12"/>
    <n v="18.899999999999999"/>
    <n v="75.599999999999994"/>
    <x v="4"/>
    <d v="2025-01-07T00:00:00"/>
    <x v="1"/>
    <x v="0"/>
    <x v="2"/>
    <s v="California"/>
    <s v="Los Angeles County"/>
    <x v="1"/>
    <x v="1"/>
    <s v="January"/>
    <x v="1"/>
  </r>
  <r>
    <s v="TX500112"/>
    <x v="4"/>
    <x v="0"/>
    <n v="32"/>
    <n v="32"/>
    <x v="4"/>
    <d v="2025-01-07T00:00:00"/>
    <x v="2"/>
    <x v="4"/>
    <x v="0"/>
    <s v="California"/>
    <s v="Los Angeles County"/>
    <x v="1"/>
    <x v="1"/>
    <s v="January"/>
    <x v="2"/>
  </r>
  <r>
    <s v="TX500113"/>
    <x v="7"/>
    <x v="1"/>
    <n v="37.299999999999997"/>
    <n v="74.599999999999994"/>
    <x v="4"/>
    <d v="2025-01-06T00:00:00"/>
    <x v="1"/>
    <x v="2"/>
    <x v="0"/>
    <s v="California"/>
    <s v="Los Angeles County"/>
    <x v="3"/>
    <x v="1"/>
    <s v="January"/>
    <x v="1"/>
  </r>
  <r>
    <s v="TX500114"/>
    <x v="18"/>
    <x v="0"/>
    <n v="119.8"/>
    <n v="119.8"/>
    <x v="4"/>
    <d v="2025-01-06T00:00:00"/>
    <x v="1"/>
    <x v="1"/>
    <x v="1"/>
    <s v="California"/>
    <s v="Los Angeles County"/>
    <x v="3"/>
    <x v="1"/>
    <s v="January"/>
    <x v="1"/>
  </r>
  <r>
    <s v="TX500115"/>
    <x v="10"/>
    <x v="1"/>
    <n v="26.4"/>
    <n v="52.8"/>
    <x v="4"/>
    <d v="2025-01-08T00:00:00"/>
    <x v="1"/>
    <x v="2"/>
    <x v="0"/>
    <s v="California"/>
    <s v="Los Angeles County"/>
    <x v="2"/>
    <x v="1"/>
    <s v="January"/>
    <x v="1"/>
  </r>
  <r>
    <s v="TX500116"/>
    <x v="6"/>
    <x v="13"/>
    <n v="76.5"/>
    <n v="459"/>
    <x v="4"/>
    <d v="2025-01-06T00:00:00"/>
    <x v="2"/>
    <x v="1"/>
    <x v="1"/>
    <s v="California"/>
    <s v="Los Angeles County"/>
    <x v="3"/>
    <x v="1"/>
    <s v="January"/>
    <x v="2"/>
  </r>
  <r>
    <s v="TX500117"/>
    <x v="4"/>
    <x v="7"/>
    <n v="45.7"/>
    <n v="457"/>
    <x v="4"/>
    <d v="2025-01-06T00:00:00"/>
    <x v="2"/>
    <x v="2"/>
    <x v="0"/>
    <s v="California"/>
    <s v="Merced County"/>
    <x v="3"/>
    <x v="1"/>
    <s v="January"/>
    <x v="2"/>
  </r>
  <r>
    <s v="TX500118"/>
    <x v="1"/>
    <x v="4"/>
    <n v="92.6"/>
    <n v="1111.1999999999998"/>
    <x v="4"/>
    <d v="2025-01-07T00:00:00"/>
    <x v="2"/>
    <x v="2"/>
    <x v="0"/>
    <s v="California"/>
    <s v="Orange County"/>
    <x v="1"/>
    <x v="1"/>
    <s v="January"/>
    <x v="2"/>
  </r>
  <r>
    <s v="TX500119"/>
    <x v="6"/>
    <x v="13"/>
    <n v="60.1"/>
    <n v="360.6"/>
    <x v="4"/>
    <d v="2025-01-06T00:00:00"/>
    <x v="1"/>
    <x v="1"/>
    <x v="0"/>
    <s v="California"/>
    <s v="Riverside County"/>
    <x v="3"/>
    <x v="1"/>
    <s v="January"/>
    <x v="1"/>
  </r>
  <r>
    <s v="TX500120"/>
    <x v="1"/>
    <x v="2"/>
    <n v="73"/>
    <n v="219"/>
    <x v="4"/>
    <d v="2025-01-06T00:00:00"/>
    <x v="2"/>
    <x v="3"/>
    <x v="1"/>
    <s v="California"/>
    <s v="Sacramento County"/>
    <x v="3"/>
    <x v="1"/>
    <s v="January"/>
    <x v="2"/>
  </r>
  <r>
    <s v="TX500121"/>
    <x v="6"/>
    <x v="2"/>
    <n v="44.3"/>
    <n v="132.89999999999998"/>
    <x v="4"/>
    <d v="2025-01-09T00:00:00"/>
    <x v="0"/>
    <x v="2"/>
    <x v="2"/>
    <s v="California"/>
    <s v="Sacramento County"/>
    <x v="5"/>
    <x v="1"/>
    <s v="January"/>
    <x v="0"/>
  </r>
  <r>
    <s v="TX500122"/>
    <x v="6"/>
    <x v="2"/>
    <n v="63.3"/>
    <n v="189.89999999999998"/>
    <x v="4"/>
    <d v="2025-01-06T00:00:00"/>
    <x v="1"/>
    <x v="2"/>
    <x v="0"/>
    <s v="California"/>
    <s v="Sacramento County"/>
    <x v="3"/>
    <x v="1"/>
    <s v="January"/>
    <x v="1"/>
  </r>
  <r>
    <s v="TX500123"/>
    <x v="12"/>
    <x v="0"/>
    <n v="66.8"/>
    <n v="66.8"/>
    <x v="4"/>
    <d v="2025-01-06T00:00:00"/>
    <x v="2"/>
    <x v="1"/>
    <x v="0"/>
    <s v="California"/>
    <s v="Sacramento County"/>
    <x v="3"/>
    <x v="1"/>
    <s v="January"/>
    <x v="2"/>
  </r>
  <r>
    <s v="TX500124"/>
    <x v="2"/>
    <x v="1"/>
    <n v="59.7"/>
    <n v="119.4"/>
    <x v="4"/>
    <d v="2025-01-06T00:00:00"/>
    <x v="2"/>
    <x v="0"/>
    <x v="0"/>
    <s v="California"/>
    <s v="San Bernardino County"/>
    <x v="3"/>
    <x v="1"/>
    <s v="January"/>
    <x v="2"/>
  </r>
  <r>
    <s v="TX500125"/>
    <x v="1"/>
    <x v="13"/>
    <n v="92"/>
    <n v="552"/>
    <x v="4"/>
    <d v="2025-01-07T00:00:00"/>
    <x v="1"/>
    <x v="0"/>
    <x v="4"/>
    <s v="California"/>
    <s v="San Bernardino County"/>
    <x v="1"/>
    <x v="1"/>
    <s v="January"/>
    <x v="1"/>
  </r>
  <r>
    <s v="TX500126"/>
    <x v="7"/>
    <x v="1"/>
    <n v="87.6"/>
    <n v="175.2"/>
    <x v="4"/>
    <d v="2025-01-07T00:00:00"/>
    <x v="1"/>
    <x v="1"/>
    <x v="1"/>
    <s v="California"/>
    <s v="San Diego County"/>
    <x v="1"/>
    <x v="1"/>
    <s v="January"/>
    <x v="1"/>
  </r>
  <r>
    <s v="TX500127"/>
    <x v="6"/>
    <x v="2"/>
    <n v="84.5"/>
    <n v="253.5"/>
    <x v="4"/>
    <d v="2025-01-06T00:00:00"/>
    <x v="2"/>
    <x v="1"/>
    <x v="1"/>
    <s v="California"/>
    <s v="San Diego County"/>
    <x v="3"/>
    <x v="1"/>
    <s v="January"/>
    <x v="2"/>
  </r>
  <r>
    <s v="TX500128"/>
    <x v="1"/>
    <x v="1"/>
    <n v="116.3"/>
    <n v="232.6"/>
    <x v="5"/>
    <d v="2025-01-08T00:00:00"/>
    <x v="1"/>
    <x v="2"/>
    <x v="2"/>
    <s v="California"/>
    <s v="San Diego County"/>
    <x v="1"/>
    <x v="1"/>
    <s v="January"/>
    <x v="1"/>
  </r>
  <r>
    <s v="TX500129"/>
    <x v="6"/>
    <x v="9"/>
    <n v="52.7"/>
    <n v="263.5"/>
    <x v="5"/>
    <d v="2025-01-10T00:00:00"/>
    <x v="1"/>
    <x v="0"/>
    <x v="0"/>
    <s v="California"/>
    <s v="San Diego County"/>
    <x v="5"/>
    <x v="1"/>
    <s v="January"/>
    <x v="1"/>
  </r>
  <r>
    <s v="TX500130"/>
    <x v="16"/>
    <x v="2"/>
    <n v="34.200000000000003"/>
    <n v="102.60000000000001"/>
    <x v="5"/>
    <d v="2025-01-07T00:00:00"/>
    <x v="1"/>
    <x v="0"/>
    <x v="2"/>
    <s v="California"/>
    <s v="San Joaquin County"/>
    <x v="3"/>
    <x v="1"/>
    <s v="January"/>
    <x v="1"/>
  </r>
  <r>
    <s v="TX500131"/>
    <x v="9"/>
    <x v="0"/>
    <n v="23.3"/>
    <n v="23.3"/>
    <x v="5"/>
    <d v="2025-01-15T00:00:00"/>
    <x v="3"/>
    <x v="2"/>
    <x v="2"/>
    <s v="California"/>
    <s v="San Mateo County"/>
    <x v="8"/>
    <x v="1"/>
    <s v="January"/>
    <x v="3"/>
  </r>
  <r>
    <s v="TX500132"/>
    <x v="0"/>
    <x v="18"/>
    <n v="25.9"/>
    <n v="673.4"/>
    <x v="5"/>
    <d v="2025-01-09T00:00:00"/>
    <x v="2"/>
    <x v="4"/>
    <x v="1"/>
    <s v="California"/>
    <s v="San Mateo County"/>
    <x v="2"/>
    <x v="1"/>
    <s v="January"/>
    <x v="2"/>
  </r>
  <r>
    <s v="TX500133"/>
    <x v="6"/>
    <x v="19"/>
    <n v="54.9"/>
    <n v="1592.1"/>
    <x v="5"/>
    <d v="2025-01-07T00:00:00"/>
    <x v="1"/>
    <x v="1"/>
    <x v="2"/>
    <s v="California"/>
    <s v="San Mateo County"/>
    <x v="3"/>
    <x v="1"/>
    <s v="January"/>
    <x v="1"/>
  </r>
  <r>
    <s v="TX500134"/>
    <x v="5"/>
    <x v="2"/>
    <n v="75.8"/>
    <n v="227.39999999999998"/>
    <x v="5"/>
    <d v="2025-01-11T00:00:00"/>
    <x v="3"/>
    <x v="1"/>
    <x v="0"/>
    <s v="California"/>
    <s v="Sonoma County"/>
    <x v="0"/>
    <x v="1"/>
    <s v="January"/>
    <x v="3"/>
  </r>
  <r>
    <s v="TX500135"/>
    <x v="1"/>
    <x v="11"/>
    <n v="44.9"/>
    <n v="404.09999999999997"/>
    <x v="5"/>
    <d v="2025-01-09T00:00:00"/>
    <x v="2"/>
    <x v="2"/>
    <x v="2"/>
    <s v="California"/>
    <s v="Fresno County"/>
    <x v="2"/>
    <x v="1"/>
    <s v="January"/>
    <x v="2"/>
  </r>
  <r>
    <s v="TX500136"/>
    <x v="11"/>
    <x v="1"/>
    <n v="48.8"/>
    <n v="97.6"/>
    <x v="5"/>
    <d v="2025-01-08T00:00:00"/>
    <x v="2"/>
    <x v="3"/>
    <x v="0"/>
    <s v="California"/>
    <s v="Glenn County"/>
    <x v="1"/>
    <x v="1"/>
    <s v="January"/>
    <x v="2"/>
  </r>
  <r>
    <s v="TX500137"/>
    <x v="15"/>
    <x v="0"/>
    <n v="20.3"/>
    <n v="20.3"/>
    <x v="5"/>
    <d v="2025-01-07T00:00:00"/>
    <x v="2"/>
    <x v="0"/>
    <x v="2"/>
    <s v="California"/>
    <s v="Kern County"/>
    <x v="3"/>
    <x v="1"/>
    <s v="January"/>
    <x v="2"/>
  </r>
  <r>
    <s v="TX500138"/>
    <x v="5"/>
    <x v="3"/>
    <n v="36.4"/>
    <n v="254.79999999999998"/>
    <x v="5"/>
    <d v="2025-01-09T00:00:00"/>
    <x v="2"/>
    <x v="0"/>
    <x v="1"/>
    <s v="California"/>
    <s v="Los Angeles County"/>
    <x v="2"/>
    <x v="1"/>
    <s v="January"/>
    <x v="2"/>
  </r>
  <r>
    <s v="TX500139"/>
    <x v="0"/>
    <x v="0"/>
    <n v="19"/>
    <n v="19"/>
    <x v="5"/>
    <d v="2025-01-11T00:00:00"/>
    <x v="2"/>
    <x v="1"/>
    <x v="2"/>
    <s v="California"/>
    <s v="Los Angeles County"/>
    <x v="0"/>
    <x v="1"/>
    <s v="January"/>
    <x v="2"/>
  </r>
  <r>
    <s v="TX500140"/>
    <x v="8"/>
    <x v="0"/>
    <n v="17.8"/>
    <n v="17.8"/>
    <x v="5"/>
    <d v="2025-01-06T00:00:00"/>
    <x v="1"/>
    <x v="0"/>
    <x v="0"/>
    <s v="California"/>
    <s v="Los Angeles County"/>
    <x v="7"/>
    <x v="1"/>
    <s v="January"/>
    <x v="1"/>
  </r>
  <r>
    <s v="TX500141"/>
    <x v="2"/>
    <x v="13"/>
    <n v="139.6"/>
    <n v="837.59999999999991"/>
    <x v="5"/>
    <d v="2025-01-09T00:00:00"/>
    <x v="1"/>
    <x v="0"/>
    <x v="0"/>
    <s v="California"/>
    <s v="Los Angeles County"/>
    <x v="2"/>
    <x v="1"/>
    <s v="January"/>
    <x v="1"/>
  </r>
  <r>
    <s v="TX500142"/>
    <x v="9"/>
    <x v="0"/>
    <n v="31.7"/>
    <n v="31.7"/>
    <x v="5"/>
    <d v="2025-01-06T00:00:00"/>
    <x v="0"/>
    <x v="0"/>
    <x v="0"/>
    <s v="California"/>
    <s v="Los Angeles County"/>
    <x v="7"/>
    <x v="1"/>
    <s v="January"/>
    <x v="0"/>
  </r>
  <r>
    <s v="TX500143"/>
    <x v="8"/>
    <x v="8"/>
    <n v="26.3"/>
    <n v="210.4"/>
    <x v="5"/>
    <d v="2025-01-09T00:00:00"/>
    <x v="2"/>
    <x v="4"/>
    <x v="4"/>
    <s v="California"/>
    <s v="Los Angeles County"/>
    <x v="2"/>
    <x v="1"/>
    <s v="January"/>
    <x v="2"/>
  </r>
  <r>
    <s v="TX500144"/>
    <x v="4"/>
    <x v="1"/>
    <n v="47.8"/>
    <n v="95.6"/>
    <x v="5"/>
    <d v="2025-01-07T00:00:00"/>
    <x v="0"/>
    <x v="0"/>
    <x v="0"/>
    <s v="California"/>
    <s v="Los Angeles County"/>
    <x v="3"/>
    <x v="1"/>
    <s v="January"/>
    <x v="0"/>
  </r>
  <r>
    <s v="TX500145"/>
    <x v="9"/>
    <x v="2"/>
    <n v="69.400000000000006"/>
    <n v="208.20000000000002"/>
    <x v="5"/>
    <d v="2025-01-10T00:00:00"/>
    <x v="2"/>
    <x v="0"/>
    <x v="0"/>
    <s v="California"/>
    <s v="Los Angeles County"/>
    <x v="5"/>
    <x v="1"/>
    <s v="January"/>
    <x v="2"/>
  </r>
  <r>
    <s v="TX500146"/>
    <x v="18"/>
    <x v="4"/>
    <n v="25.8"/>
    <n v="309.60000000000002"/>
    <x v="5"/>
    <d v="2025-01-07T00:00:00"/>
    <x v="1"/>
    <x v="4"/>
    <x v="4"/>
    <s v="California"/>
    <s v="Los Angeles County"/>
    <x v="3"/>
    <x v="1"/>
    <s v="January"/>
    <x v="1"/>
  </r>
  <r>
    <s v="TX500147"/>
    <x v="0"/>
    <x v="12"/>
    <n v="26.4"/>
    <n v="105.6"/>
    <x v="5"/>
    <d v="2025-01-07T00:00:00"/>
    <x v="1"/>
    <x v="1"/>
    <x v="2"/>
    <s v="California"/>
    <s v="Los Angeles County"/>
    <x v="3"/>
    <x v="1"/>
    <s v="January"/>
    <x v="1"/>
  </r>
  <r>
    <s v="TX500148"/>
    <x v="8"/>
    <x v="12"/>
    <n v="15.7"/>
    <n v="62.8"/>
    <x v="5"/>
    <d v="2025-01-07T00:00:00"/>
    <x v="1"/>
    <x v="2"/>
    <x v="0"/>
    <s v="California"/>
    <s v="Los Angeles County"/>
    <x v="3"/>
    <x v="1"/>
    <s v="January"/>
    <x v="1"/>
  </r>
  <r>
    <s v="TX500149"/>
    <x v="8"/>
    <x v="0"/>
    <n v="39.700000000000003"/>
    <n v="39.700000000000003"/>
    <x v="5"/>
    <d v="2025-01-10T00:00:00"/>
    <x v="1"/>
    <x v="0"/>
    <x v="0"/>
    <s v="California"/>
    <s v="Los Angeles County"/>
    <x v="5"/>
    <x v="1"/>
    <s v="January"/>
    <x v="1"/>
  </r>
  <r>
    <s v="TX500150"/>
    <x v="10"/>
    <x v="12"/>
    <n v="31.1"/>
    <n v="124.4"/>
    <x v="5"/>
    <d v="2025-01-08T00:00:00"/>
    <x v="2"/>
    <x v="2"/>
    <x v="1"/>
    <s v="California"/>
    <s v="Los Angeles County"/>
    <x v="1"/>
    <x v="1"/>
    <s v="January"/>
    <x v="2"/>
  </r>
  <r>
    <s v="TX500151"/>
    <x v="13"/>
    <x v="20"/>
    <n v="23.4"/>
    <n v="351"/>
    <x v="5"/>
    <d v="2025-01-15T00:00:00"/>
    <x v="1"/>
    <x v="0"/>
    <x v="0"/>
    <s v="California"/>
    <s v="Los Angeles County"/>
    <x v="8"/>
    <x v="1"/>
    <s v="January"/>
    <x v="1"/>
  </r>
  <r>
    <s v="TX500152"/>
    <x v="1"/>
    <x v="12"/>
    <n v="57.1"/>
    <n v="228.4"/>
    <x v="6"/>
    <d v="2025-01-08T00:00:00"/>
    <x v="1"/>
    <x v="2"/>
    <x v="0"/>
    <s v="California"/>
    <s v="Orange County"/>
    <x v="3"/>
    <x v="1"/>
    <s v="January"/>
    <x v="1"/>
  </r>
  <r>
    <s v="TX500153"/>
    <x v="2"/>
    <x v="9"/>
    <n v="89.9"/>
    <n v="449.5"/>
    <x v="6"/>
    <d v="2025-01-07T00:00:00"/>
    <x v="2"/>
    <x v="0"/>
    <x v="3"/>
    <s v="California"/>
    <s v="Riverside County"/>
    <x v="7"/>
    <x v="1"/>
    <s v="January"/>
    <x v="2"/>
  </r>
  <r>
    <s v="TX500154"/>
    <x v="10"/>
    <x v="3"/>
    <n v="48.1"/>
    <n v="336.7"/>
    <x v="6"/>
    <d v="2025-01-09T00:00:00"/>
    <x v="2"/>
    <x v="1"/>
    <x v="2"/>
    <s v="California"/>
    <s v="Sacramento County"/>
    <x v="1"/>
    <x v="1"/>
    <s v="January"/>
    <x v="2"/>
  </r>
  <r>
    <s v="TX500155"/>
    <x v="8"/>
    <x v="1"/>
    <n v="29.3"/>
    <n v="58.6"/>
    <x v="6"/>
    <d v="2025-01-07T00:00:00"/>
    <x v="2"/>
    <x v="1"/>
    <x v="1"/>
    <s v="California"/>
    <s v="Sacramento County"/>
    <x v="7"/>
    <x v="1"/>
    <s v="January"/>
    <x v="2"/>
  </r>
  <r>
    <s v="TX500156"/>
    <x v="8"/>
    <x v="12"/>
    <n v="28.8"/>
    <n v="115.2"/>
    <x v="6"/>
    <d v="2025-01-08T00:00:00"/>
    <x v="2"/>
    <x v="0"/>
    <x v="4"/>
    <s v="California"/>
    <s v="Sacramento County"/>
    <x v="3"/>
    <x v="1"/>
    <s v="January"/>
    <x v="2"/>
  </r>
  <r>
    <s v="TX500157"/>
    <x v="10"/>
    <x v="9"/>
    <n v="40.5"/>
    <n v="202.5"/>
    <x v="6"/>
    <d v="2025-01-11T00:00:00"/>
    <x v="2"/>
    <x v="3"/>
    <x v="0"/>
    <s v="California"/>
    <s v="Sacramento County"/>
    <x v="5"/>
    <x v="1"/>
    <s v="January"/>
    <x v="2"/>
  </r>
  <r>
    <s v="TX500158"/>
    <x v="18"/>
    <x v="21"/>
    <n v="65.099999999999994"/>
    <n v="911.39999999999986"/>
    <x v="6"/>
    <d v="2025-01-08T00:00:00"/>
    <x v="2"/>
    <x v="4"/>
    <x v="0"/>
    <s v="California"/>
    <s v="San Bernardino County"/>
    <x v="3"/>
    <x v="1"/>
    <s v="January"/>
    <x v="2"/>
  </r>
  <r>
    <s v="TX500159"/>
    <x v="8"/>
    <x v="12"/>
    <n v="40.299999999999997"/>
    <n v="161.19999999999999"/>
    <x v="6"/>
    <d v="2025-01-12T00:00:00"/>
    <x v="2"/>
    <x v="2"/>
    <x v="0"/>
    <s v="California"/>
    <s v="San Bernardino County"/>
    <x v="0"/>
    <x v="1"/>
    <s v="January"/>
    <x v="2"/>
  </r>
  <r>
    <s v="TX500160"/>
    <x v="6"/>
    <x v="9"/>
    <n v="51.8"/>
    <n v="259"/>
    <x v="6"/>
    <d v="2025-01-08T00:00:00"/>
    <x v="1"/>
    <x v="2"/>
    <x v="2"/>
    <s v="California"/>
    <s v="San Diego County"/>
    <x v="3"/>
    <x v="1"/>
    <s v="January"/>
    <x v="1"/>
  </r>
  <r>
    <s v="TX500161"/>
    <x v="6"/>
    <x v="2"/>
    <n v="61.3"/>
    <n v="183.89999999999998"/>
    <x v="6"/>
    <d v="2025-01-08T00:00:00"/>
    <x v="2"/>
    <x v="3"/>
    <x v="0"/>
    <s v="California"/>
    <s v="San Diego County"/>
    <x v="3"/>
    <x v="1"/>
    <s v="January"/>
    <x v="2"/>
  </r>
  <r>
    <s v="TX500162"/>
    <x v="2"/>
    <x v="12"/>
    <n v="122.5"/>
    <n v="490"/>
    <x v="6"/>
    <d v="2025-01-08T00:00:00"/>
    <x v="1"/>
    <x v="0"/>
    <x v="0"/>
    <s v="California"/>
    <s v="San Diego County"/>
    <x v="3"/>
    <x v="1"/>
    <s v="January"/>
    <x v="1"/>
  </r>
  <r>
    <s v="TX500163"/>
    <x v="0"/>
    <x v="11"/>
    <n v="12.5"/>
    <n v="112.5"/>
    <x v="6"/>
    <d v="2025-01-08T00:00:00"/>
    <x v="0"/>
    <x v="1"/>
    <x v="2"/>
    <s v="California"/>
    <s v="San Diego County"/>
    <x v="3"/>
    <x v="1"/>
    <s v="January"/>
    <x v="0"/>
  </r>
  <r>
    <s v="TX500164"/>
    <x v="15"/>
    <x v="8"/>
    <n v="37.5"/>
    <n v="300"/>
    <x v="6"/>
    <d v="2025-01-08T00:00:00"/>
    <x v="2"/>
    <x v="0"/>
    <x v="0"/>
    <s v="California"/>
    <s v="San Mateo County"/>
    <x v="3"/>
    <x v="1"/>
    <s v="January"/>
    <x v="2"/>
  </r>
  <r>
    <s v="TX500165"/>
    <x v="6"/>
    <x v="2"/>
    <n v="40"/>
    <n v="120"/>
    <x v="6"/>
    <d v="2025-01-10T00:00:00"/>
    <x v="1"/>
    <x v="0"/>
    <x v="4"/>
    <s v="California"/>
    <s v="Santa Clara County"/>
    <x v="2"/>
    <x v="1"/>
    <s v="January"/>
    <x v="1"/>
  </r>
  <r>
    <s v="TX500166"/>
    <x v="17"/>
    <x v="8"/>
    <n v="38.5"/>
    <n v="308"/>
    <x v="6"/>
    <d v="2025-01-12T00:00:00"/>
    <x v="2"/>
    <x v="2"/>
    <x v="1"/>
    <s v="California"/>
    <s v="Santa Clara County"/>
    <x v="0"/>
    <x v="1"/>
    <s v="January"/>
    <x v="2"/>
  </r>
  <r>
    <s v="TX500167"/>
    <x v="2"/>
    <x v="1"/>
    <n v="86.4"/>
    <n v="172.8"/>
    <x v="6"/>
    <d v="2025-01-09T00:00:00"/>
    <x v="2"/>
    <x v="0"/>
    <x v="0"/>
    <s v="California"/>
    <s v="Sonoma County"/>
    <x v="1"/>
    <x v="1"/>
    <s v="January"/>
    <x v="2"/>
  </r>
  <r>
    <s v="TX500168"/>
    <x v="10"/>
    <x v="0"/>
    <n v="50.7"/>
    <n v="50.7"/>
    <x v="6"/>
    <d v="2025-01-11T00:00:00"/>
    <x v="2"/>
    <x v="1"/>
    <x v="0"/>
    <s v="California"/>
    <s v="Sonoma County"/>
    <x v="5"/>
    <x v="1"/>
    <s v="January"/>
    <x v="2"/>
  </r>
  <r>
    <s v="TX500169"/>
    <x v="10"/>
    <x v="1"/>
    <n v="61"/>
    <n v="122"/>
    <x v="6"/>
    <d v="2025-01-18T00:00:00"/>
    <x v="2"/>
    <x v="4"/>
    <x v="1"/>
    <s v="California"/>
    <s v="Sonoma County"/>
    <x v="11"/>
    <x v="1"/>
    <s v="January"/>
    <x v="2"/>
  </r>
  <r>
    <s v="TX500170"/>
    <x v="4"/>
    <x v="1"/>
    <n v="19.899999999999999"/>
    <n v="39.799999999999997"/>
    <x v="6"/>
    <d v="2025-01-10T00:00:00"/>
    <x v="2"/>
    <x v="1"/>
    <x v="0"/>
    <s v="California"/>
    <s v="Yolo County"/>
    <x v="2"/>
    <x v="1"/>
    <s v="January"/>
    <x v="2"/>
  </r>
  <r>
    <s v="TX500171"/>
    <x v="5"/>
    <x v="0"/>
    <n v="78.3"/>
    <n v="78.3"/>
    <x v="6"/>
    <d v="2025-01-07T00:00:00"/>
    <x v="2"/>
    <x v="0"/>
    <x v="2"/>
    <s v="California"/>
    <s v="Contra Costa County"/>
    <x v="7"/>
    <x v="1"/>
    <s v="January"/>
    <x v="2"/>
  </r>
  <r>
    <s v="TX500172"/>
    <x v="0"/>
    <x v="10"/>
    <n v="10.4"/>
    <n v="197.6"/>
    <x v="6"/>
    <d v="2025-01-09T00:00:00"/>
    <x v="1"/>
    <x v="0"/>
    <x v="2"/>
    <s v="California"/>
    <s v="Fresno County"/>
    <x v="1"/>
    <x v="1"/>
    <s v="January"/>
    <x v="1"/>
  </r>
  <r>
    <s v="TX500173"/>
    <x v="10"/>
    <x v="0"/>
    <n v="36.1"/>
    <n v="36.1"/>
    <x v="6"/>
    <d v="2025-01-10T00:00:00"/>
    <x v="1"/>
    <x v="3"/>
    <x v="2"/>
    <s v="California"/>
    <s v="Los Angeles County"/>
    <x v="2"/>
    <x v="1"/>
    <s v="January"/>
    <x v="1"/>
  </r>
  <r>
    <s v="TX500174"/>
    <x v="14"/>
    <x v="1"/>
    <n v="17.3"/>
    <n v="34.6"/>
    <x v="6"/>
    <d v="2025-01-09T00:00:00"/>
    <x v="2"/>
    <x v="1"/>
    <x v="2"/>
    <s v="California"/>
    <s v="Los Angeles County"/>
    <x v="1"/>
    <x v="1"/>
    <s v="January"/>
    <x v="2"/>
  </r>
  <r>
    <s v="TX500175"/>
    <x v="10"/>
    <x v="1"/>
    <n v="30.5"/>
    <n v="61"/>
    <x v="6"/>
    <d v="2025-01-08T00:00:00"/>
    <x v="2"/>
    <x v="1"/>
    <x v="2"/>
    <s v="California"/>
    <s v="Los Angeles County"/>
    <x v="3"/>
    <x v="1"/>
    <s v="January"/>
    <x v="2"/>
  </r>
  <r>
    <s v="TX500176"/>
    <x v="18"/>
    <x v="22"/>
    <n v="70.099999999999994"/>
    <n v="4346.2"/>
    <x v="6"/>
    <d v="2025-01-07T00:00:00"/>
    <x v="2"/>
    <x v="2"/>
    <x v="0"/>
    <s v="California"/>
    <s v="Los Angeles County"/>
    <x v="7"/>
    <x v="1"/>
    <s v="January"/>
    <x v="2"/>
  </r>
  <r>
    <s v="TX500177"/>
    <x v="3"/>
    <x v="0"/>
    <n v="76.099999999999994"/>
    <n v="76.099999999999994"/>
    <x v="6"/>
    <d v="2025-01-07T00:00:00"/>
    <x v="2"/>
    <x v="2"/>
    <x v="1"/>
    <s v="California"/>
    <s v="Los Angeles County"/>
    <x v="7"/>
    <x v="1"/>
    <s v="January"/>
    <x v="2"/>
  </r>
  <r>
    <s v="TX500178"/>
    <x v="15"/>
    <x v="15"/>
    <n v="34.200000000000003"/>
    <n v="444.6"/>
    <x v="6"/>
    <d v="2025-01-08T00:00:00"/>
    <x v="1"/>
    <x v="0"/>
    <x v="0"/>
    <s v="California"/>
    <s v="Los Angeles County"/>
    <x v="3"/>
    <x v="1"/>
    <s v="January"/>
    <x v="1"/>
  </r>
  <r>
    <s v="TX500179"/>
    <x v="8"/>
    <x v="9"/>
    <n v="30.3"/>
    <n v="151.5"/>
    <x v="6"/>
    <d v="2025-01-12T00:00:00"/>
    <x v="2"/>
    <x v="4"/>
    <x v="0"/>
    <s v="California"/>
    <s v="Los Angeles County"/>
    <x v="0"/>
    <x v="1"/>
    <s v="January"/>
    <x v="2"/>
  </r>
  <r>
    <s v="TX500180"/>
    <x v="6"/>
    <x v="9"/>
    <n v="52.5"/>
    <n v="262.5"/>
    <x v="6"/>
    <d v="2025-01-11T00:00:00"/>
    <x v="0"/>
    <x v="3"/>
    <x v="0"/>
    <s v="California"/>
    <s v="Los Angeles County"/>
    <x v="5"/>
    <x v="1"/>
    <s v="January"/>
    <x v="0"/>
  </r>
  <r>
    <s v="TX500181"/>
    <x v="9"/>
    <x v="5"/>
    <n v="28.7"/>
    <n v="315.7"/>
    <x v="6"/>
    <d v="2025-01-08T00:00:00"/>
    <x v="2"/>
    <x v="2"/>
    <x v="0"/>
    <s v="California"/>
    <s v="Los Angeles County"/>
    <x v="3"/>
    <x v="1"/>
    <s v="January"/>
    <x v="2"/>
  </r>
  <r>
    <s v="TX500182"/>
    <x v="7"/>
    <x v="3"/>
    <n v="52"/>
    <n v="364"/>
    <x v="6"/>
    <d v="2025-01-08T00:00:00"/>
    <x v="1"/>
    <x v="1"/>
    <x v="4"/>
    <s v="California"/>
    <s v="Los Angeles County"/>
    <x v="3"/>
    <x v="1"/>
    <s v="January"/>
    <x v="1"/>
  </r>
  <r>
    <s v="TX500183"/>
    <x v="0"/>
    <x v="0"/>
    <n v="13.3"/>
    <n v="13.3"/>
    <x v="7"/>
    <d v="2025-01-12T00:00:00"/>
    <x v="2"/>
    <x v="2"/>
    <x v="1"/>
    <s v="California"/>
    <s v="Los Angeles County"/>
    <x v="5"/>
    <x v="1"/>
    <s v="January"/>
    <x v="2"/>
  </r>
  <r>
    <s v="TX500184"/>
    <x v="0"/>
    <x v="2"/>
    <n v="15.7"/>
    <n v="47.099999999999994"/>
    <x v="7"/>
    <d v="2025-01-09T00:00:00"/>
    <x v="2"/>
    <x v="1"/>
    <x v="0"/>
    <s v="California"/>
    <s v="Mendocino County"/>
    <x v="3"/>
    <x v="1"/>
    <s v="January"/>
    <x v="2"/>
  </r>
  <r>
    <s v="TX500185"/>
    <x v="8"/>
    <x v="1"/>
    <n v="25.6"/>
    <n v="51.2"/>
    <x v="7"/>
    <d v="2025-01-09T00:00:00"/>
    <x v="1"/>
    <x v="0"/>
    <x v="2"/>
    <s v="California"/>
    <s v="Riverside County"/>
    <x v="3"/>
    <x v="1"/>
    <s v="January"/>
    <x v="1"/>
  </r>
  <r>
    <s v="TX500186"/>
    <x v="8"/>
    <x v="0"/>
    <n v="43.4"/>
    <n v="43.4"/>
    <x v="7"/>
    <d v="2025-01-13T00:00:00"/>
    <x v="1"/>
    <x v="0"/>
    <x v="0"/>
    <s v="California"/>
    <s v="Sacramento County"/>
    <x v="0"/>
    <x v="1"/>
    <s v="January"/>
    <x v="1"/>
  </r>
  <r>
    <s v="TX500187"/>
    <x v="11"/>
    <x v="11"/>
    <n v="33.4"/>
    <n v="300.59999999999997"/>
    <x v="7"/>
    <d v="2025-01-08T00:00:00"/>
    <x v="2"/>
    <x v="0"/>
    <x v="0"/>
    <s v="California"/>
    <s v="San Diego County"/>
    <x v="7"/>
    <x v="1"/>
    <s v="January"/>
    <x v="2"/>
  </r>
  <r>
    <s v="TX500188"/>
    <x v="8"/>
    <x v="10"/>
    <n v="55"/>
    <n v="1045"/>
    <x v="7"/>
    <d v="2025-01-09T00:00:00"/>
    <x v="2"/>
    <x v="1"/>
    <x v="2"/>
    <s v="California"/>
    <s v="San Diego County"/>
    <x v="3"/>
    <x v="1"/>
    <s v="January"/>
    <x v="2"/>
  </r>
  <r>
    <s v="TX500189"/>
    <x v="8"/>
    <x v="2"/>
    <n v="23.6"/>
    <n v="70.800000000000011"/>
    <x v="7"/>
    <d v="2025-01-09T00:00:00"/>
    <x v="1"/>
    <x v="0"/>
    <x v="2"/>
    <s v="California"/>
    <s v="San Diego County"/>
    <x v="3"/>
    <x v="1"/>
    <s v="January"/>
    <x v="1"/>
  </r>
  <r>
    <s v="TX500190"/>
    <x v="12"/>
    <x v="11"/>
    <n v="104"/>
    <n v="936"/>
    <x v="7"/>
    <d v="2025-01-10T00:00:00"/>
    <x v="2"/>
    <x v="2"/>
    <x v="2"/>
    <s v="California"/>
    <s v="San Francisco"/>
    <x v="1"/>
    <x v="1"/>
    <s v="January"/>
    <x v="2"/>
  </r>
  <r>
    <s v="TX500191"/>
    <x v="6"/>
    <x v="1"/>
    <n v="51.8"/>
    <n v="103.6"/>
    <x v="7"/>
    <d v="2025-01-12T00:00:00"/>
    <x v="0"/>
    <x v="0"/>
    <x v="2"/>
    <s v="California"/>
    <s v="Santa Barbara County"/>
    <x v="5"/>
    <x v="1"/>
    <s v="January"/>
    <x v="0"/>
  </r>
  <r>
    <s v="TX500192"/>
    <x v="10"/>
    <x v="9"/>
    <n v="34.5"/>
    <n v="172.5"/>
    <x v="7"/>
    <d v="2025-01-10T00:00:00"/>
    <x v="0"/>
    <x v="2"/>
    <x v="2"/>
    <s v="California"/>
    <s v="Santa Clara County"/>
    <x v="1"/>
    <x v="1"/>
    <s v="January"/>
    <x v="0"/>
  </r>
  <r>
    <s v="TX500193"/>
    <x v="6"/>
    <x v="1"/>
    <n v="51.8"/>
    <n v="103.6"/>
    <x v="7"/>
    <d v="2025-01-10T00:00:00"/>
    <x v="1"/>
    <x v="1"/>
    <x v="2"/>
    <s v="California"/>
    <s v="Siskiyou County"/>
    <x v="1"/>
    <x v="1"/>
    <s v="January"/>
    <x v="1"/>
  </r>
  <r>
    <s v="TX500194"/>
    <x v="18"/>
    <x v="23"/>
    <n v="131.5"/>
    <n v="5654.5"/>
    <x v="7"/>
    <d v="2025-01-09T00:00:00"/>
    <x v="2"/>
    <x v="0"/>
    <x v="2"/>
    <s v="California"/>
    <s v="Sonoma County"/>
    <x v="3"/>
    <x v="1"/>
    <s v="January"/>
    <x v="2"/>
  </r>
  <r>
    <s v="TX500195"/>
    <x v="8"/>
    <x v="3"/>
    <n v="47.8"/>
    <n v="334.59999999999997"/>
    <x v="7"/>
    <d v="2025-01-08T00:00:00"/>
    <x v="2"/>
    <x v="0"/>
    <x v="0"/>
    <s v="California"/>
    <s v="Stanislaus County"/>
    <x v="7"/>
    <x v="1"/>
    <s v="January"/>
    <x v="2"/>
  </r>
  <r>
    <s v="TX500196"/>
    <x v="0"/>
    <x v="1"/>
    <n v="10.199999999999999"/>
    <n v="20.399999999999999"/>
    <x v="7"/>
    <d v="2025-01-10T00:00:00"/>
    <x v="2"/>
    <x v="0"/>
    <x v="0"/>
    <s v="California"/>
    <s v="Stanislaus County"/>
    <x v="1"/>
    <x v="1"/>
    <s v="January"/>
    <x v="2"/>
  </r>
  <r>
    <s v="TX500197"/>
    <x v="8"/>
    <x v="8"/>
    <n v="41"/>
    <n v="328"/>
    <x v="7"/>
    <d v="2025-01-08T00:00:00"/>
    <x v="2"/>
    <x v="1"/>
    <x v="2"/>
    <s v="California"/>
    <s v="Stanislaus County"/>
    <x v="7"/>
    <x v="1"/>
    <s v="January"/>
    <x v="2"/>
  </r>
  <r>
    <s v="TX500198"/>
    <x v="10"/>
    <x v="3"/>
    <n v="50.8"/>
    <n v="355.59999999999997"/>
    <x v="7"/>
    <d v="2025-01-11T00:00:00"/>
    <x v="2"/>
    <x v="1"/>
    <x v="0"/>
    <s v="California"/>
    <s v="Alameda County"/>
    <x v="2"/>
    <x v="1"/>
    <s v="January"/>
    <x v="2"/>
  </r>
  <r>
    <s v="TX500199"/>
    <x v="18"/>
    <x v="2"/>
    <n v="39.6"/>
    <n v="118.80000000000001"/>
    <x v="7"/>
    <d v="2025-01-09T00:00:00"/>
    <x v="1"/>
    <x v="2"/>
    <x v="2"/>
    <s v="California"/>
    <s v="Contra Costa County"/>
    <x v="3"/>
    <x v="1"/>
    <s v="January"/>
    <x v="1"/>
  </r>
  <r>
    <s v="TX500200"/>
    <x v="5"/>
    <x v="1"/>
    <n v="69.5"/>
    <n v="139"/>
    <x v="7"/>
    <d v="2025-01-10T00:00:00"/>
    <x v="1"/>
    <x v="0"/>
    <x v="2"/>
    <s v="California"/>
    <s v="Fresno County"/>
    <x v="1"/>
    <x v="1"/>
    <s v="January"/>
    <x v="1"/>
  </r>
  <r>
    <s v="TX500201"/>
    <x v="8"/>
    <x v="8"/>
    <n v="32.6"/>
    <n v="260.8"/>
    <x v="7"/>
    <d v="2025-01-11T00:00:00"/>
    <x v="1"/>
    <x v="1"/>
    <x v="0"/>
    <s v="California"/>
    <s v="Los Angeles County"/>
    <x v="2"/>
    <x v="1"/>
    <s v="January"/>
    <x v="1"/>
  </r>
  <r>
    <s v="TX500202"/>
    <x v="7"/>
    <x v="1"/>
    <n v="49.1"/>
    <n v="98.2"/>
    <x v="7"/>
    <d v="2025-01-16T00:00:00"/>
    <x v="1"/>
    <x v="3"/>
    <x v="2"/>
    <s v="California"/>
    <s v="Los Angeles County"/>
    <x v="9"/>
    <x v="1"/>
    <s v="January"/>
    <x v="1"/>
  </r>
  <r>
    <s v="TX500203"/>
    <x v="6"/>
    <x v="1"/>
    <n v="49.4"/>
    <n v="98.8"/>
    <x v="8"/>
    <d v="2025-01-10T00:00:00"/>
    <x v="2"/>
    <x v="2"/>
    <x v="0"/>
    <s v="California"/>
    <s v="Los Angeles County"/>
    <x v="3"/>
    <x v="1"/>
    <s v="January"/>
    <x v="2"/>
  </r>
  <r>
    <s v="TX500204"/>
    <x v="7"/>
    <x v="3"/>
    <n v="65.099999999999994"/>
    <n v="455.69999999999993"/>
    <x v="8"/>
    <d v="2025-01-12T00:00:00"/>
    <x v="2"/>
    <x v="2"/>
    <x v="2"/>
    <s v="California"/>
    <s v="Los Angeles County"/>
    <x v="2"/>
    <x v="1"/>
    <s v="January"/>
    <x v="2"/>
  </r>
  <r>
    <s v="TX500205"/>
    <x v="3"/>
    <x v="1"/>
    <n v="52.1"/>
    <n v="104.2"/>
    <x v="8"/>
    <d v="2025-01-13T00:00:00"/>
    <x v="2"/>
    <x v="2"/>
    <x v="0"/>
    <s v="California"/>
    <s v="Los Angeles County"/>
    <x v="5"/>
    <x v="1"/>
    <s v="January"/>
    <x v="2"/>
  </r>
  <r>
    <s v="TX500206"/>
    <x v="2"/>
    <x v="12"/>
    <n v="129.19999999999999"/>
    <n v="516.79999999999995"/>
    <x v="8"/>
    <d v="2025-01-10T00:00:00"/>
    <x v="2"/>
    <x v="1"/>
    <x v="0"/>
    <s v="California"/>
    <s v="Los Angeles County"/>
    <x v="3"/>
    <x v="1"/>
    <s v="January"/>
    <x v="2"/>
  </r>
  <r>
    <s v="TX500207"/>
    <x v="1"/>
    <x v="10"/>
    <n v="81.8"/>
    <n v="1554.2"/>
    <x v="8"/>
    <d v="2025-01-09T00:00:00"/>
    <x v="2"/>
    <x v="1"/>
    <x v="1"/>
    <s v="California"/>
    <s v="Los Angeles County"/>
    <x v="7"/>
    <x v="1"/>
    <s v="January"/>
    <x v="2"/>
  </r>
  <r>
    <s v="TX500208"/>
    <x v="17"/>
    <x v="0"/>
    <n v="24.9"/>
    <n v="24.9"/>
    <x v="8"/>
    <d v="2025-01-13T00:00:00"/>
    <x v="2"/>
    <x v="1"/>
    <x v="0"/>
    <s v="California"/>
    <s v="Los Angeles County"/>
    <x v="5"/>
    <x v="1"/>
    <s v="January"/>
    <x v="2"/>
  </r>
  <r>
    <s v="TX500209"/>
    <x v="0"/>
    <x v="2"/>
    <n v="49.4"/>
    <n v="148.19999999999999"/>
    <x v="8"/>
    <d v="2025-01-12T00:00:00"/>
    <x v="2"/>
    <x v="4"/>
    <x v="4"/>
    <s v="California"/>
    <s v="Los Angeles County"/>
    <x v="2"/>
    <x v="1"/>
    <s v="January"/>
    <x v="2"/>
  </r>
  <r>
    <s v="TX500210"/>
    <x v="8"/>
    <x v="1"/>
    <n v="22.7"/>
    <n v="45.4"/>
    <x v="8"/>
    <d v="2025-01-10T00:00:00"/>
    <x v="1"/>
    <x v="3"/>
    <x v="2"/>
    <s v="California"/>
    <s v="Los Angeles County"/>
    <x v="3"/>
    <x v="1"/>
    <s v="January"/>
    <x v="1"/>
  </r>
  <r>
    <s v="TX500211"/>
    <x v="1"/>
    <x v="0"/>
    <n v="77.3"/>
    <n v="77.3"/>
    <x v="8"/>
    <d v="2025-01-09T00:00:00"/>
    <x v="2"/>
    <x v="0"/>
    <x v="2"/>
    <s v="California"/>
    <s v="Sacramento County"/>
    <x v="7"/>
    <x v="1"/>
    <s v="January"/>
    <x v="2"/>
  </r>
  <r>
    <s v="TX500212"/>
    <x v="1"/>
    <x v="9"/>
    <n v="109.1"/>
    <n v="545.5"/>
    <x v="8"/>
    <d v="2025-01-12T00:00:00"/>
    <x v="2"/>
    <x v="0"/>
    <x v="0"/>
    <s v="California"/>
    <s v="Sacramento County"/>
    <x v="2"/>
    <x v="1"/>
    <s v="January"/>
    <x v="2"/>
  </r>
  <r>
    <s v="TX500213"/>
    <x v="2"/>
    <x v="12"/>
    <n v="53.9"/>
    <n v="215.6"/>
    <x v="8"/>
    <d v="2025-01-10T00:00:00"/>
    <x v="1"/>
    <x v="0"/>
    <x v="1"/>
    <s v="California"/>
    <s v="San Diego County"/>
    <x v="3"/>
    <x v="1"/>
    <s v="January"/>
    <x v="1"/>
  </r>
  <r>
    <s v="TX500214"/>
    <x v="9"/>
    <x v="18"/>
    <n v="21.2"/>
    <n v="551.19999999999993"/>
    <x v="8"/>
    <d v="2025-01-09T00:00:00"/>
    <x v="2"/>
    <x v="0"/>
    <x v="0"/>
    <s v="California"/>
    <s v="San Mateo County"/>
    <x v="7"/>
    <x v="1"/>
    <s v="January"/>
    <x v="2"/>
  </r>
  <r>
    <s v="TX500215"/>
    <x v="16"/>
    <x v="12"/>
    <n v="69"/>
    <n v="276"/>
    <x v="8"/>
    <d v="2025-01-11T00:00:00"/>
    <x v="2"/>
    <x v="1"/>
    <x v="1"/>
    <s v="California"/>
    <s v="Sonoma County"/>
    <x v="1"/>
    <x v="1"/>
    <s v="January"/>
    <x v="2"/>
  </r>
  <r>
    <s v="TX500216"/>
    <x v="6"/>
    <x v="2"/>
    <n v="46.2"/>
    <n v="138.60000000000002"/>
    <x v="8"/>
    <d v="2025-01-11T00:00:00"/>
    <x v="2"/>
    <x v="0"/>
    <x v="2"/>
    <s v="California"/>
    <s v="Sutter County"/>
    <x v="1"/>
    <x v="1"/>
    <s v="January"/>
    <x v="2"/>
  </r>
  <r>
    <s v="TX500217"/>
    <x v="1"/>
    <x v="9"/>
    <n v="97.4"/>
    <n v="487"/>
    <x v="8"/>
    <d v="2025-01-13T00:00:00"/>
    <x v="2"/>
    <x v="4"/>
    <x v="2"/>
    <s v="California"/>
    <s v="Alameda County"/>
    <x v="5"/>
    <x v="1"/>
    <s v="January"/>
    <x v="2"/>
  </r>
  <r>
    <s v="TX500218"/>
    <x v="8"/>
    <x v="9"/>
    <n v="21"/>
    <n v="105"/>
    <x v="8"/>
    <d v="2025-01-10T00:00:00"/>
    <x v="1"/>
    <x v="0"/>
    <x v="1"/>
    <s v="California"/>
    <s v="Alameda County"/>
    <x v="3"/>
    <x v="1"/>
    <s v="January"/>
    <x v="1"/>
  </r>
  <r>
    <s v="TX500219"/>
    <x v="5"/>
    <x v="1"/>
    <n v="32.700000000000003"/>
    <n v="65.400000000000006"/>
    <x v="9"/>
    <d v="2025-01-13T00:00:00"/>
    <x v="2"/>
    <x v="1"/>
    <x v="0"/>
    <s v="California"/>
    <s v="Fresno County"/>
    <x v="2"/>
    <x v="1"/>
    <s v="January"/>
    <x v="2"/>
  </r>
  <r>
    <s v="TX500220"/>
    <x v="6"/>
    <x v="12"/>
    <n v="48"/>
    <n v="192"/>
    <x v="9"/>
    <d v="2025-01-11T00:00:00"/>
    <x v="1"/>
    <x v="3"/>
    <x v="0"/>
    <s v="California"/>
    <s v="Los Angeles County"/>
    <x v="3"/>
    <x v="1"/>
    <s v="January"/>
    <x v="1"/>
  </r>
  <r>
    <s v="TX500221"/>
    <x v="6"/>
    <x v="2"/>
    <n v="68.2"/>
    <n v="204.60000000000002"/>
    <x v="9"/>
    <d v="2025-01-14T00:00:00"/>
    <x v="0"/>
    <x v="0"/>
    <x v="2"/>
    <s v="California"/>
    <s v="Los Angeles County"/>
    <x v="5"/>
    <x v="1"/>
    <s v="January"/>
    <x v="0"/>
  </r>
  <r>
    <s v="TX500222"/>
    <x v="5"/>
    <x v="0"/>
    <n v="45.4"/>
    <n v="45.4"/>
    <x v="9"/>
    <d v="2025-01-12T00:00:00"/>
    <x v="1"/>
    <x v="1"/>
    <x v="0"/>
    <s v="California"/>
    <s v="Los Angeles County"/>
    <x v="1"/>
    <x v="1"/>
    <s v="January"/>
    <x v="1"/>
  </r>
  <r>
    <s v="TX500223"/>
    <x v="12"/>
    <x v="1"/>
    <n v="53.9"/>
    <n v="107.8"/>
    <x v="9"/>
    <d v="2025-01-11T00:00:00"/>
    <x v="2"/>
    <x v="2"/>
    <x v="0"/>
    <s v="California"/>
    <s v="Los Angeles County"/>
    <x v="3"/>
    <x v="1"/>
    <s v="January"/>
    <x v="2"/>
  </r>
  <r>
    <s v="TX500224"/>
    <x v="2"/>
    <x v="12"/>
    <n v="62.1"/>
    <n v="248.4"/>
    <x v="9"/>
    <d v="2025-01-14T00:00:00"/>
    <x v="2"/>
    <x v="0"/>
    <x v="0"/>
    <s v="California"/>
    <s v="Nevada County"/>
    <x v="5"/>
    <x v="1"/>
    <s v="January"/>
    <x v="2"/>
  </r>
  <r>
    <s v="TX500225"/>
    <x v="13"/>
    <x v="3"/>
    <n v="33.1"/>
    <n v="231.70000000000002"/>
    <x v="9"/>
    <d v="2025-01-15T00:00:00"/>
    <x v="1"/>
    <x v="1"/>
    <x v="0"/>
    <s v="California"/>
    <s v="Sacramento County"/>
    <x v="0"/>
    <x v="1"/>
    <s v="January"/>
    <x v="1"/>
  </r>
  <r>
    <s v="TX500226"/>
    <x v="18"/>
    <x v="9"/>
    <n v="35.200000000000003"/>
    <n v="176"/>
    <x v="9"/>
    <d v="2025-01-10T00:00:00"/>
    <x v="2"/>
    <x v="1"/>
    <x v="0"/>
    <s v="California"/>
    <s v="Sacramento County"/>
    <x v="7"/>
    <x v="1"/>
    <s v="January"/>
    <x v="2"/>
  </r>
  <r>
    <s v="TX500227"/>
    <x v="9"/>
    <x v="2"/>
    <n v="32.1"/>
    <n v="96.300000000000011"/>
    <x v="9"/>
    <d v="2025-01-15T00:00:00"/>
    <x v="1"/>
    <x v="3"/>
    <x v="0"/>
    <s v="California"/>
    <s v="San Diego County"/>
    <x v="0"/>
    <x v="1"/>
    <s v="January"/>
    <x v="1"/>
  </r>
  <r>
    <s v="TX500228"/>
    <x v="11"/>
    <x v="0"/>
    <n v="38.1"/>
    <n v="38.1"/>
    <x v="9"/>
    <d v="2025-01-15T00:00:00"/>
    <x v="2"/>
    <x v="0"/>
    <x v="2"/>
    <s v="California"/>
    <s v="San Diego County"/>
    <x v="0"/>
    <x v="1"/>
    <s v="January"/>
    <x v="2"/>
  </r>
  <r>
    <s v="TX500229"/>
    <x v="8"/>
    <x v="0"/>
    <n v="65.2"/>
    <n v="65.2"/>
    <x v="9"/>
    <d v="2025-01-15T00:00:00"/>
    <x v="2"/>
    <x v="3"/>
    <x v="1"/>
    <s v="California"/>
    <s v="San Diego County"/>
    <x v="0"/>
    <x v="1"/>
    <s v="January"/>
    <x v="2"/>
  </r>
  <r>
    <s v="TX500230"/>
    <x v="10"/>
    <x v="3"/>
    <n v="55.2"/>
    <n v="386.40000000000003"/>
    <x v="9"/>
    <d v="2025-01-11T00:00:00"/>
    <x v="1"/>
    <x v="2"/>
    <x v="0"/>
    <s v="California"/>
    <s v="Santa Clara County"/>
    <x v="3"/>
    <x v="1"/>
    <s v="January"/>
    <x v="1"/>
  </r>
  <r>
    <s v="TX500231"/>
    <x v="6"/>
    <x v="0"/>
    <n v="62"/>
    <n v="62"/>
    <x v="9"/>
    <d v="2025-01-14T00:00:00"/>
    <x v="2"/>
    <x v="0"/>
    <x v="0"/>
    <s v="California"/>
    <s v="Santa Clara County"/>
    <x v="5"/>
    <x v="1"/>
    <s v="January"/>
    <x v="2"/>
  </r>
  <r>
    <s v="TX500232"/>
    <x v="7"/>
    <x v="2"/>
    <n v="45.9"/>
    <n v="137.69999999999999"/>
    <x v="9"/>
    <d v="2025-01-11T00:00:00"/>
    <x v="2"/>
    <x v="2"/>
    <x v="0"/>
    <s v="California"/>
    <s v="Santa Cruz County"/>
    <x v="3"/>
    <x v="1"/>
    <s v="January"/>
    <x v="2"/>
  </r>
  <r>
    <s v="TX500233"/>
    <x v="18"/>
    <x v="2"/>
    <n v="58.3"/>
    <n v="174.89999999999998"/>
    <x v="9"/>
    <d v="2025-01-10T00:00:00"/>
    <x v="1"/>
    <x v="1"/>
    <x v="1"/>
    <s v="California"/>
    <s v="Sonoma County"/>
    <x v="7"/>
    <x v="1"/>
    <s v="January"/>
    <x v="1"/>
  </r>
  <r>
    <s v="TX500234"/>
    <x v="8"/>
    <x v="1"/>
    <n v="22.3"/>
    <n v="44.6"/>
    <x v="9"/>
    <d v="2025-01-13T00:00:00"/>
    <x v="2"/>
    <x v="0"/>
    <x v="2"/>
    <s v="California"/>
    <s v="Tulare County"/>
    <x v="2"/>
    <x v="1"/>
    <s v="January"/>
    <x v="2"/>
  </r>
  <r>
    <s v="TX500235"/>
    <x v="19"/>
    <x v="9"/>
    <n v="24"/>
    <n v="120"/>
    <x v="9"/>
    <d v="2025-01-11T00:00:00"/>
    <x v="1"/>
    <x v="4"/>
    <x v="0"/>
    <s v="California"/>
    <s v="Contra Costa County"/>
    <x v="3"/>
    <x v="1"/>
    <s v="January"/>
    <x v="1"/>
  </r>
  <r>
    <s v="TX500236"/>
    <x v="0"/>
    <x v="7"/>
    <n v="21.3"/>
    <n v="213"/>
    <x v="9"/>
    <d v="2025-01-10T00:00:00"/>
    <x v="2"/>
    <x v="1"/>
    <x v="2"/>
    <s v="California"/>
    <s v="Kern County"/>
    <x v="7"/>
    <x v="1"/>
    <s v="January"/>
    <x v="2"/>
  </r>
  <r>
    <s v="TX500237"/>
    <x v="6"/>
    <x v="24"/>
    <n v="57.8"/>
    <n v="2369.7999999999997"/>
    <x v="9"/>
    <d v="2025-01-12T00:00:00"/>
    <x v="2"/>
    <x v="0"/>
    <x v="2"/>
    <s v="California"/>
    <s v="Los Angeles County"/>
    <x v="1"/>
    <x v="1"/>
    <s v="January"/>
    <x v="2"/>
  </r>
  <r>
    <s v="TX500238"/>
    <x v="10"/>
    <x v="2"/>
    <n v="67.599999999999994"/>
    <n v="202.79999999999998"/>
    <x v="9"/>
    <d v="2025-01-11T00:00:00"/>
    <x v="2"/>
    <x v="0"/>
    <x v="0"/>
    <s v="California"/>
    <s v="Los Angeles County"/>
    <x v="3"/>
    <x v="1"/>
    <s v="January"/>
    <x v="2"/>
  </r>
  <r>
    <s v="TX500239"/>
    <x v="6"/>
    <x v="13"/>
    <n v="66.7"/>
    <n v="400.20000000000005"/>
    <x v="9"/>
    <d v="2025-01-14T00:00:00"/>
    <x v="1"/>
    <x v="4"/>
    <x v="1"/>
    <s v="California"/>
    <s v="Los Angeles County"/>
    <x v="5"/>
    <x v="1"/>
    <s v="January"/>
    <x v="1"/>
  </r>
  <r>
    <s v="TX500240"/>
    <x v="1"/>
    <x v="12"/>
    <n v="53.1"/>
    <n v="212.4"/>
    <x v="9"/>
    <d v="2025-01-12T00:00:00"/>
    <x v="2"/>
    <x v="1"/>
    <x v="0"/>
    <s v="California"/>
    <s v="Los Angeles County"/>
    <x v="1"/>
    <x v="1"/>
    <s v="January"/>
    <x v="2"/>
  </r>
  <r>
    <s v="TX500241"/>
    <x v="12"/>
    <x v="2"/>
    <n v="57.4"/>
    <n v="172.2"/>
    <x v="9"/>
    <d v="2025-01-13T00:00:00"/>
    <x v="2"/>
    <x v="0"/>
    <x v="2"/>
    <s v="California"/>
    <s v="Mendocino County"/>
    <x v="2"/>
    <x v="1"/>
    <s v="January"/>
    <x v="2"/>
  </r>
  <r>
    <s v="TX500242"/>
    <x v="2"/>
    <x v="9"/>
    <n v="58.1"/>
    <n v="290.5"/>
    <x v="9"/>
    <d v="2025-01-10T00:00:00"/>
    <x v="1"/>
    <x v="2"/>
    <x v="2"/>
    <s v="California"/>
    <s v="Sacramento County"/>
    <x v="7"/>
    <x v="1"/>
    <s v="January"/>
    <x v="1"/>
  </r>
  <r>
    <s v="TX500243"/>
    <x v="5"/>
    <x v="2"/>
    <n v="31.8"/>
    <n v="95.4"/>
    <x v="10"/>
    <d v="2025-01-13T00:00:00"/>
    <x v="1"/>
    <x v="3"/>
    <x v="0"/>
    <s v="California"/>
    <s v="Sacramento County"/>
    <x v="1"/>
    <x v="1"/>
    <s v="January"/>
    <x v="1"/>
  </r>
  <r>
    <s v="TX500244"/>
    <x v="4"/>
    <x v="2"/>
    <n v="31.5"/>
    <n v="94.5"/>
    <x v="10"/>
    <d v="2025-01-14T00:00:00"/>
    <x v="1"/>
    <x v="0"/>
    <x v="1"/>
    <s v="California"/>
    <s v="San Diego County"/>
    <x v="2"/>
    <x v="1"/>
    <s v="January"/>
    <x v="1"/>
  </r>
  <r>
    <s v="TX500245"/>
    <x v="6"/>
    <x v="3"/>
    <n v="55.9"/>
    <n v="391.3"/>
    <x v="10"/>
    <d v="2025-01-15T00:00:00"/>
    <x v="2"/>
    <x v="1"/>
    <x v="2"/>
    <s v="California"/>
    <s v="San Diego County"/>
    <x v="5"/>
    <x v="1"/>
    <s v="January"/>
    <x v="2"/>
  </r>
  <r>
    <s v="TX500246"/>
    <x v="8"/>
    <x v="1"/>
    <n v="36.4"/>
    <n v="72.8"/>
    <x v="10"/>
    <d v="2025-01-12T00:00:00"/>
    <x v="1"/>
    <x v="1"/>
    <x v="1"/>
    <s v="California"/>
    <s v="San Mateo County"/>
    <x v="3"/>
    <x v="1"/>
    <s v="January"/>
    <x v="1"/>
  </r>
  <r>
    <s v="TX500247"/>
    <x v="1"/>
    <x v="9"/>
    <n v="47.3"/>
    <n v="236.5"/>
    <x v="10"/>
    <d v="2025-01-14T00:00:00"/>
    <x v="1"/>
    <x v="2"/>
    <x v="0"/>
    <s v="California"/>
    <s v="Santa Barbara County"/>
    <x v="2"/>
    <x v="1"/>
    <s v="January"/>
    <x v="1"/>
  </r>
  <r>
    <s v="TX500248"/>
    <x v="6"/>
    <x v="2"/>
    <n v="82.5"/>
    <n v="247.5"/>
    <x v="10"/>
    <d v="2025-01-12T00:00:00"/>
    <x v="1"/>
    <x v="0"/>
    <x v="0"/>
    <s v="California"/>
    <s v="Santa Clara County"/>
    <x v="3"/>
    <x v="1"/>
    <s v="January"/>
    <x v="1"/>
  </r>
  <r>
    <s v="TX500249"/>
    <x v="0"/>
    <x v="0"/>
    <n v="14.3"/>
    <n v="14.3"/>
    <x v="10"/>
    <d v="2025-01-12T00:00:00"/>
    <x v="2"/>
    <x v="0"/>
    <x v="0"/>
    <s v="California"/>
    <s v="Alameda County"/>
    <x v="3"/>
    <x v="1"/>
    <s v="January"/>
    <x v="2"/>
  </r>
  <r>
    <s v="TX500250"/>
    <x v="2"/>
    <x v="13"/>
    <n v="57.6"/>
    <n v="345.6"/>
    <x v="10"/>
    <d v="2025-01-25T00:00:00"/>
    <x v="2"/>
    <x v="0"/>
    <x v="0"/>
    <s v="California"/>
    <s v="Alameda County"/>
    <x v="12"/>
    <x v="1"/>
    <s v="January"/>
    <x v="2"/>
  </r>
  <r>
    <s v="TX500251"/>
    <x v="2"/>
    <x v="2"/>
    <n v="142.4"/>
    <n v="427.20000000000005"/>
    <x v="10"/>
    <d v="2025-01-13T00:00:00"/>
    <x v="1"/>
    <x v="4"/>
    <x v="1"/>
    <s v="California"/>
    <s v="Alameda County"/>
    <x v="1"/>
    <x v="1"/>
    <s v="January"/>
    <x v="1"/>
  </r>
  <r>
    <s v="TX500252"/>
    <x v="12"/>
    <x v="0"/>
    <n v="30.2"/>
    <n v="30.2"/>
    <x v="10"/>
    <d v="2025-01-15T00:00:00"/>
    <x v="1"/>
    <x v="1"/>
    <x v="2"/>
    <s v="California"/>
    <s v="Fresno County"/>
    <x v="5"/>
    <x v="1"/>
    <s v="January"/>
    <x v="1"/>
  </r>
  <r>
    <s v="TX500253"/>
    <x v="18"/>
    <x v="2"/>
    <n v="65.3"/>
    <n v="195.89999999999998"/>
    <x v="10"/>
    <d v="2025-01-12T00:00:00"/>
    <x v="3"/>
    <x v="1"/>
    <x v="0"/>
    <s v="California"/>
    <s v="Imperial County"/>
    <x v="3"/>
    <x v="1"/>
    <s v="January"/>
    <x v="3"/>
  </r>
  <r>
    <s v="TX500254"/>
    <x v="0"/>
    <x v="1"/>
    <n v="33.4"/>
    <n v="66.8"/>
    <x v="10"/>
    <d v="2025-01-12T00:00:00"/>
    <x v="1"/>
    <x v="1"/>
    <x v="1"/>
    <s v="California"/>
    <s v="Kern County"/>
    <x v="3"/>
    <x v="1"/>
    <s v="January"/>
    <x v="1"/>
  </r>
  <r>
    <s v="TX500255"/>
    <x v="7"/>
    <x v="1"/>
    <n v="45.1"/>
    <n v="90.2"/>
    <x v="10"/>
    <d v="2025-01-19T00:00:00"/>
    <x v="1"/>
    <x v="0"/>
    <x v="0"/>
    <s v="California"/>
    <s v="Kings County"/>
    <x v="9"/>
    <x v="1"/>
    <s v="January"/>
    <x v="1"/>
  </r>
  <r>
    <s v="TX500256"/>
    <x v="2"/>
    <x v="3"/>
    <n v="61.7"/>
    <n v="431.90000000000003"/>
    <x v="10"/>
    <d v="2025-01-13T00:00:00"/>
    <x v="2"/>
    <x v="4"/>
    <x v="0"/>
    <s v="California"/>
    <s v="Los Angeles County"/>
    <x v="1"/>
    <x v="1"/>
    <s v="January"/>
    <x v="2"/>
  </r>
  <r>
    <s v="TX500257"/>
    <x v="9"/>
    <x v="2"/>
    <n v="45.1"/>
    <n v="135.30000000000001"/>
    <x v="11"/>
    <d v="2025-01-13T00:00:00"/>
    <x v="1"/>
    <x v="4"/>
    <x v="1"/>
    <s v="California"/>
    <s v="Los Angeles County"/>
    <x v="3"/>
    <x v="2"/>
    <s v="January"/>
    <x v="1"/>
  </r>
  <r>
    <s v="TX500258"/>
    <x v="15"/>
    <x v="9"/>
    <n v="22.7"/>
    <n v="113.5"/>
    <x v="11"/>
    <d v="2025-01-17T00:00:00"/>
    <x v="1"/>
    <x v="0"/>
    <x v="2"/>
    <s v="California"/>
    <s v="Plumas County"/>
    <x v="0"/>
    <x v="2"/>
    <s v="January"/>
    <x v="1"/>
  </r>
  <r>
    <s v="TX500259"/>
    <x v="8"/>
    <x v="0"/>
    <n v="17.600000000000001"/>
    <n v="17.600000000000001"/>
    <x v="11"/>
    <d v="2025-01-13T00:00:00"/>
    <x v="2"/>
    <x v="0"/>
    <x v="2"/>
    <s v="California"/>
    <s v="Riverside County"/>
    <x v="3"/>
    <x v="2"/>
    <s v="January"/>
    <x v="2"/>
  </r>
  <r>
    <s v="TX500260"/>
    <x v="14"/>
    <x v="1"/>
    <n v="11.3"/>
    <n v="22.6"/>
    <x v="11"/>
    <d v="2025-01-15T00:00:00"/>
    <x v="2"/>
    <x v="3"/>
    <x v="2"/>
    <s v="California"/>
    <s v="Riverside County"/>
    <x v="2"/>
    <x v="2"/>
    <s v="January"/>
    <x v="2"/>
  </r>
  <r>
    <s v="TX500261"/>
    <x v="6"/>
    <x v="2"/>
    <n v="53.4"/>
    <n v="160.19999999999999"/>
    <x v="11"/>
    <d v="2025-01-15T00:00:00"/>
    <x v="1"/>
    <x v="3"/>
    <x v="2"/>
    <s v="California"/>
    <s v="San Benito County"/>
    <x v="2"/>
    <x v="2"/>
    <s v="January"/>
    <x v="1"/>
  </r>
  <r>
    <s v="TX500262"/>
    <x v="6"/>
    <x v="5"/>
    <n v="51.1"/>
    <n v="562.1"/>
    <x v="11"/>
    <d v="2025-01-14T00:00:00"/>
    <x v="2"/>
    <x v="2"/>
    <x v="2"/>
    <s v="California"/>
    <s v="San Diego County"/>
    <x v="1"/>
    <x v="2"/>
    <s v="January"/>
    <x v="2"/>
  </r>
  <r>
    <s v="TX500263"/>
    <x v="8"/>
    <x v="1"/>
    <n v="27.5"/>
    <n v="55"/>
    <x v="11"/>
    <d v="2025-01-13T00:00:00"/>
    <x v="1"/>
    <x v="4"/>
    <x v="1"/>
    <s v="California"/>
    <s v="San Diego County"/>
    <x v="3"/>
    <x v="2"/>
    <s v="January"/>
    <x v="1"/>
  </r>
  <r>
    <s v="TX500264"/>
    <x v="9"/>
    <x v="0"/>
    <n v="33.5"/>
    <n v="33.5"/>
    <x v="11"/>
    <d v="2025-01-14T00:00:00"/>
    <x v="2"/>
    <x v="0"/>
    <x v="4"/>
    <s v="California"/>
    <s v="San Diego County"/>
    <x v="1"/>
    <x v="2"/>
    <s v="January"/>
    <x v="2"/>
  </r>
  <r>
    <s v="TX500265"/>
    <x v="4"/>
    <x v="0"/>
    <n v="59.5"/>
    <n v="59.5"/>
    <x v="11"/>
    <d v="2025-01-12T00:00:00"/>
    <x v="1"/>
    <x v="0"/>
    <x v="2"/>
    <s v="California"/>
    <s v="Sonoma County"/>
    <x v="7"/>
    <x v="2"/>
    <s v="January"/>
    <x v="1"/>
  </r>
  <r>
    <s v="TX500266"/>
    <x v="17"/>
    <x v="12"/>
    <n v="23.5"/>
    <n v="94"/>
    <x v="11"/>
    <d v="2025-01-13T00:00:00"/>
    <x v="2"/>
    <x v="3"/>
    <x v="3"/>
    <s v="California"/>
    <s v="Stanislaus County"/>
    <x v="3"/>
    <x v="2"/>
    <s v="January"/>
    <x v="2"/>
  </r>
  <r>
    <s v="TX500267"/>
    <x v="6"/>
    <x v="0"/>
    <n v="49.7"/>
    <n v="49.7"/>
    <x v="11"/>
    <d v="2025-01-13T00:00:00"/>
    <x v="0"/>
    <x v="1"/>
    <x v="2"/>
    <s v="California"/>
    <s v="Tulare County"/>
    <x v="3"/>
    <x v="2"/>
    <s v="January"/>
    <x v="0"/>
  </r>
  <r>
    <s v="TX500268"/>
    <x v="6"/>
    <x v="12"/>
    <n v="44.2"/>
    <n v="176.8"/>
    <x v="11"/>
    <d v="2025-01-15T00:00:00"/>
    <x v="2"/>
    <x v="0"/>
    <x v="2"/>
    <s v="California"/>
    <s v="Alameda County"/>
    <x v="2"/>
    <x v="2"/>
    <s v="January"/>
    <x v="2"/>
  </r>
  <r>
    <s v="TX500269"/>
    <x v="8"/>
    <x v="0"/>
    <n v="22.1"/>
    <n v="22.1"/>
    <x v="11"/>
    <d v="2025-01-16T00:00:00"/>
    <x v="2"/>
    <x v="1"/>
    <x v="1"/>
    <s v="California"/>
    <s v="Imperial County"/>
    <x v="5"/>
    <x v="2"/>
    <s v="January"/>
    <x v="2"/>
  </r>
  <r>
    <s v="TX500270"/>
    <x v="6"/>
    <x v="2"/>
    <n v="90.9"/>
    <n v="272.70000000000005"/>
    <x v="11"/>
    <d v="2025-01-13T00:00:00"/>
    <x v="2"/>
    <x v="2"/>
    <x v="4"/>
    <s v="California"/>
    <s v="Los Angeles County"/>
    <x v="3"/>
    <x v="2"/>
    <s v="January"/>
    <x v="2"/>
  </r>
  <r>
    <s v="TX500271"/>
    <x v="8"/>
    <x v="2"/>
    <n v="44.5"/>
    <n v="133.5"/>
    <x v="11"/>
    <d v="2025-01-13T00:00:00"/>
    <x v="2"/>
    <x v="1"/>
    <x v="0"/>
    <s v="California"/>
    <s v="Los Angeles County"/>
    <x v="3"/>
    <x v="2"/>
    <s v="January"/>
    <x v="2"/>
  </r>
  <r>
    <s v="TX500272"/>
    <x v="9"/>
    <x v="13"/>
    <n v="32.299999999999997"/>
    <n v="193.79999999999998"/>
    <x v="11"/>
    <d v="2025-01-16T00:00:00"/>
    <x v="2"/>
    <x v="0"/>
    <x v="0"/>
    <s v="California"/>
    <s v="Los Angeles County"/>
    <x v="5"/>
    <x v="2"/>
    <s v="January"/>
    <x v="2"/>
  </r>
  <r>
    <s v="TX500273"/>
    <x v="17"/>
    <x v="2"/>
    <n v="87.5"/>
    <n v="262.5"/>
    <x v="11"/>
    <d v="2025-01-13T00:00:00"/>
    <x v="2"/>
    <x v="1"/>
    <x v="1"/>
    <s v="California"/>
    <s v="Los Angeles County"/>
    <x v="3"/>
    <x v="2"/>
    <s v="January"/>
    <x v="2"/>
  </r>
  <r>
    <s v="TX500274"/>
    <x v="16"/>
    <x v="9"/>
    <n v="48.7"/>
    <n v="243.5"/>
    <x v="11"/>
    <d v="2025-01-13T00:00:00"/>
    <x v="1"/>
    <x v="2"/>
    <x v="0"/>
    <s v="California"/>
    <s v="Los Angeles County"/>
    <x v="3"/>
    <x v="2"/>
    <s v="January"/>
    <x v="1"/>
  </r>
  <r>
    <s v="TX500275"/>
    <x v="0"/>
    <x v="9"/>
    <n v="22.5"/>
    <n v="112.5"/>
    <x v="11"/>
    <d v="2025-01-13T00:00:00"/>
    <x v="1"/>
    <x v="0"/>
    <x v="0"/>
    <s v="California"/>
    <s v="Los Angeles County"/>
    <x v="3"/>
    <x v="2"/>
    <s v="January"/>
    <x v="1"/>
  </r>
  <r>
    <s v="TX500276"/>
    <x v="1"/>
    <x v="8"/>
    <n v="65.900000000000006"/>
    <n v="527.20000000000005"/>
    <x v="11"/>
    <d v="2025-01-15T00:00:00"/>
    <x v="2"/>
    <x v="1"/>
    <x v="2"/>
    <s v="California"/>
    <s v="Los Angeles County"/>
    <x v="2"/>
    <x v="2"/>
    <s v="January"/>
    <x v="2"/>
  </r>
  <r>
    <s v="TX500277"/>
    <x v="6"/>
    <x v="9"/>
    <n v="41.9"/>
    <n v="209.5"/>
    <x v="11"/>
    <d v="2025-01-19T00:00:00"/>
    <x v="0"/>
    <x v="0"/>
    <x v="0"/>
    <s v="California"/>
    <s v="Los Angeles County"/>
    <x v="6"/>
    <x v="2"/>
    <s v="January"/>
    <x v="0"/>
  </r>
  <r>
    <s v="TX500278"/>
    <x v="1"/>
    <x v="9"/>
    <n v="67.5"/>
    <n v="337.5"/>
    <x v="11"/>
    <d v="2025-01-13T00:00:00"/>
    <x v="2"/>
    <x v="0"/>
    <x v="2"/>
    <s v="California"/>
    <s v="Los Angeles County"/>
    <x v="3"/>
    <x v="2"/>
    <s v="January"/>
    <x v="2"/>
  </r>
  <r>
    <s v="TX500279"/>
    <x v="9"/>
    <x v="0"/>
    <n v="60.4"/>
    <n v="60.4"/>
    <x v="12"/>
    <d v="2025-01-15T00:00:00"/>
    <x v="2"/>
    <x v="1"/>
    <x v="1"/>
    <s v="California"/>
    <s v="Los Angeles County"/>
    <x v="1"/>
    <x v="2"/>
    <s v="January"/>
    <x v="2"/>
  </r>
  <r>
    <s v="TX500280"/>
    <x v="1"/>
    <x v="3"/>
    <n v="30.4"/>
    <n v="212.79999999999998"/>
    <x v="12"/>
    <d v="2025-01-16T00:00:00"/>
    <x v="2"/>
    <x v="4"/>
    <x v="0"/>
    <s v="California"/>
    <s v="Los Angeles County"/>
    <x v="2"/>
    <x v="2"/>
    <s v="January"/>
    <x v="2"/>
  </r>
  <r>
    <s v="TX500281"/>
    <x v="14"/>
    <x v="1"/>
    <n v="24.5"/>
    <n v="49"/>
    <x v="12"/>
    <d v="2025-01-14T00:00:00"/>
    <x v="1"/>
    <x v="3"/>
    <x v="2"/>
    <s v="California"/>
    <s v="Los Angeles County"/>
    <x v="3"/>
    <x v="2"/>
    <s v="January"/>
    <x v="1"/>
  </r>
  <r>
    <s v="TX500282"/>
    <x v="2"/>
    <x v="2"/>
    <n v="105.9"/>
    <n v="317.70000000000005"/>
    <x v="12"/>
    <d v="2025-01-18T00:00:00"/>
    <x v="1"/>
    <x v="0"/>
    <x v="0"/>
    <s v="California"/>
    <s v="Madera County"/>
    <x v="0"/>
    <x v="2"/>
    <s v="January"/>
    <x v="1"/>
  </r>
  <r>
    <s v="TX500283"/>
    <x v="10"/>
    <x v="25"/>
    <n v="25.9"/>
    <n v="621.59999999999991"/>
    <x v="12"/>
    <d v="2025-01-14T00:00:00"/>
    <x v="2"/>
    <x v="4"/>
    <x v="0"/>
    <s v="California"/>
    <s v="Riverside County"/>
    <x v="3"/>
    <x v="2"/>
    <s v="January"/>
    <x v="2"/>
  </r>
  <r>
    <s v="TX500284"/>
    <x v="6"/>
    <x v="2"/>
    <n v="66.8"/>
    <n v="200.39999999999998"/>
    <x v="12"/>
    <d v="2025-01-13T00:00:00"/>
    <x v="1"/>
    <x v="0"/>
    <x v="0"/>
    <s v="California"/>
    <s v="Riverside County"/>
    <x v="7"/>
    <x v="2"/>
    <s v="January"/>
    <x v="1"/>
  </r>
  <r>
    <s v="TX500285"/>
    <x v="6"/>
    <x v="2"/>
    <n v="112.3"/>
    <n v="336.9"/>
    <x v="12"/>
    <d v="2025-01-14T00:00:00"/>
    <x v="1"/>
    <x v="2"/>
    <x v="4"/>
    <s v="California"/>
    <s v="Sacramento County"/>
    <x v="3"/>
    <x v="2"/>
    <s v="January"/>
    <x v="1"/>
  </r>
  <r>
    <s v="TX500286"/>
    <x v="1"/>
    <x v="13"/>
    <n v="94.1"/>
    <n v="564.59999999999991"/>
    <x v="12"/>
    <d v="2025-01-14T00:00:00"/>
    <x v="2"/>
    <x v="0"/>
    <x v="4"/>
    <s v="California"/>
    <s v="Sacramento County"/>
    <x v="3"/>
    <x v="2"/>
    <s v="January"/>
    <x v="2"/>
  </r>
  <r>
    <s v="TX500287"/>
    <x v="5"/>
    <x v="0"/>
    <n v="40.700000000000003"/>
    <n v="40.700000000000003"/>
    <x v="12"/>
    <d v="2025-01-16T00:00:00"/>
    <x v="2"/>
    <x v="2"/>
    <x v="0"/>
    <s v="California"/>
    <s v="Sacramento County"/>
    <x v="2"/>
    <x v="2"/>
    <s v="January"/>
    <x v="2"/>
  </r>
  <r>
    <s v="TX500288"/>
    <x v="3"/>
    <x v="1"/>
    <n v="71.400000000000006"/>
    <n v="142.80000000000001"/>
    <x v="12"/>
    <d v="2025-01-14T00:00:00"/>
    <x v="1"/>
    <x v="0"/>
    <x v="0"/>
    <s v="California"/>
    <s v="San Bernardino County"/>
    <x v="3"/>
    <x v="2"/>
    <s v="January"/>
    <x v="1"/>
  </r>
  <r>
    <s v="TX500289"/>
    <x v="0"/>
    <x v="16"/>
    <n v="15.6"/>
    <n v="280.8"/>
    <x v="12"/>
    <d v="2025-01-14T00:00:00"/>
    <x v="1"/>
    <x v="1"/>
    <x v="3"/>
    <s v="California"/>
    <s v="San Diego County"/>
    <x v="3"/>
    <x v="2"/>
    <s v="January"/>
    <x v="1"/>
  </r>
  <r>
    <s v="TX500290"/>
    <x v="10"/>
    <x v="12"/>
    <n v="37.799999999999997"/>
    <n v="151.19999999999999"/>
    <x v="12"/>
    <d v="2025-01-14T00:00:00"/>
    <x v="1"/>
    <x v="2"/>
    <x v="2"/>
    <s v="California"/>
    <s v="San Diego County"/>
    <x v="3"/>
    <x v="2"/>
    <s v="January"/>
    <x v="1"/>
  </r>
  <r>
    <s v="TX500291"/>
    <x v="4"/>
    <x v="2"/>
    <n v="28.1"/>
    <n v="84.300000000000011"/>
    <x v="12"/>
    <d v="2025-01-17T00:00:00"/>
    <x v="1"/>
    <x v="0"/>
    <x v="0"/>
    <s v="California"/>
    <s v="San Diego County"/>
    <x v="5"/>
    <x v="2"/>
    <s v="January"/>
    <x v="1"/>
  </r>
  <r>
    <s v="TX500292"/>
    <x v="7"/>
    <x v="13"/>
    <n v="51.4"/>
    <n v="308.39999999999998"/>
    <x v="12"/>
    <d v="2025-01-17T00:00:00"/>
    <x v="1"/>
    <x v="0"/>
    <x v="0"/>
    <s v="California"/>
    <s v="San Diego County"/>
    <x v="5"/>
    <x v="2"/>
    <s v="January"/>
    <x v="1"/>
  </r>
  <r>
    <s v="TX500293"/>
    <x v="7"/>
    <x v="1"/>
    <n v="97.7"/>
    <n v="195.4"/>
    <x v="12"/>
    <d v="2025-01-15T00:00:00"/>
    <x v="2"/>
    <x v="4"/>
    <x v="2"/>
    <s v="California"/>
    <s v="San Francisco"/>
    <x v="1"/>
    <x v="2"/>
    <s v="January"/>
    <x v="2"/>
  </r>
  <r>
    <s v="TX500294"/>
    <x v="1"/>
    <x v="12"/>
    <n v="63.8"/>
    <n v="255.2"/>
    <x v="12"/>
    <d v="2025-01-14T00:00:00"/>
    <x v="1"/>
    <x v="2"/>
    <x v="0"/>
    <s v="California"/>
    <s v="Solano County"/>
    <x v="3"/>
    <x v="2"/>
    <s v="January"/>
    <x v="1"/>
  </r>
  <r>
    <s v="TX500295"/>
    <x v="13"/>
    <x v="1"/>
    <n v="20.100000000000001"/>
    <n v="40.200000000000003"/>
    <x v="12"/>
    <d v="2025-01-15T00:00:00"/>
    <x v="1"/>
    <x v="0"/>
    <x v="2"/>
    <s v="California"/>
    <s v="Tulare County"/>
    <x v="1"/>
    <x v="2"/>
    <s v="January"/>
    <x v="1"/>
  </r>
  <r>
    <s v="TX500296"/>
    <x v="11"/>
    <x v="2"/>
    <n v="50.4"/>
    <n v="151.19999999999999"/>
    <x v="12"/>
    <d v="2025-01-16T00:00:00"/>
    <x v="2"/>
    <x v="3"/>
    <x v="0"/>
    <s v="California"/>
    <s v="Ventura County"/>
    <x v="2"/>
    <x v="2"/>
    <s v="January"/>
    <x v="2"/>
  </r>
  <r>
    <s v="TX500297"/>
    <x v="0"/>
    <x v="0"/>
    <n v="16.2"/>
    <n v="16.2"/>
    <x v="12"/>
    <d v="2025-01-26T00:00:00"/>
    <x v="2"/>
    <x v="1"/>
    <x v="0"/>
    <s v="California"/>
    <s v="Contra Costa County"/>
    <x v="10"/>
    <x v="2"/>
    <s v="January"/>
    <x v="2"/>
  </r>
  <r>
    <s v="TX500298"/>
    <x v="6"/>
    <x v="3"/>
    <n v="80.900000000000006"/>
    <n v="566.30000000000007"/>
    <x v="12"/>
    <d v="2025-01-15T00:00:00"/>
    <x v="1"/>
    <x v="4"/>
    <x v="4"/>
    <s v="California"/>
    <s v="Fresno County"/>
    <x v="1"/>
    <x v="2"/>
    <s v="January"/>
    <x v="1"/>
  </r>
  <r>
    <s v="TX500299"/>
    <x v="9"/>
    <x v="13"/>
    <n v="95.2"/>
    <n v="571.20000000000005"/>
    <x v="12"/>
    <d v="2025-01-15T00:00:00"/>
    <x v="2"/>
    <x v="0"/>
    <x v="2"/>
    <s v="California"/>
    <s v="Fresno County"/>
    <x v="1"/>
    <x v="2"/>
    <s v="January"/>
    <x v="2"/>
  </r>
  <r>
    <s v="TX500300"/>
    <x v="5"/>
    <x v="8"/>
    <n v="70.400000000000006"/>
    <n v="563.20000000000005"/>
    <x v="12"/>
    <d v="2025-01-14T00:00:00"/>
    <x v="1"/>
    <x v="1"/>
    <x v="1"/>
    <s v="California"/>
    <s v="Los Angeles County"/>
    <x v="3"/>
    <x v="2"/>
    <s v="January"/>
    <x v="1"/>
  </r>
  <r>
    <s v="TX500301"/>
    <x v="0"/>
    <x v="9"/>
    <n v="10.7"/>
    <n v="53.5"/>
    <x v="12"/>
    <d v="2025-01-17T00:00:00"/>
    <x v="2"/>
    <x v="2"/>
    <x v="0"/>
    <s v="California"/>
    <s v="Los Angeles County"/>
    <x v="5"/>
    <x v="2"/>
    <s v="January"/>
    <x v="2"/>
  </r>
  <r>
    <s v="TX500302"/>
    <x v="8"/>
    <x v="9"/>
    <n v="19.600000000000001"/>
    <n v="98"/>
    <x v="12"/>
    <d v="2025-01-15T00:00:00"/>
    <x v="2"/>
    <x v="0"/>
    <x v="3"/>
    <s v="California"/>
    <s v="Los Angeles County"/>
    <x v="1"/>
    <x v="2"/>
    <s v="January"/>
    <x v="2"/>
  </r>
  <r>
    <s v="TX500303"/>
    <x v="8"/>
    <x v="5"/>
    <n v="34.700000000000003"/>
    <n v="381.70000000000005"/>
    <x v="12"/>
    <d v="2025-01-15T00:00:00"/>
    <x v="2"/>
    <x v="0"/>
    <x v="2"/>
    <s v="California"/>
    <s v="Los Angeles County"/>
    <x v="1"/>
    <x v="2"/>
    <s v="January"/>
    <x v="2"/>
  </r>
  <r>
    <s v="TX500304"/>
    <x v="10"/>
    <x v="11"/>
    <n v="34.1"/>
    <n v="306.90000000000003"/>
    <x v="12"/>
    <d v="2025-01-14T00:00:00"/>
    <x v="2"/>
    <x v="4"/>
    <x v="1"/>
    <s v="California"/>
    <s v="Los Angeles County"/>
    <x v="3"/>
    <x v="2"/>
    <s v="January"/>
    <x v="2"/>
  </r>
  <r>
    <s v="TX500305"/>
    <x v="0"/>
    <x v="26"/>
    <n v="29.3"/>
    <n v="1435.7"/>
    <x v="12"/>
    <d v="2025-01-13T00:00:00"/>
    <x v="1"/>
    <x v="0"/>
    <x v="1"/>
    <s v="California"/>
    <s v="Los Angeles County"/>
    <x v="7"/>
    <x v="2"/>
    <s v="January"/>
    <x v="1"/>
  </r>
  <r>
    <s v="TX500306"/>
    <x v="1"/>
    <x v="0"/>
    <n v="55.2"/>
    <n v="55.2"/>
    <x v="12"/>
    <d v="2025-01-14T00:00:00"/>
    <x v="2"/>
    <x v="0"/>
    <x v="1"/>
    <s v="California"/>
    <s v="Los Angeles County"/>
    <x v="3"/>
    <x v="2"/>
    <s v="January"/>
    <x v="2"/>
  </r>
  <r>
    <s v="TX500307"/>
    <x v="18"/>
    <x v="2"/>
    <n v="26"/>
    <n v="78"/>
    <x v="12"/>
    <d v="2025-01-16T00:00:00"/>
    <x v="2"/>
    <x v="0"/>
    <x v="2"/>
    <s v="California"/>
    <s v="Los Angeles County"/>
    <x v="2"/>
    <x v="2"/>
    <s v="January"/>
    <x v="2"/>
  </r>
  <r>
    <s v="TX500308"/>
    <x v="14"/>
    <x v="1"/>
    <n v="14.2"/>
    <n v="28.4"/>
    <x v="12"/>
    <d v="2025-01-18T00:00:00"/>
    <x v="2"/>
    <x v="3"/>
    <x v="0"/>
    <s v="California"/>
    <s v="Modoc County"/>
    <x v="0"/>
    <x v="2"/>
    <s v="January"/>
    <x v="2"/>
  </r>
  <r>
    <s v="TX500309"/>
    <x v="8"/>
    <x v="11"/>
    <n v="22.7"/>
    <n v="204.29999999999998"/>
    <x v="13"/>
    <d v="2025-01-15T00:00:00"/>
    <x v="1"/>
    <x v="1"/>
    <x v="0"/>
    <s v="California"/>
    <s v="Sacramento County"/>
    <x v="3"/>
    <x v="2"/>
    <s v="January"/>
    <x v="1"/>
  </r>
  <r>
    <s v="TX500310"/>
    <x v="0"/>
    <x v="20"/>
    <n v="19.8"/>
    <n v="297"/>
    <x v="13"/>
    <d v="2025-01-14T00:00:00"/>
    <x v="2"/>
    <x v="0"/>
    <x v="2"/>
    <s v="California"/>
    <s v="Sacramento County"/>
    <x v="7"/>
    <x v="2"/>
    <s v="January"/>
    <x v="2"/>
  </r>
  <r>
    <s v="TX500311"/>
    <x v="0"/>
    <x v="2"/>
    <n v="31.7"/>
    <n v="95.1"/>
    <x v="13"/>
    <d v="2025-01-15T00:00:00"/>
    <x v="1"/>
    <x v="2"/>
    <x v="0"/>
    <s v="California"/>
    <s v="Sacramento County"/>
    <x v="3"/>
    <x v="2"/>
    <s v="January"/>
    <x v="1"/>
  </r>
  <r>
    <s v="TX500312"/>
    <x v="8"/>
    <x v="12"/>
    <n v="30.4"/>
    <n v="121.6"/>
    <x v="13"/>
    <d v="2025-01-18T00:00:00"/>
    <x v="1"/>
    <x v="0"/>
    <x v="0"/>
    <s v="California"/>
    <s v="Sacramento County"/>
    <x v="5"/>
    <x v="2"/>
    <s v="January"/>
    <x v="1"/>
  </r>
  <r>
    <s v="TX500313"/>
    <x v="0"/>
    <x v="12"/>
    <n v="25.6"/>
    <n v="102.4"/>
    <x v="13"/>
    <d v="2025-01-15T00:00:00"/>
    <x v="1"/>
    <x v="3"/>
    <x v="0"/>
    <s v="California"/>
    <s v="San Diego County"/>
    <x v="3"/>
    <x v="2"/>
    <s v="January"/>
    <x v="1"/>
  </r>
  <r>
    <s v="TX500314"/>
    <x v="5"/>
    <x v="1"/>
    <n v="34.9"/>
    <n v="69.8"/>
    <x v="13"/>
    <d v="2025-01-15T00:00:00"/>
    <x v="2"/>
    <x v="2"/>
    <x v="0"/>
    <s v="California"/>
    <s v="San Mateo County"/>
    <x v="3"/>
    <x v="2"/>
    <s v="January"/>
    <x v="2"/>
  </r>
  <r>
    <s v="TX500315"/>
    <x v="7"/>
    <x v="13"/>
    <n v="42.7"/>
    <n v="256.20000000000005"/>
    <x v="13"/>
    <d v="2025-01-17T00:00:00"/>
    <x v="1"/>
    <x v="2"/>
    <x v="1"/>
    <s v="California"/>
    <s v="Santa Clara County"/>
    <x v="2"/>
    <x v="2"/>
    <s v="January"/>
    <x v="1"/>
  </r>
  <r>
    <s v="TX500316"/>
    <x v="8"/>
    <x v="0"/>
    <n v="23.9"/>
    <n v="23.9"/>
    <x v="13"/>
    <d v="2025-01-16T00:00:00"/>
    <x v="2"/>
    <x v="3"/>
    <x v="0"/>
    <s v="California"/>
    <s v="Santa Clara County"/>
    <x v="1"/>
    <x v="2"/>
    <s v="January"/>
    <x v="2"/>
  </r>
  <r>
    <s v="TX500317"/>
    <x v="6"/>
    <x v="0"/>
    <n v="124.3"/>
    <n v="124.3"/>
    <x v="13"/>
    <d v="2025-01-15T00:00:00"/>
    <x v="0"/>
    <x v="2"/>
    <x v="1"/>
    <s v="California"/>
    <s v="Alameda County"/>
    <x v="3"/>
    <x v="2"/>
    <s v="January"/>
    <x v="0"/>
  </r>
  <r>
    <s v="TX500318"/>
    <x v="8"/>
    <x v="13"/>
    <n v="35.9"/>
    <n v="215.39999999999998"/>
    <x v="13"/>
    <d v="2025-01-15T00:00:00"/>
    <x v="2"/>
    <x v="0"/>
    <x v="1"/>
    <s v="California"/>
    <s v="Contra Costa County"/>
    <x v="3"/>
    <x v="2"/>
    <s v="January"/>
    <x v="2"/>
  </r>
  <r>
    <s v="TX500319"/>
    <x v="2"/>
    <x v="1"/>
    <n v="69.099999999999994"/>
    <n v="138.19999999999999"/>
    <x v="13"/>
    <d v="2025-01-17T00:00:00"/>
    <x v="2"/>
    <x v="0"/>
    <x v="2"/>
    <s v="California"/>
    <s v="Kern County"/>
    <x v="2"/>
    <x v="2"/>
    <s v="January"/>
    <x v="2"/>
  </r>
  <r>
    <s v="TX500320"/>
    <x v="7"/>
    <x v="0"/>
    <n v="58.4"/>
    <n v="58.4"/>
    <x v="13"/>
    <d v="2025-01-18T00:00:00"/>
    <x v="1"/>
    <x v="0"/>
    <x v="0"/>
    <s v="California"/>
    <s v="Kern County"/>
    <x v="5"/>
    <x v="2"/>
    <s v="January"/>
    <x v="1"/>
  </r>
  <r>
    <s v="TX500321"/>
    <x v="5"/>
    <x v="0"/>
    <n v="65.2"/>
    <n v="65.2"/>
    <x v="13"/>
    <d v="2025-01-16T00:00:00"/>
    <x v="3"/>
    <x v="4"/>
    <x v="4"/>
    <s v="California"/>
    <s v="Los Angeles County"/>
    <x v="1"/>
    <x v="2"/>
    <s v="January"/>
    <x v="3"/>
  </r>
  <r>
    <s v="TX500322"/>
    <x v="8"/>
    <x v="14"/>
    <n v="32.700000000000003"/>
    <n v="555.90000000000009"/>
    <x v="13"/>
    <d v="2025-01-21T00:00:00"/>
    <x v="0"/>
    <x v="4"/>
    <x v="0"/>
    <s v="California"/>
    <s v="Los Angeles County"/>
    <x v="6"/>
    <x v="2"/>
    <s v="January"/>
    <x v="0"/>
  </r>
  <r>
    <s v="TX500323"/>
    <x v="10"/>
    <x v="3"/>
    <n v="24.4"/>
    <n v="170.79999999999998"/>
    <x v="13"/>
    <d v="2025-01-15T00:00:00"/>
    <x v="2"/>
    <x v="0"/>
    <x v="0"/>
    <s v="California"/>
    <s v="Los Angeles County"/>
    <x v="3"/>
    <x v="2"/>
    <s v="January"/>
    <x v="2"/>
  </r>
  <r>
    <s v="TX500324"/>
    <x v="14"/>
    <x v="1"/>
    <n v="50.4"/>
    <n v="100.8"/>
    <x v="13"/>
    <d v="2025-01-20T00:00:00"/>
    <x v="1"/>
    <x v="0"/>
    <x v="1"/>
    <s v="California"/>
    <s v="Los Angeles County"/>
    <x v="4"/>
    <x v="2"/>
    <s v="January"/>
    <x v="1"/>
  </r>
  <r>
    <s v="TX500325"/>
    <x v="1"/>
    <x v="1"/>
    <n v="100"/>
    <n v="200"/>
    <x v="13"/>
    <d v="2025-01-15T00:00:00"/>
    <x v="2"/>
    <x v="0"/>
    <x v="0"/>
    <s v="California"/>
    <s v="Los Angeles County"/>
    <x v="3"/>
    <x v="2"/>
    <s v="January"/>
    <x v="2"/>
  </r>
  <r>
    <s v="TX500326"/>
    <x v="10"/>
    <x v="2"/>
    <n v="43"/>
    <n v="129"/>
    <x v="14"/>
    <d v="2025-01-15T00:00:00"/>
    <x v="2"/>
    <x v="2"/>
    <x v="1"/>
    <s v="California"/>
    <s v="Los Angeles County"/>
    <x v="7"/>
    <x v="2"/>
    <s v="January"/>
    <x v="2"/>
  </r>
  <r>
    <s v="TX500327"/>
    <x v="1"/>
    <x v="9"/>
    <n v="64.400000000000006"/>
    <n v="322"/>
    <x v="14"/>
    <d v="2025-01-17T00:00:00"/>
    <x v="1"/>
    <x v="2"/>
    <x v="1"/>
    <s v="California"/>
    <s v="Los Angeles County"/>
    <x v="1"/>
    <x v="2"/>
    <s v="January"/>
    <x v="1"/>
  </r>
  <r>
    <s v="TX500328"/>
    <x v="18"/>
    <x v="1"/>
    <n v="57.4"/>
    <n v="114.8"/>
    <x v="14"/>
    <d v="2025-01-16T00:00:00"/>
    <x v="1"/>
    <x v="2"/>
    <x v="1"/>
    <s v="California"/>
    <s v="Los Angeles County"/>
    <x v="3"/>
    <x v="2"/>
    <s v="January"/>
    <x v="1"/>
  </r>
  <r>
    <s v="TX500329"/>
    <x v="2"/>
    <x v="2"/>
    <n v="55.1"/>
    <n v="165.3"/>
    <x v="14"/>
    <d v="2025-01-18T00:00:00"/>
    <x v="2"/>
    <x v="1"/>
    <x v="0"/>
    <s v="California"/>
    <s v="Los Angeles County"/>
    <x v="2"/>
    <x v="2"/>
    <s v="January"/>
    <x v="2"/>
  </r>
  <r>
    <s v="TX500330"/>
    <x v="7"/>
    <x v="12"/>
    <n v="45.4"/>
    <n v="181.6"/>
    <x v="14"/>
    <d v="2025-01-16T00:00:00"/>
    <x v="2"/>
    <x v="1"/>
    <x v="0"/>
    <s v="California"/>
    <s v="Los Angeles County"/>
    <x v="3"/>
    <x v="2"/>
    <s v="January"/>
    <x v="2"/>
  </r>
  <r>
    <s v="TX500331"/>
    <x v="3"/>
    <x v="2"/>
    <n v="93.3"/>
    <n v="279.89999999999998"/>
    <x v="14"/>
    <d v="2025-01-16T00:00:00"/>
    <x v="2"/>
    <x v="0"/>
    <x v="0"/>
    <s v="California"/>
    <s v="Mariposa County"/>
    <x v="3"/>
    <x v="2"/>
    <s v="January"/>
    <x v="2"/>
  </r>
  <r>
    <s v="TX500332"/>
    <x v="2"/>
    <x v="10"/>
    <n v="158.19999999999999"/>
    <n v="3005.7999999999997"/>
    <x v="14"/>
    <d v="2025-01-16T00:00:00"/>
    <x v="2"/>
    <x v="1"/>
    <x v="2"/>
    <s v="California"/>
    <s v="Napa County"/>
    <x v="3"/>
    <x v="2"/>
    <s v="January"/>
    <x v="2"/>
  </r>
  <r>
    <s v="TX500333"/>
    <x v="2"/>
    <x v="1"/>
    <n v="74.900000000000006"/>
    <n v="149.80000000000001"/>
    <x v="14"/>
    <d v="2025-01-17T00:00:00"/>
    <x v="1"/>
    <x v="3"/>
    <x v="0"/>
    <s v="California"/>
    <s v="Sacramento County"/>
    <x v="1"/>
    <x v="2"/>
    <s v="January"/>
    <x v="1"/>
  </r>
  <r>
    <s v="TX500334"/>
    <x v="8"/>
    <x v="3"/>
    <n v="26"/>
    <n v="182"/>
    <x v="14"/>
    <d v="2025-01-18T00:00:00"/>
    <x v="2"/>
    <x v="1"/>
    <x v="0"/>
    <s v="California"/>
    <s v="San Diego County"/>
    <x v="2"/>
    <x v="2"/>
    <s v="January"/>
    <x v="2"/>
  </r>
  <r>
    <s v="TX500335"/>
    <x v="9"/>
    <x v="13"/>
    <n v="37.5"/>
    <n v="225"/>
    <x v="14"/>
    <d v="2025-01-16T00:00:00"/>
    <x v="2"/>
    <x v="0"/>
    <x v="1"/>
    <s v="California"/>
    <s v="San Diego County"/>
    <x v="3"/>
    <x v="2"/>
    <s v="January"/>
    <x v="2"/>
  </r>
  <r>
    <s v="TX500336"/>
    <x v="6"/>
    <x v="1"/>
    <n v="75.8"/>
    <n v="151.6"/>
    <x v="14"/>
    <d v="2025-01-21T00:00:00"/>
    <x v="1"/>
    <x v="0"/>
    <x v="0"/>
    <s v="California"/>
    <s v="San Diego County"/>
    <x v="4"/>
    <x v="2"/>
    <s v="January"/>
    <x v="1"/>
  </r>
  <r>
    <s v="TX500337"/>
    <x v="7"/>
    <x v="0"/>
    <n v="48.5"/>
    <n v="48.5"/>
    <x v="14"/>
    <d v="2025-01-27T00:00:00"/>
    <x v="0"/>
    <x v="4"/>
    <x v="2"/>
    <s v="California"/>
    <s v="San Diego County"/>
    <x v="13"/>
    <x v="2"/>
    <s v="January"/>
    <x v="0"/>
  </r>
  <r>
    <s v="TX500338"/>
    <x v="6"/>
    <x v="2"/>
    <n v="98.9"/>
    <n v="296.70000000000005"/>
    <x v="14"/>
    <d v="2025-01-17T00:00:00"/>
    <x v="2"/>
    <x v="4"/>
    <x v="1"/>
    <s v="California"/>
    <s v="San Diego County"/>
    <x v="1"/>
    <x v="2"/>
    <s v="January"/>
    <x v="2"/>
  </r>
  <r>
    <s v="TX500339"/>
    <x v="1"/>
    <x v="4"/>
    <n v="50.9"/>
    <n v="610.79999999999995"/>
    <x v="14"/>
    <d v="2025-01-15T00:00:00"/>
    <x v="1"/>
    <x v="4"/>
    <x v="0"/>
    <s v="California"/>
    <s v="San Diego County"/>
    <x v="7"/>
    <x v="2"/>
    <s v="January"/>
    <x v="1"/>
  </r>
  <r>
    <s v="TX500340"/>
    <x v="12"/>
    <x v="13"/>
    <n v="84.7"/>
    <n v="508.20000000000005"/>
    <x v="14"/>
    <d v="2025-01-15T00:00:00"/>
    <x v="2"/>
    <x v="2"/>
    <x v="0"/>
    <s v="California"/>
    <s v="San Diego County"/>
    <x v="7"/>
    <x v="2"/>
    <s v="January"/>
    <x v="2"/>
  </r>
  <r>
    <s v="TX500341"/>
    <x v="8"/>
    <x v="0"/>
    <n v="20.7"/>
    <n v="20.7"/>
    <x v="14"/>
    <d v="2025-01-17T00:00:00"/>
    <x v="2"/>
    <x v="3"/>
    <x v="2"/>
    <s v="California"/>
    <s v="San Diego County"/>
    <x v="1"/>
    <x v="2"/>
    <s v="January"/>
    <x v="2"/>
  </r>
  <r>
    <s v="TX500342"/>
    <x v="12"/>
    <x v="11"/>
    <n v="57.8"/>
    <n v="520.19999999999993"/>
    <x v="14"/>
    <d v="2025-01-26T00:00:00"/>
    <x v="1"/>
    <x v="0"/>
    <x v="4"/>
    <s v="California"/>
    <s v="San Francisco"/>
    <x v="11"/>
    <x v="2"/>
    <s v="January"/>
    <x v="1"/>
  </r>
  <r>
    <s v="TX500343"/>
    <x v="2"/>
    <x v="1"/>
    <n v="106.9"/>
    <n v="213.8"/>
    <x v="14"/>
    <d v="2025-01-17T00:00:00"/>
    <x v="2"/>
    <x v="0"/>
    <x v="2"/>
    <s v="California"/>
    <s v="San Luis Obispo County"/>
    <x v="1"/>
    <x v="2"/>
    <s v="January"/>
    <x v="2"/>
  </r>
  <r>
    <s v="TX500344"/>
    <x v="3"/>
    <x v="9"/>
    <n v="45.2"/>
    <n v="226"/>
    <x v="14"/>
    <d v="2025-01-19T00:00:00"/>
    <x v="2"/>
    <x v="1"/>
    <x v="0"/>
    <s v="California"/>
    <s v="Alameda County"/>
    <x v="5"/>
    <x v="2"/>
    <s v="January"/>
    <x v="2"/>
  </r>
  <r>
    <s v="TX500345"/>
    <x v="8"/>
    <x v="15"/>
    <n v="34.6"/>
    <n v="449.8"/>
    <x v="14"/>
    <d v="2025-01-15T00:00:00"/>
    <x v="2"/>
    <x v="1"/>
    <x v="1"/>
    <s v="California"/>
    <s v="Alameda County"/>
    <x v="7"/>
    <x v="2"/>
    <s v="January"/>
    <x v="2"/>
  </r>
  <r>
    <s v="TX500346"/>
    <x v="15"/>
    <x v="0"/>
    <n v="43.8"/>
    <n v="43.8"/>
    <x v="14"/>
    <d v="2025-01-17T00:00:00"/>
    <x v="0"/>
    <x v="0"/>
    <x v="2"/>
    <s v="California"/>
    <s v="Alameda County"/>
    <x v="1"/>
    <x v="2"/>
    <s v="January"/>
    <x v="0"/>
  </r>
  <r>
    <s v="TX500347"/>
    <x v="15"/>
    <x v="0"/>
    <n v="20.399999999999999"/>
    <n v="20.399999999999999"/>
    <x v="14"/>
    <d v="2025-01-17T00:00:00"/>
    <x v="1"/>
    <x v="4"/>
    <x v="1"/>
    <s v="California"/>
    <s v="Alameda County"/>
    <x v="1"/>
    <x v="2"/>
    <s v="January"/>
    <x v="1"/>
  </r>
  <r>
    <s v="TX500348"/>
    <x v="1"/>
    <x v="0"/>
    <n v="36.700000000000003"/>
    <n v="36.700000000000003"/>
    <x v="14"/>
    <d v="2025-01-16T00:00:00"/>
    <x v="1"/>
    <x v="0"/>
    <x v="1"/>
    <s v="California"/>
    <s v="Contra Costa County"/>
    <x v="3"/>
    <x v="2"/>
    <s v="January"/>
    <x v="1"/>
  </r>
  <r>
    <s v="TX500349"/>
    <x v="8"/>
    <x v="2"/>
    <n v="27.2"/>
    <n v="81.599999999999994"/>
    <x v="14"/>
    <d v="2025-01-19T00:00:00"/>
    <x v="1"/>
    <x v="0"/>
    <x v="2"/>
    <s v="California"/>
    <s v="Contra Costa County"/>
    <x v="5"/>
    <x v="2"/>
    <s v="January"/>
    <x v="1"/>
  </r>
  <r>
    <s v="TX500350"/>
    <x v="6"/>
    <x v="0"/>
    <n v="58.2"/>
    <n v="58.2"/>
    <x v="14"/>
    <d v="2025-01-16T00:00:00"/>
    <x v="2"/>
    <x v="0"/>
    <x v="2"/>
    <s v="California"/>
    <s v="El Dorado County"/>
    <x v="3"/>
    <x v="2"/>
    <s v="January"/>
    <x v="2"/>
  </r>
  <r>
    <s v="TX500351"/>
    <x v="8"/>
    <x v="2"/>
    <n v="25.6"/>
    <n v="76.800000000000011"/>
    <x v="14"/>
    <d v="2025-01-16T00:00:00"/>
    <x v="1"/>
    <x v="4"/>
    <x v="4"/>
    <s v="California"/>
    <s v="Fresno County"/>
    <x v="3"/>
    <x v="2"/>
    <s v="January"/>
    <x v="1"/>
  </r>
  <r>
    <s v="TX500352"/>
    <x v="10"/>
    <x v="0"/>
    <n v="21.2"/>
    <n v="21.2"/>
    <x v="14"/>
    <d v="2025-01-15T00:00:00"/>
    <x v="2"/>
    <x v="1"/>
    <x v="2"/>
    <s v="California"/>
    <s v="Los Angeles County"/>
    <x v="7"/>
    <x v="2"/>
    <s v="January"/>
    <x v="2"/>
  </r>
  <r>
    <s v="TX500353"/>
    <x v="6"/>
    <x v="1"/>
    <n v="48.2"/>
    <n v="96.4"/>
    <x v="14"/>
    <d v="2025-01-23T00:00:00"/>
    <x v="2"/>
    <x v="0"/>
    <x v="2"/>
    <s v="California"/>
    <s v="Los Angeles County"/>
    <x v="9"/>
    <x v="2"/>
    <s v="January"/>
    <x v="2"/>
  </r>
  <r>
    <s v="TX500354"/>
    <x v="1"/>
    <x v="12"/>
    <n v="83.4"/>
    <n v="333.6"/>
    <x v="15"/>
    <d v="2025-01-17T00:00:00"/>
    <x v="1"/>
    <x v="0"/>
    <x v="0"/>
    <s v="California"/>
    <s v="Los Angeles County"/>
    <x v="3"/>
    <x v="2"/>
    <s v="January"/>
    <x v="1"/>
  </r>
  <r>
    <s v="TX500355"/>
    <x v="9"/>
    <x v="2"/>
    <n v="45.3"/>
    <n v="135.89999999999998"/>
    <x v="15"/>
    <d v="2025-01-22T00:00:00"/>
    <x v="1"/>
    <x v="2"/>
    <x v="1"/>
    <s v="California"/>
    <s v="Los Angeles County"/>
    <x v="4"/>
    <x v="2"/>
    <s v="January"/>
    <x v="1"/>
  </r>
  <r>
    <s v="TX500356"/>
    <x v="17"/>
    <x v="0"/>
    <n v="42"/>
    <n v="42"/>
    <x v="15"/>
    <d v="2025-01-17T00:00:00"/>
    <x v="0"/>
    <x v="0"/>
    <x v="0"/>
    <s v="California"/>
    <s v="Los Angeles County"/>
    <x v="3"/>
    <x v="2"/>
    <s v="January"/>
    <x v="0"/>
  </r>
  <r>
    <s v="TX500357"/>
    <x v="0"/>
    <x v="11"/>
    <n v="21.8"/>
    <n v="196.20000000000002"/>
    <x v="15"/>
    <d v="2025-01-18T00:00:00"/>
    <x v="2"/>
    <x v="1"/>
    <x v="0"/>
    <s v="California"/>
    <s v="Los Angeles County"/>
    <x v="1"/>
    <x v="2"/>
    <s v="January"/>
    <x v="2"/>
  </r>
  <r>
    <s v="TX500358"/>
    <x v="8"/>
    <x v="16"/>
    <n v="21.4"/>
    <n v="385.2"/>
    <x v="15"/>
    <d v="2025-01-19T00:00:00"/>
    <x v="2"/>
    <x v="1"/>
    <x v="2"/>
    <s v="California"/>
    <s v="Los Angeles County"/>
    <x v="2"/>
    <x v="2"/>
    <s v="January"/>
    <x v="2"/>
  </r>
  <r>
    <s v="TX500359"/>
    <x v="10"/>
    <x v="2"/>
    <n v="45"/>
    <n v="135"/>
    <x v="15"/>
    <d v="2025-01-16T00:00:00"/>
    <x v="2"/>
    <x v="1"/>
    <x v="2"/>
    <s v="California"/>
    <s v="Los Angeles County"/>
    <x v="7"/>
    <x v="2"/>
    <s v="January"/>
    <x v="2"/>
  </r>
  <r>
    <s v="TX500360"/>
    <x v="14"/>
    <x v="0"/>
    <n v="39.6"/>
    <n v="39.6"/>
    <x v="15"/>
    <d v="2025-01-17T00:00:00"/>
    <x v="1"/>
    <x v="0"/>
    <x v="2"/>
    <s v="California"/>
    <s v="Los Angeles County"/>
    <x v="3"/>
    <x v="2"/>
    <s v="January"/>
    <x v="1"/>
  </r>
  <r>
    <s v="TX500361"/>
    <x v="12"/>
    <x v="2"/>
    <n v="79.8"/>
    <n v="239.39999999999998"/>
    <x v="15"/>
    <d v="2025-01-22T00:00:00"/>
    <x v="2"/>
    <x v="1"/>
    <x v="4"/>
    <s v="California"/>
    <s v="Los Angeles County"/>
    <x v="4"/>
    <x v="2"/>
    <s v="January"/>
    <x v="2"/>
  </r>
  <r>
    <s v="TX500362"/>
    <x v="1"/>
    <x v="12"/>
    <n v="63.6"/>
    <n v="254.4"/>
    <x v="15"/>
    <d v="2025-01-17T00:00:00"/>
    <x v="3"/>
    <x v="0"/>
    <x v="2"/>
    <s v="California"/>
    <s v="Merced County"/>
    <x v="3"/>
    <x v="2"/>
    <s v="January"/>
    <x v="3"/>
  </r>
  <r>
    <s v="TX500363"/>
    <x v="7"/>
    <x v="7"/>
    <n v="92.7"/>
    <n v="927"/>
    <x v="15"/>
    <d v="2025-01-20T00:00:00"/>
    <x v="1"/>
    <x v="1"/>
    <x v="2"/>
    <s v="California"/>
    <s v="Sacramento County"/>
    <x v="5"/>
    <x v="2"/>
    <s v="January"/>
    <x v="1"/>
  </r>
  <r>
    <s v="TX500364"/>
    <x v="1"/>
    <x v="12"/>
    <n v="48.4"/>
    <n v="193.6"/>
    <x v="15"/>
    <d v="2025-01-18T00:00:00"/>
    <x v="2"/>
    <x v="1"/>
    <x v="2"/>
    <s v="California"/>
    <s v="Sacramento County"/>
    <x v="1"/>
    <x v="2"/>
    <s v="January"/>
    <x v="2"/>
  </r>
  <r>
    <s v="TX500365"/>
    <x v="9"/>
    <x v="8"/>
    <n v="36"/>
    <n v="288"/>
    <x v="15"/>
    <d v="2025-01-19T00:00:00"/>
    <x v="1"/>
    <x v="2"/>
    <x v="2"/>
    <s v="California"/>
    <s v="San Diego County"/>
    <x v="2"/>
    <x v="2"/>
    <s v="January"/>
    <x v="1"/>
  </r>
  <r>
    <s v="TX500366"/>
    <x v="8"/>
    <x v="4"/>
    <n v="27"/>
    <n v="324"/>
    <x v="15"/>
    <d v="2025-01-18T00:00:00"/>
    <x v="2"/>
    <x v="2"/>
    <x v="1"/>
    <s v="California"/>
    <s v="San Diego County"/>
    <x v="1"/>
    <x v="2"/>
    <s v="January"/>
    <x v="2"/>
  </r>
  <r>
    <s v="TX500367"/>
    <x v="2"/>
    <x v="8"/>
    <n v="53.9"/>
    <n v="431.2"/>
    <x v="15"/>
    <d v="2025-01-17T00:00:00"/>
    <x v="0"/>
    <x v="0"/>
    <x v="0"/>
    <s v="California"/>
    <s v="San Diego County"/>
    <x v="3"/>
    <x v="2"/>
    <s v="January"/>
    <x v="0"/>
  </r>
  <r>
    <s v="TX500368"/>
    <x v="3"/>
    <x v="11"/>
    <n v="48.4"/>
    <n v="435.59999999999997"/>
    <x v="15"/>
    <d v="2025-01-17T00:00:00"/>
    <x v="2"/>
    <x v="1"/>
    <x v="0"/>
    <s v="California"/>
    <s v="San Mateo County"/>
    <x v="3"/>
    <x v="2"/>
    <s v="January"/>
    <x v="2"/>
  </r>
  <r>
    <s v="TX500369"/>
    <x v="17"/>
    <x v="1"/>
    <n v="49.9"/>
    <n v="99.8"/>
    <x v="15"/>
    <d v="2025-01-21T00:00:00"/>
    <x v="1"/>
    <x v="4"/>
    <x v="4"/>
    <s v="California"/>
    <s v="Santa Barbara County"/>
    <x v="0"/>
    <x v="2"/>
    <s v="January"/>
    <x v="1"/>
  </r>
  <r>
    <s v="TX500370"/>
    <x v="1"/>
    <x v="2"/>
    <n v="51.7"/>
    <n v="155.10000000000002"/>
    <x v="15"/>
    <d v="2025-01-17T00:00:00"/>
    <x v="2"/>
    <x v="0"/>
    <x v="2"/>
    <s v="California"/>
    <s v="Santa Clara County"/>
    <x v="3"/>
    <x v="2"/>
    <s v="January"/>
    <x v="2"/>
  </r>
  <r>
    <s v="TX500371"/>
    <x v="8"/>
    <x v="2"/>
    <n v="41.8"/>
    <n v="125.39999999999999"/>
    <x v="15"/>
    <d v="2025-01-18T00:00:00"/>
    <x v="2"/>
    <x v="2"/>
    <x v="0"/>
    <s v="California"/>
    <s v="Sonoma County"/>
    <x v="1"/>
    <x v="2"/>
    <s v="January"/>
    <x v="2"/>
  </r>
  <r>
    <s v="TX500372"/>
    <x v="4"/>
    <x v="12"/>
    <n v="36.200000000000003"/>
    <n v="144.80000000000001"/>
    <x v="16"/>
    <d v="2025-01-18T00:00:00"/>
    <x v="1"/>
    <x v="2"/>
    <x v="2"/>
    <s v="California"/>
    <s v="Alameda County"/>
    <x v="3"/>
    <x v="2"/>
    <s v="January"/>
    <x v="1"/>
  </r>
  <r>
    <s v="TX500373"/>
    <x v="2"/>
    <x v="0"/>
    <n v="150.9"/>
    <n v="150.9"/>
    <x v="16"/>
    <d v="2025-01-27T00:00:00"/>
    <x v="1"/>
    <x v="0"/>
    <x v="0"/>
    <s v="California"/>
    <s v="Contra Costa County"/>
    <x v="14"/>
    <x v="2"/>
    <s v="January"/>
    <x v="1"/>
  </r>
  <r>
    <s v="TX500374"/>
    <x v="18"/>
    <x v="12"/>
    <n v="77.599999999999994"/>
    <n v="310.39999999999998"/>
    <x v="16"/>
    <d v="2025-01-18T00:00:00"/>
    <x v="0"/>
    <x v="2"/>
    <x v="0"/>
    <s v="California"/>
    <s v="Los Angeles County"/>
    <x v="3"/>
    <x v="2"/>
    <s v="January"/>
    <x v="0"/>
  </r>
  <r>
    <s v="TX500375"/>
    <x v="13"/>
    <x v="9"/>
    <n v="65.5"/>
    <n v="327.5"/>
    <x v="16"/>
    <d v="2025-01-17T00:00:00"/>
    <x v="1"/>
    <x v="1"/>
    <x v="0"/>
    <s v="California"/>
    <s v="Los Angeles County"/>
    <x v="7"/>
    <x v="2"/>
    <s v="January"/>
    <x v="1"/>
  </r>
  <r>
    <s v="TX500376"/>
    <x v="6"/>
    <x v="2"/>
    <n v="90.1"/>
    <n v="270.29999999999995"/>
    <x v="16"/>
    <d v="2025-01-19T00:00:00"/>
    <x v="2"/>
    <x v="0"/>
    <x v="0"/>
    <s v="California"/>
    <s v="Los Angeles County"/>
    <x v="1"/>
    <x v="2"/>
    <s v="January"/>
    <x v="2"/>
  </r>
  <r>
    <s v="TX500377"/>
    <x v="1"/>
    <x v="1"/>
    <n v="108.3"/>
    <n v="216.6"/>
    <x v="16"/>
    <d v="2025-01-20T00:00:00"/>
    <x v="3"/>
    <x v="4"/>
    <x v="0"/>
    <s v="California"/>
    <s v="Los Angeles County"/>
    <x v="2"/>
    <x v="2"/>
    <s v="January"/>
    <x v="3"/>
  </r>
  <r>
    <s v="TX500378"/>
    <x v="5"/>
    <x v="2"/>
    <n v="59.9"/>
    <n v="179.7"/>
    <x v="16"/>
    <d v="2025-01-21T00:00:00"/>
    <x v="2"/>
    <x v="0"/>
    <x v="0"/>
    <s v="California"/>
    <s v="Los Angeles County"/>
    <x v="5"/>
    <x v="2"/>
    <s v="January"/>
    <x v="2"/>
  </r>
  <r>
    <s v="TX500379"/>
    <x v="2"/>
    <x v="14"/>
    <n v="139"/>
    <n v="2363"/>
    <x v="16"/>
    <d v="2025-01-19T00:00:00"/>
    <x v="2"/>
    <x v="1"/>
    <x v="4"/>
    <s v="California"/>
    <s v="Los Angeles County"/>
    <x v="1"/>
    <x v="2"/>
    <s v="January"/>
    <x v="2"/>
  </r>
  <r>
    <s v="TX500380"/>
    <x v="6"/>
    <x v="2"/>
    <n v="87.3"/>
    <n v="261.89999999999998"/>
    <x v="16"/>
    <d v="2025-01-18T00:00:00"/>
    <x v="2"/>
    <x v="0"/>
    <x v="0"/>
    <s v="California"/>
    <s v="Los Angeles County"/>
    <x v="3"/>
    <x v="2"/>
    <s v="January"/>
    <x v="2"/>
  </r>
  <r>
    <s v="TX500381"/>
    <x v="11"/>
    <x v="12"/>
    <n v="42.3"/>
    <n v="169.2"/>
    <x v="16"/>
    <d v="2025-01-17T00:00:00"/>
    <x v="1"/>
    <x v="0"/>
    <x v="0"/>
    <s v="California"/>
    <s v="Los Angeles County"/>
    <x v="7"/>
    <x v="2"/>
    <s v="January"/>
    <x v="1"/>
  </r>
  <r>
    <s v="TX500382"/>
    <x v="14"/>
    <x v="8"/>
    <n v="103.6"/>
    <n v="828.8"/>
    <x v="16"/>
    <d v="2025-01-18T00:00:00"/>
    <x v="3"/>
    <x v="0"/>
    <x v="1"/>
    <s v="California"/>
    <s v="Los Angeles County"/>
    <x v="3"/>
    <x v="2"/>
    <s v="January"/>
    <x v="3"/>
  </r>
  <r>
    <s v="TX500383"/>
    <x v="6"/>
    <x v="1"/>
    <n v="90.9"/>
    <n v="181.8"/>
    <x v="16"/>
    <d v="2025-01-18T00:00:00"/>
    <x v="1"/>
    <x v="1"/>
    <x v="0"/>
    <s v="California"/>
    <s v="Sacramento County"/>
    <x v="3"/>
    <x v="2"/>
    <s v="January"/>
    <x v="1"/>
  </r>
  <r>
    <s v="TX500384"/>
    <x v="9"/>
    <x v="27"/>
    <n v="100.9"/>
    <n v="1614.4"/>
    <x v="16"/>
    <d v="2025-01-18T00:00:00"/>
    <x v="2"/>
    <x v="1"/>
    <x v="0"/>
    <s v="California"/>
    <s v="Sacramento County"/>
    <x v="3"/>
    <x v="2"/>
    <s v="January"/>
    <x v="2"/>
  </r>
  <r>
    <s v="TX500385"/>
    <x v="4"/>
    <x v="9"/>
    <n v="36"/>
    <n v="180"/>
    <x v="16"/>
    <d v="2025-01-19T00:00:00"/>
    <x v="2"/>
    <x v="1"/>
    <x v="0"/>
    <s v="California"/>
    <s v="San Bernardino County"/>
    <x v="1"/>
    <x v="2"/>
    <s v="January"/>
    <x v="2"/>
  </r>
  <r>
    <s v="TX500386"/>
    <x v="6"/>
    <x v="13"/>
    <n v="83.3"/>
    <n v="499.79999999999995"/>
    <x v="16"/>
    <d v="2025-01-20T00:00:00"/>
    <x v="0"/>
    <x v="2"/>
    <x v="0"/>
    <s v="California"/>
    <s v="San Bernardino County"/>
    <x v="2"/>
    <x v="2"/>
    <s v="January"/>
    <x v="0"/>
  </r>
  <r>
    <s v="TX500387"/>
    <x v="2"/>
    <x v="14"/>
    <n v="60.3"/>
    <n v="1025.0999999999999"/>
    <x v="16"/>
    <d v="2025-01-18T00:00:00"/>
    <x v="1"/>
    <x v="2"/>
    <x v="1"/>
    <s v="California"/>
    <s v="San Bernardino County"/>
    <x v="3"/>
    <x v="2"/>
    <s v="January"/>
    <x v="1"/>
  </r>
  <r>
    <s v="TX500388"/>
    <x v="2"/>
    <x v="13"/>
    <n v="120.3"/>
    <n v="721.8"/>
    <x v="16"/>
    <d v="2025-01-18T00:00:00"/>
    <x v="1"/>
    <x v="2"/>
    <x v="0"/>
    <s v="California"/>
    <s v="San Diego County"/>
    <x v="3"/>
    <x v="2"/>
    <s v="January"/>
    <x v="1"/>
  </r>
  <r>
    <s v="TX500389"/>
    <x v="4"/>
    <x v="7"/>
    <n v="34"/>
    <n v="340"/>
    <x v="16"/>
    <d v="2025-01-21T00:00:00"/>
    <x v="2"/>
    <x v="2"/>
    <x v="0"/>
    <s v="California"/>
    <s v="San Diego County"/>
    <x v="5"/>
    <x v="2"/>
    <s v="January"/>
    <x v="2"/>
  </r>
  <r>
    <s v="TX500390"/>
    <x v="10"/>
    <x v="9"/>
    <n v="42.6"/>
    <n v="213"/>
    <x v="16"/>
    <d v="2025-01-20T00:00:00"/>
    <x v="1"/>
    <x v="1"/>
    <x v="0"/>
    <s v="California"/>
    <s v="San Diego County"/>
    <x v="2"/>
    <x v="2"/>
    <s v="January"/>
    <x v="1"/>
  </r>
  <r>
    <s v="TX500391"/>
    <x v="5"/>
    <x v="28"/>
    <n v="47.4"/>
    <n v="948"/>
    <x v="16"/>
    <d v="2025-01-17T00:00:00"/>
    <x v="2"/>
    <x v="2"/>
    <x v="1"/>
    <s v="California"/>
    <s v="San Francisco"/>
    <x v="7"/>
    <x v="2"/>
    <s v="January"/>
    <x v="2"/>
  </r>
  <r>
    <s v="TX500392"/>
    <x v="2"/>
    <x v="0"/>
    <n v="74"/>
    <n v="74"/>
    <x v="17"/>
    <d v="2025-01-19T00:00:00"/>
    <x v="1"/>
    <x v="1"/>
    <x v="0"/>
    <s v="California"/>
    <s v="Santa Clara County"/>
    <x v="3"/>
    <x v="2"/>
    <s v="January"/>
    <x v="1"/>
  </r>
  <r>
    <s v="TX500393"/>
    <x v="2"/>
    <x v="9"/>
    <n v="60.4"/>
    <n v="302"/>
    <x v="17"/>
    <d v="2025-01-21T00:00:00"/>
    <x v="2"/>
    <x v="1"/>
    <x v="4"/>
    <s v="California"/>
    <s v="Sonoma County"/>
    <x v="2"/>
    <x v="2"/>
    <s v="January"/>
    <x v="2"/>
  </r>
  <r>
    <s v="TX500394"/>
    <x v="12"/>
    <x v="1"/>
    <n v="69.3"/>
    <n v="138.6"/>
    <x v="17"/>
    <d v="2025-01-21T00:00:00"/>
    <x v="1"/>
    <x v="1"/>
    <x v="1"/>
    <s v="California"/>
    <s v="Ventura County"/>
    <x v="2"/>
    <x v="2"/>
    <s v="January"/>
    <x v="1"/>
  </r>
  <r>
    <s v="TX500395"/>
    <x v="5"/>
    <x v="9"/>
    <n v="81"/>
    <n v="405"/>
    <x v="17"/>
    <d v="2025-01-24T00:00:00"/>
    <x v="1"/>
    <x v="3"/>
    <x v="0"/>
    <s v="California"/>
    <s v="Alameda County"/>
    <x v="4"/>
    <x v="2"/>
    <s v="January"/>
    <x v="1"/>
  </r>
  <r>
    <s v="TX500396"/>
    <x v="15"/>
    <x v="2"/>
    <n v="41.5"/>
    <n v="124.5"/>
    <x v="17"/>
    <d v="2025-01-20T00:00:00"/>
    <x v="3"/>
    <x v="1"/>
    <x v="0"/>
    <s v="California"/>
    <s v="Alameda County"/>
    <x v="1"/>
    <x v="2"/>
    <s v="January"/>
    <x v="3"/>
  </r>
  <r>
    <s v="TX500397"/>
    <x v="18"/>
    <x v="1"/>
    <n v="69.7"/>
    <n v="139.4"/>
    <x v="17"/>
    <d v="2025-01-23T00:00:00"/>
    <x v="1"/>
    <x v="1"/>
    <x v="0"/>
    <s v="California"/>
    <s v="Alameda County"/>
    <x v="0"/>
    <x v="2"/>
    <s v="January"/>
    <x v="1"/>
  </r>
  <r>
    <s v="TX500398"/>
    <x v="2"/>
    <x v="9"/>
    <n v="83.6"/>
    <n v="418"/>
    <x v="17"/>
    <d v="2025-01-18T00:00:00"/>
    <x v="2"/>
    <x v="4"/>
    <x v="0"/>
    <s v="California"/>
    <s v="Contra Costa County"/>
    <x v="7"/>
    <x v="2"/>
    <s v="January"/>
    <x v="2"/>
  </r>
  <r>
    <s v="TX500399"/>
    <x v="8"/>
    <x v="3"/>
    <n v="21.5"/>
    <n v="150.5"/>
    <x v="17"/>
    <d v="2025-01-20T00:00:00"/>
    <x v="1"/>
    <x v="1"/>
    <x v="4"/>
    <s v="California"/>
    <s v="Kings County"/>
    <x v="1"/>
    <x v="2"/>
    <s v="January"/>
    <x v="1"/>
  </r>
  <r>
    <s v="TX500400"/>
    <x v="8"/>
    <x v="8"/>
    <n v="28.6"/>
    <n v="228.8"/>
    <x v="17"/>
    <d v="2025-01-19T00:00:00"/>
    <x v="1"/>
    <x v="0"/>
    <x v="0"/>
    <s v="California"/>
    <s v="Los Angeles County"/>
    <x v="3"/>
    <x v="2"/>
    <s v="January"/>
    <x v="1"/>
  </r>
  <r>
    <s v="TX500401"/>
    <x v="8"/>
    <x v="13"/>
    <n v="18.8"/>
    <n v="112.80000000000001"/>
    <x v="17"/>
    <d v="2025-01-21T00:00:00"/>
    <x v="1"/>
    <x v="3"/>
    <x v="2"/>
    <s v="California"/>
    <s v="Los Angeles County"/>
    <x v="2"/>
    <x v="2"/>
    <s v="January"/>
    <x v="1"/>
  </r>
  <r>
    <s v="TX500402"/>
    <x v="10"/>
    <x v="12"/>
    <n v="35.1"/>
    <n v="140.4"/>
    <x v="17"/>
    <d v="2025-01-18T00:00:00"/>
    <x v="2"/>
    <x v="1"/>
    <x v="1"/>
    <s v="California"/>
    <s v="Los Angeles County"/>
    <x v="7"/>
    <x v="2"/>
    <s v="January"/>
    <x v="2"/>
  </r>
  <r>
    <s v="TX500403"/>
    <x v="0"/>
    <x v="1"/>
    <n v="12.7"/>
    <n v="25.4"/>
    <x v="17"/>
    <d v="2025-01-20T00:00:00"/>
    <x v="2"/>
    <x v="1"/>
    <x v="2"/>
    <s v="California"/>
    <s v="Los Angeles County"/>
    <x v="1"/>
    <x v="2"/>
    <s v="January"/>
    <x v="2"/>
  </r>
  <r>
    <s v="TX500404"/>
    <x v="8"/>
    <x v="9"/>
    <n v="27.4"/>
    <n v="137"/>
    <x v="17"/>
    <d v="2025-01-20T00:00:00"/>
    <x v="3"/>
    <x v="0"/>
    <x v="0"/>
    <s v="California"/>
    <s v="Los Angeles County"/>
    <x v="1"/>
    <x v="2"/>
    <s v="January"/>
    <x v="3"/>
  </r>
  <r>
    <s v="TX500405"/>
    <x v="10"/>
    <x v="1"/>
    <n v="61.3"/>
    <n v="122.6"/>
    <x v="17"/>
    <d v="2025-01-19T00:00:00"/>
    <x v="2"/>
    <x v="1"/>
    <x v="0"/>
    <s v="California"/>
    <s v="Sacramento County"/>
    <x v="3"/>
    <x v="2"/>
    <s v="January"/>
    <x v="2"/>
  </r>
  <r>
    <s v="TX500406"/>
    <x v="8"/>
    <x v="1"/>
    <n v="64.7"/>
    <n v="129.4"/>
    <x v="17"/>
    <d v="2025-01-20T00:00:00"/>
    <x v="2"/>
    <x v="3"/>
    <x v="2"/>
    <s v="California"/>
    <s v="Sacramento County"/>
    <x v="1"/>
    <x v="2"/>
    <s v="January"/>
    <x v="2"/>
  </r>
  <r>
    <s v="TX500407"/>
    <x v="7"/>
    <x v="12"/>
    <n v="91.4"/>
    <n v="365.6"/>
    <x v="17"/>
    <d v="2025-01-20T00:00:00"/>
    <x v="2"/>
    <x v="0"/>
    <x v="0"/>
    <s v="California"/>
    <s v="San Diego County"/>
    <x v="1"/>
    <x v="2"/>
    <s v="January"/>
    <x v="2"/>
  </r>
  <r>
    <s v="TX500408"/>
    <x v="0"/>
    <x v="1"/>
    <n v="33.1"/>
    <n v="66.2"/>
    <x v="18"/>
    <d v="2025-01-20T00:00:00"/>
    <x v="1"/>
    <x v="0"/>
    <x v="2"/>
    <s v="California"/>
    <s v="San Diego County"/>
    <x v="3"/>
    <x v="3"/>
    <s v="January"/>
    <x v="1"/>
  </r>
  <r>
    <s v="TX500409"/>
    <x v="3"/>
    <x v="1"/>
    <n v="105.6"/>
    <n v="211.2"/>
    <x v="18"/>
    <d v="2025-01-20T00:00:00"/>
    <x v="1"/>
    <x v="2"/>
    <x v="1"/>
    <s v="California"/>
    <s v="San Diego County"/>
    <x v="3"/>
    <x v="3"/>
    <s v="January"/>
    <x v="1"/>
  </r>
  <r>
    <s v="TX500410"/>
    <x v="10"/>
    <x v="2"/>
    <n v="46.4"/>
    <n v="139.19999999999999"/>
    <x v="18"/>
    <d v="2025-01-20T00:00:00"/>
    <x v="1"/>
    <x v="2"/>
    <x v="0"/>
    <s v="California"/>
    <s v="San Mateo County"/>
    <x v="3"/>
    <x v="3"/>
    <s v="January"/>
    <x v="1"/>
  </r>
  <r>
    <s v="TX500411"/>
    <x v="9"/>
    <x v="21"/>
    <n v="35.299999999999997"/>
    <n v="494.19999999999993"/>
    <x v="18"/>
    <d v="2025-01-22T00:00:00"/>
    <x v="2"/>
    <x v="4"/>
    <x v="1"/>
    <s v="California"/>
    <s v="Santa Clara County"/>
    <x v="2"/>
    <x v="3"/>
    <s v="January"/>
    <x v="2"/>
  </r>
  <r>
    <s v="TX500412"/>
    <x v="0"/>
    <x v="1"/>
    <n v="16.100000000000001"/>
    <n v="32.200000000000003"/>
    <x v="18"/>
    <d v="2025-01-21T00:00:00"/>
    <x v="1"/>
    <x v="3"/>
    <x v="2"/>
    <s v="California"/>
    <s v="Santa Cruz County"/>
    <x v="1"/>
    <x v="3"/>
    <s v="January"/>
    <x v="1"/>
  </r>
  <r>
    <s v="TX500413"/>
    <x v="4"/>
    <x v="1"/>
    <n v="27.9"/>
    <n v="55.8"/>
    <x v="18"/>
    <d v="2025-01-22T00:00:00"/>
    <x v="1"/>
    <x v="0"/>
    <x v="0"/>
    <s v="California"/>
    <s v="Ventura County"/>
    <x v="2"/>
    <x v="3"/>
    <s v="January"/>
    <x v="1"/>
  </r>
  <r>
    <s v="TX500414"/>
    <x v="8"/>
    <x v="0"/>
    <n v="47.1"/>
    <n v="47.1"/>
    <x v="18"/>
    <d v="2025-01-27T00:00:00"/>
    <x v="2"/>
    <x v="1"/>
    <x v="0"/>
    <s v="California"/>
    <s v="Fresno County"/>
    <x v="9"/>
    <x v="3"/>
    <s v="January"/>
    <x v="2"/>
  </r>
  <r>
    <s v="TX500415"/>
    <x v="6"/>
    <x v="1"/>
    <n v="85"/>
    <n v="170"/>
    <x v="18"/>
    <d v="2025-01-22T00:00:00"/>
    <x v="0"/>
    <x v="2"/>
    <x v="2"/>
    <s v="California"/>
    <s v="Kern County"/>
    <x v="2"/>
    <x v="3"/>
    <s v="January"/>
    <x v="0"/>
  </r>
  <r>
    <s v="TX500416"/>
    <x v="18"/>
    <x v="1"/>
    <n v="89"/>
    <n v="178"/>
    <x v="18"/>
    <d v="2025-01-21T00:00:00"/>
    <x v="2"/>
    <x v="0"/>
    <x v="0"/>
    <s v="California"/>
    <s v="Los Angeles County"/>
    <x v="1"/>
    <x v="3"/>
    <s v="January"/>
    <x v="2"/>
  </r>
  <r>
    <s v="TX500417"/>
    <x v="16"/>
    <x v="2"/>
    <n v="36.6"/>
    <n v="109.80000000000001"/>
    <x v="18"/>
    <d v="2025-01-20T00:00:00"/>
    <x v="3"/>
    <x v="3"/>
    <x v="2"/>
    <s v="California"/>
    <s v="Los Angeles County"/>
    <x v="3"/>
    <x v="3"/>
    <s v="January"/>
    <x v="3"/>
  </r>
  <r>
    <s v="TX500418"/>
    <x v="6"/>
    <x v="3"/>
    <n v="43.5"/>
    <n v="304.5"/>
    <x v="18"/>
    <d v="2025-01-20T00:00:00"/>
    <x v="1"/>
    <x v="1"/>
    <x v="2"/>
    <s v="California"/>
    <s v="Los Angeles County"/>
    <x v="3"/>
    <x v="3"/>
    <s v="January"/>
    <x v="1"/>
  </r>
  <r>
    <s v="TX500419"/>
    <x v="9"/>
    <x v="10"/>
    <n v="30.5"/>
    <n v="579.5"/>
    <x v="18"/>
    <d v="2025-01-19T00:00:00"/>
    <x v="2"/>
    <x v="3"/>
    <x v="0"/>
    <s v="California"/>
    <s v="Los Angeles County"/>
    <x v="7"/>
    <x v="3"/>
    <s v="January"/>
    <x v="2"/>
  </r>
  <r>
    <s v="TX500420"/>
    <x v="1"/>
    <x v="1"/>
    <n v="107.7"/>
    <n v="215.4"/>
    <x v="18"/>
    <d v="2025-01-23T00:00:00"/>
    <x v="1"/>
    <x v="3"/>
    <x v="4"/>
    <s v="California"/>
    <s v="Los Angeles County"/>
    <x v="5"/>
    <x v="3"/>
    <s v="January"/>
    <x v="1"/>
  </r>
  <r>
    <s v="TX500421"/>
    <x v="17"/>
    <x v="18"/>
    <n v="57.1"/>
    <n v="1484.6000000000001"/>
    <x v="18"/>
    <d v="2025-01-20T00:00:00"/>
    <x v="1"/>
    <x v="1"/>
    <x v="0"/>
    <s v="California"/>
    <s v="Los Angeles County"/>
    <x v="3"/>
    <x v="3"/>
    <s v="January"/>
    <x v="1"/>
  </r>
  <r>
    <s v="TX500422"/>
    <x v="2"/>
    <x v="7"/>
    <n v="111.7"/>
    <n v="1117"/>
    <x v="18"/>
    <d v="2025-01-20T00:00:00"/>
    <x v="2"/>
    <x v="4"/>
    <x v="2"/>
    <s v="California"/>
    <s v="Los Angeles County"/>
    <x v="3"/>
    <x v="3"/>
    <s v="January"/>
    <x v="2"/>
  </r>
  <r>
    <s v="TX500423"/>
    <x v="18"/>
    <x v="3"/>
    <n v="44.3"/>
    <n v="310.09999999999997"/>
    <x v="18"/>
    <d v="2025-01-22T00:00:00"/>
    <x v="1"/>
    <x v="3"/>
    <x v="2"/>
    <s v="California"/>
    <s v="Los Angeles County"/>
    <x v="2"/>
    <x v="3"/>
    <s v="January"/>
    <x v="1"/>
  </r>
  <r>
    <s v="TX500424"/>
    <x v="2"/>
    <x v="8"/>
    <n v="95.8"/>
    <n v="766.4"/>
    <x v="18"/>
    <d v="2025-01-25T00:00:00"/>
    <x v="3"/>
    <x v="0"/>
    <x v="0"/>
    <s v="California"/>
    <s v="Los Angeles County"/>
    <x v="4"/>
    <x v="3"/>
    <s v="January"/>
    <x v="3"/>
  </r>
  <r>
    <s v="TX500425"/>
    <x v="10"/>
    <x v="3"/>
    <n v="22.6"/>
    <n v="158.20000000000002"/>
    <x v="18"/>
    <d v="2025-01-22T00:00:00"/>
    <x v="2"/>
    <x v="3"/>
    <x v="1"/>
    <s v="California"/>
    <s v="Los Angeles County"/>
    <x v="2"/>
    <x v="3"/>
    <s v="January"/>
    <x v="2"/>
  </r>
  <r>
    <s v="TX500426"/>
    <x v="8"/>
    <x v="8"/>
    <n v="25.6"/>
    <n v="204.8"/>
    <x v="18"/>
    <d v="2025-01-21T00:00:00"/>
    <x v="2"/>
    <x v="4"/>
    <x v="0"/>
    <s v="California"/>
    <s v="Los Angeles County"/>
    <x v="1"/>
    <x v="3"/>
    <s v="January"/>
    <x v="2"/>
  </r>
  <r>
    <s v="TX500427"/>
    <x v="6"/>
    <x v="27"/>
    <n v="54.3"/>
    <n v="868.8"/>
    <x v="18"/>
    <d v="2025-01-22T00:00:00"/>
    <x v="2"/>
    <x v="4"/>
    <x v="0"/>
    <s v="California"/>
    <s v="Los Angeles County"/>
    <x v="2"/>
    <x v="3"/>
    <s v="January"/>
    <x v="2"/>
  </r>
  <r>
    <s v="TX500428"/>
    <x v="18"/>
    <x v="15"/>
    <n v="51.3"/>
    <n v="666.9"/>
    <x v="18"/>
    <d v="2025-01-21T00:00:00"/>
    <x v="1"/>
    <x v="0"/>
    <x v="2"/>
    <s v="California"/>
    <s v="Los Angeles County"/>
    <x v="1"/>
    <x v="3"/>
    <s v="January"/>
    <x v="1"/>
  </r>
  <r>
    <s v="TX500429"/>
    <x v="0"/>
    <x v="8"/>
    <n v="25.6"/>
    <n v="204.8"/>
    <x v="18"/>
    <d v="2025-01-20T00:00:00"/>
    <x v="2"/>
    <x v="1"/>
    <x v="1"/>
    <s v="California"/>
    <s v="Los Angeles County"/>
    <x v="3"/>
    <x v="3"/>
    <s v="January"/>
    <x v="2"/>
  </r>
  <r>
    <s v="TX500430"/>
    <x v="0"/>
    <x v="1"/>
    <n v="15.6"/>
    <n v="31.2"/>
    <x v="18"/>
    <d v="2025-01-20T00:00:00"/>
    <x v="2"/>
    <x v="2"/>
    <x v="2"/>
    <s v="California"/>
    <s v="Los Angeles County"/>
    <x v="3"/>
    <x v="3"/>
    <s v="January"/>
    <x v="2"/>
  </r>
  <r>
    <s v="TX500431"/>
    <x v="8"/>
    <x v="2"/>
    <n v="30.3"/>
    <n v="90.9"/>
    <x v="18"/>
    <d v="2025-01-23T00:00:00"/>
    <x v="2"/>
    <x v="0"/>
    <x v="1"/>
    <s v="California"/>
    <s v="Los Angeles County"/>
    <x v="5"/>
    <x v="3"/>
    <s v="January"/>
    <x v="2"/>
  </r>
  <r>
    <s v="TX500432"/>
    <x v="12"/>
    <x v="1"/>
    <n v="30.3"/>
    <n v="60.6"/>
    <x v="18"/>
    <d v="2025-01-24T00:00:00"/>
    <x v="2"/>
    <x v="0"/>
    <x v="2"/>
    <s v="California"/>
    <s v="Madera County"/>
    <x v="0"/>
    <x v="3"/>
    <s v="January"/>
    <x v="2"/>
  </r>
  <r>
    <s v="TX500433"/>
    <x v="10"/>
    <x v="2"/>
    <n v="53"/>
    <n v="159"/>
    <x v="18"/>
    <d v="2025-01-26T00:00:00"/>
    <x v="2"/>
    <x v="2"/>
    <x v="0"/>
    <s v="California"/>
    <s v="Merced County"/>
    <x v="6"/>
    <x v="3"/>
    <s v="January"/>
    <x v="2"/>
  </r>
  <r>
    <s v="TX500434"/>
    <x v="5"/>
    <x v="16"/>
    <n v="59.9"/>
    <n v="1078.2"/>
    <x v="18"/>
    <d v="2025-01-22T00:00:00"/>
    <x v="1"/>
    <x v="2"/>
    <x v="4"/>
    <s v="California"/>
    <s v="Orange County"/>
    <x v="2"/>
    <x v="3"/>
    <s v="January"/>
    <x v="1"/>
  </r>
  <r>
    <s v="TX500435"/>
    <x v="9"/>
    <x v="1"/>
    <n v="45.7"/>
    <n v="91.4"/>
    <x v="18"/>
    <d v="2025-01-20T00:00:00"/>
    <x v="2"/>
    <x v="1"/>
    <x v="2"/>
    <s v="California"/>
    <s v="Sacramento County"/>
    <x v="3"/>
    <x v="3"/>
    <s v="January"/>
    <x v="2"/>
  </r>
  <r>
    <s v="TX500436"/>
    <x v="8"/>
    <x v="12"/>
    <n v="46.1"/>
    <n v="184.4"/>
    <x v="18"/>
    <d v="2025-01-20T00:00:00"/>
    <x v="1"/>
    <x v="0"/>
    <x v="0"/>
    <s v="California"/>
    <s v="Sacramento County"/>
    <x v="3"/>
    <x v="3"/>
    <s v="January"/>
    <x v="1"/>
  </r>
  <r>
    <s v="TX500437"/>
    <x v="8"/>
    <x v="2"/>
    <n v="17.5"/>
    <n v="52.5"/>
    <x v="18"/>
    <d v="2025-01-20T00:00:00"/>
    <x v="2"/>
    <x v="0"/>
    <x v="2"/>
    <s v="California"/>
    <s v="San Diego County"/>
    <x v="3"/>
    <x v="3"/>
    <s v="January"/>
    <x v="2"/>
  </r>
  <r>
    <s v="TX500438"/>
    <x v="10"/>
    <x v="2"/>
    <n v="36.5"/>
    <n v="109.5"/>
    <x v="18"/>
    <d v="2025-01-30T00:00:00"/>
    <x v="1"/>
    <x v="2"/>
    <x v="0"/>
    <s v="California"/>
    <s v="San Diego County"/>
    <x v="11"/>
    <x v="3"/>
    <s v="January"/>
    <x v="1"/>
  </r>
  <r>
    <s v="TX500439"/>
    <x v="8"/>
    <x v="1"/>
    <n v="47.5"/>
    <n v="95"/>
    <x v="19"/>
    <d v="2025-01-22T00:00:00"/>
    <x v="2"/>
    <x v="1"/>
    <x v="0"/>
    <s v="California"/>
    <s v="San Diego County"/>
    <x v="1"/>
    <x v="3"/>
    <s v="January"/>
    <x v="2"/>
  </r>
  <r>
    <s v="TX500440"/>
    <x v="6"/>
    <x v="9"/>
    <n v="45.6"/>
    <n v="228"/>
    <x v="19"/>
    <d v="2025-01-22T00:00:00"/>
    <x v="2"/>
    <x v="0"/>
    <x v="2"/>
    <s v="California"/>
    <s v="San Diego County"/>
    <x v="1"/>
    <x v="3"/>
    <s v="January"/>
    <x v="2"/>
  </r>
  <r>
    <s v="TX500441"/>
    <x v="9"/>
    <x v="1"/>
    <n v="50.5"/>
    <n v="101"/>
    <x v="19"/>
    <d v="2025-01-22T00:00:00"/>
    <x v="1"/>
    <x v="0"/>
    <x v="1"/>
    <s v="California"/>
    <s v="San Francisco"/>
    <x v="1"/>
    <x v="3"/>
    <s v="January"/>
    <x v="1"/>
  </r>
  <r>
    <s v="TX500442"/>
    <x v="2"/>
    <x v="7"/>
    <n v="99.8"/>
    <n v="998"/>
    <x v="19"/>
    <d v="2025-01-23T00:00:00"/>
    <x v="2"/>
    <x v="2"/>
    <x v="1"/>
    <s v="California"/>
    <s v="San Francisco"/>
    <x v="2"/>
    <x v="3"/>
    <s v="January"/>
    <x v="2"/>
  </r>
  <r>
    <s v="TX500443"/>
    <x v="8"/>
    <x v="20"/>
    <n v="19.2"/>
    <n v="288"/>
    <x v="19"/>
    <d v="2025-01-22T00:00:00"/>
    <x v="3"/>
    <x v="4"/>
    <x v="1"/>
    <s v="California"/>
    <s v="San Joaquin County"/>
    <x v="1"/>
    <x v="3"/>
    <s v="January"/>
    <x v="3"/>
  </r>
  <r>
    <s v="TX500444"/>
    <x v="17"/>
    <x v="2"/>
    <n v="22.6"/>
    <n v="67.800000000000011"/>
    <x v="19"/>
    <d v="2025-01-21T00:00:00"/>
    <x v="1"/>
    <x v="1"/>
    <x v="0"/>
    <s v="California"/>
    <s v="Santa Clara County"/>
    <x v="3"/>
    <x v="3"/>
    <s v="January"/>
    <x v="1"/>
  </r>
  <r>
    <s v="TX500445"/>
    <x v="1"/>
    <x v="20"/>
    <n v="126.9"/>
    <n v="1903.5"/>
    <x v="19"/>
    <d v="2025-01-22T00:00:00"/>
    <x v="2"/>
    <x v="0"/>
    <x v="2"/>
    <s v="California"/>
    <s v="Santa Clara County"/>
    <x v="1"/>
    <x v="3"/>
    <s v="January"/>
    <x v="2"/>
  </r>
  <r>
    <s v="TX500446"/>
    <x v="2"/>
    <x v="1"/>
    <n v="100.3"/>
    <n v="200.6"/>
    <x v="19"/>
    <d v="2025-01-21T00:00:00"/>
    <x v="2"/>
    <x v="0"/>
    <x v="1"/>
    <s v="California"/>
    <s v="Santa Clara County"/>
    <x v="3"/>
    <x v="3"/>
    <s v="January"/>
    <x v="2"/>
  </r>
  <r>
    <s v="TX500447"/>
    <x v="4"/>
    <x v="16"/>
    <n v="24.6"/>
    <n v="442.8"/>
    <x v="19"/>
    <d v="2025-01-21T00:00:00"/>
    <x v="2"/>
    <x v="4"/>
    <x v="0"/>
    <s v="California"/>
    <s v="Ventura County"/>
    <x v="3"/>
    <x v="3"/>
    <s v="January"/>
    <x v="2"/>
  </r>
  <r>
    <s v="TX500448"/>
    <x v="6"/>
    <x v="1"/>
    <n v="47.3"/>
    <n v="94.6"/>
    <x v="19"/>
    <d v="2025-01-21T00:00:00"/>
    <x v="1"/>
    <x v="1"/>
    <x v="2"/>
    <s v="California"/>
    <s v="Ventura County"/>
    <x v="3"/>
    <x v="3"/>
    <s v="January"/>
    <x v="1"/>
  </r>
  <r>
    <s v="TX500449"/>
    <x v="6"/>
    <x v="3"/>
    <n v="40.799999999999997"/>
    <n v="285.59999999999997"/>
    <x v="19"/>
    <d v="2025-01-23T00:00:00"/>
    <x v="2"/>
    <x v="2"/>
    <x v="2"/>
    <s v="California"/>
    <s v="Alameda County"/>
    <x v="2"/>
    <x v="3"/>
    <s v="January"/>
    <x v="2"/>
  </r>
  <r>
    <s v="TX500450"/>
    <x v="8"/>
    <x v="8"/>
    <n v="49.2"/>
    <n v="393.6"/>
    <x v="19"/>
    <d v="2025-01-22T00:00:00"/>
    <x v="2"/>
    <x v="0"/>
    <x v="0"/>
    <s v="California"/>
    <s v="Contra Costa County"/>
    <x v="1"/>
    <x v="3"/>
    <s v="January"/>
    <x v="2"/>
  </r>
  <r>
    <s v="TX500451"/>
    <x v="8"/>
    <x v="0"/>
    <n v="28.5"/>
    <n v="28.5"/>
    <x v="19"/>
    <d v="2025-01-22T00:00:00"/>
    <x v="0"/>
    <x v="2"/>
    <x v="1"/>
    <s v="California"/>
    <s v="Los Angeles County"/>
    <x v="1"/>
    <x v="3"/>
    <s v="January"/>
    <x v="0"/>
  </r>
  <r>
    <s v="TX500452"/>
    <x v="18"/>
    <x v="1"/>
    <n v="36.799999999999997"/>
    <n v="73.599999999999994"/>
    <x v="19"/>
    <d v="2025-01-26T00:00:00"/>
    <x v="2"/>
    <x v="0"/>
    <x v="2"/>
    <s v="California"/>
    <s v="Los Angeles County"/>
    <x v="4"/>
    <x v="3"/>
    <s v="January"/>
    <x v="2"/>
  </r>
  <r>
    <s v="TX500453"/>
    <x v="7"/>
    <x v="2"/>
    <n v="33.5"/>
    <n v="100.5"/>
    <x v="19"/>
    <d v="2025-01-21T00:00:00"/>
    <x v="2"/>
    <x v="0"/>
    <x v="1"/>
    <s v="California"/>
    <s v="Los Angeles County"/>
    <x v="3"/>
    <x v="3"/>
    <s v="January"/>
    <x v="2"/>
  </r>
  <r>
    <s v="TX500454"/>
    <x v="6"/>
    <x v="13"/>
    <n v="62.5"/>
    <n v="375"/>
    <x v="19"/>
    <d v="2025-01-22T00:00:00"/>
    <x v="2"/>
    <x v="0"/>
    <x v="0"/>
    <s v="California"/>
    <s v="Los Angeles County"/>
    <x v="1"/>
    <x v="3"/>
    <s v="January"/>
    <x v="2"/>
  </r>
  <r>
    <s v="TX500455"/>
    <x v="8"/>
    <x v="29"/>
    <n v="47.9"/>
    <n v="1916"/>
    <x v="19"/>
    <d v="2025-01-21T00:00:00"/>
    <x v="2"/>
    <x v="3"/>
    <x v="0"/>
    <s v="California"/>
    <s v="Los Angeles County"/>
    <x v="3"/>
    <x v="3"/>
    <s v="January"/>
    <x v="2"/>
  </r>
  <r>
    <s v="TX500456"/>
    <x v="6"/>
    <x v="13"/>
    <n v="92.9"/>
    <n v="557.40000000000009"/>
    <x v="19"/>
    <d v="2025-01-31T00:00:00"/>
    <x v="2"/>
    <x v="0"/>
    <x v="4"/>
    <s v="California"/>
    <s v="Los Angeles County"/>
    <x v="11"/>
    <x v="3"/>
    <s v="January"/>
    <x v="2"/>
  </r>
  <r>
    <s v="TX500457"/>
    <x v="12"/>
    <x v="2"/>
    <n v="44.1"/>
    <n v="132.30000000000001"/>
    <x v="19"/>
    <d v="2025-01-20T00:00:00"/>
    <x v="2"/>
    <x v="1"/>
    <x v="1"/>
    <s v="California"/>
    <s v="Marin County"/>
    <x v="7"/>
    <x v="3"/>
    <s v="January"/>
    <x v="2"/>
  </r>
  <r>
    <s v="TX500458"/>
    <x v="0"/>
    <x v="0"/>
    <n v="11.4"/>
    <n v="11.4"/>
    <x v="20"/>
    <d v="2025-01-23T00:00:00"/>
    <x v="2"/>
    <x v="2"/>
    <x v="0"/>
    <s v="California"/>
    <s v="Placer County"/>
    <x v="1"/>
    <x v="3"/>
    <s v="January"/>
    <x v="2"/>
  </r>
  <r>
    <s v="TX500459"/>
    <x v="6"/>
    <x v="0"/>
    <n v="83.7"/>
    <n v="83.7"/>
    <x v="20"/>
    <d v="2025-01-23T00:00:00"/>
    <x v="2"/>
    <x v="0"/>
    <x v="2"/>
    <s v="California"/>
    <s v="Sacramento County"/>
    <x v="1"/>
    <x v="3"/>
    <s v="January"/>
    <x v="2"/>
  </r>
  <r>
    <s v="TX500460"/>
    <x v="10"/>
    <x v="1"/>
    <n v="23.2"/>
    <n v="46.4"/>
    <x v="20"/>
    <d v="2025-01-22T00:00:00"/>
    <x v="1"/>
    <x v="2"/>
    <x v="0"/>
    <s v="California"/>
    <s v="San Diego County"/>
    <x v="3"/>
    <x v="3"/>
    <s v="January"/>
    <x v="1"/>
  </r>
  <r>
    <s v="TX500461"/>
    <x v="2"/>
    <x v="0"/>
    <n v="162.1"/>
    <n v="162.1"/>
    <x v="20"/>
    <d v="2025-01-24T00:00:00"/>
    <x v="2"/>
    <x v="0"/>
    <x v="2"/>
    <s v="California"/>
    <s v="San Mateo County"/>
    <x v="2"/>
    <x v="3"/>
    <s v="January"/>
    <x v="2"/>
  </r>
  <r>
    <s v="TX500462"/>
    <x v="6"/>
    <x v="12"/>
    <n v="49.2"/>
    <n v="196.8"/>
    <x v="20"/>
    <d v="2025-01-25T00:00:00"/>
    <x v="1"/>
    <x v="1"/>
    <x v="0"/>
    <s v="California"/>
    <s v="San Mateo County"/>
    <x v="5"/>
    <x v="3"/>
    <s v="January"/>
    <x v="1"/>
  </r>
  <r>
    <s v="TX500463"/>
    <x v="1"/>
    <x v="1"/>
    <n v="61"/>
    <n v="122"/>
    <x v="20"/>
    <d v="2025-01-22T00:00:00"/>
    <x v="1"/>
    <x v="3"/>
    <x v="0"/>
    <s v="California"/>
    <s v="Santa Barbara County"/>
    <x v="3"/>
    <x v="3"/>
    <s v="January"/>
    <x v="1"/>
  </r>
  <r>
    <s v="TX500464"/>
    <x v="2"/>
    <x v="7"/>
    <n v="53.1"/>
    <n v="531"/>
    <x v="20"/>
    <d v="2025-01-23T00:00:00"/>
    <x v="1"/>
    <x v="0"/>
    <x v="0"/>
    <s v="California"/>
    <s v="Santa Clara County"/>
    <x v="1"/>
    <x v="3"/>
    <s v="January"/>
    <x v="1"/>
  </r>
  <r>
    <s v="TX500465"/>
    <x v="4"/>
    <x v="1"/>
    <n v="22.4"/>
    <n v="44.8"/>
    <x v="20"/>
    <d v="2025-01-23T00:00:00"/>
    <x v="0"/>
    <x v="1"/>
    <x v="2"/>
    <s v="California"/>
    <s v="Ventura County"/>
    <x v="1"/>
    <x v="3"/>
    <s v="January"/>
    <x v="0"/>
  </r>
  <r>
    <s v="TX500466"/>
    <x v="1"/>
    <x v="9"/>
    <n v="75.3"/>
    <n v="376.5"/>
    <x v="20"/>
    <d v="2025-01-22T00:00:00"/>
    <x v="1"/>
    <x v="0"/>
    <x v="0"/>
    <s v="California"/>
    <s v="Alameda County"/>
    <x v="3"/>
    <x v="3"/>
    <s v="January"/>
    <x v="1"/>
  </r>
  <r>
    <s v="TX500467"/>
    <x v="6"/>
    <x v="0"/>
    <n v="48.5"/>
    <n v="48.5"/>
    <x v="20"/>
    <d v="2025-01-22T00:00:00"/>
    <x v="2"/>
    <x v="0"/>
    <x v="1"/>
    <s v="California"/>
    <s v="Alameda County"/>
    <x v="3"/>
    <x v="3"/>
    <s v="January"/>
    <x v="2"/>
  </r>
  <r>
    <s v="TX500468"/>
    <x v="6"/>
    <x v="0"/>
    <n v="42.6"/>
    <n v="42.6"/>
    <x v="20"/>
    <d v="2025-01-25T00:00:00"/>
    <x v="2"/>
    <x v="3"/>
    <x v="0"/>
    <s v="California"/>
    <s v="Contra Costa County"/>
    <x v="5"/>
    <x v="3"/>
    <s v="January"/>
    <x v="2"/>
  </r>
  <r>
    <s v="TX500469"/>
    <x v="5"/>
    <x v="9"/>
    <n v="49"/>
    <n v="245"/>
    <x v="20"/>
    <d v="2025-01-22T00:00:00"/>
    <x v="1"/>
    <x v="0"/>
    <x v="0"/>
    <s v="California"/>
    <s v="Kern County"/>
    <x v="3"/>
    <x v="3"/>
    <s v="January"/>
    <x v="1"/>
  </r>
  <r>
    <s v="TX500470"/>
    <x v="8"/>
    <x v="2"/>
    <n v="31.3"/>
    <n v="93.9"/>
    <x v="20"/>
    <d v="2025-01-22T00:00:00"/>
    <x v="1"/>
    <x v="2"/>
    <x v="1"/>
    <s v="California"/>
    <s v="Los Angeles County"/>
    <x v="3"/>
    <x v="3"/>
    <s v="January"/>
    <x v="1"/>
  </r>
  <r>
    <s v="TX500471"/>
    <x v="2"/>
    <x v="1"/>
    <n v="85.4"/>
    <n v="170.8"/>
    <x v="20"/>
    <d v="2025-01-22T00:00:00"/>
    <x v="2"/>
    <x v="2"/>
    <x v="0"/>
    <s v="California"/>
    <s v="Los Angeles County"/>
    <x v="3"/>
    <x v="3"/>
    <s v="January"/>
    <x v="2"/>
  </r>
  <r>
    <s v="TX500472"/>
    <x v="8"/>
    <x v="12"/>
    <n v="40"/>
    <n v="160"/>
    <x v="20"/>
    <d v="2025-01-22T00:00:00"/>
    <x v="3"/>
    <x v="0"/>
    <x v="2"/>
    <s v="California"/>
    <s v="Los Angeles County"/>
    <x v="3"/>
    <x v="3"/>
    <s v="January"/>
    <x v="3"/>
  </r>
  <r>
    <s v="TX500473"/>
    <x v="5"/>
    <x v="1"/>
    <n v="38.5"/>
    <n v="77"/>
    <x v="20"/>
    <d v="2025-01-24T00:00:00"/>
    <x v="1"/>
    <x v="1"/>
    <x v="2"/>
    <s v="California"/>
    <s v="Los Angeles County"/>
    <x v="2"/>
    <x v="3"/>
    <s v="January"/>
    <x v="1"/>
  </r>
  <r>
    <s v="TX500474"/>
    <x v="2"/>
    <x v="1"/>
    <n v="57.8"/>
    <n v="115.6"/>
    <x v="20"/>
    <d v="2025-01-22T00:00:00"/>
    <x v="0"/>
    <x v="0"/>
    <x v="0"/>
    <s v="California"/>
    <s v="Los Angeles County"/>
    <x v="3"/>
    <x v="3"/>
    <s v="January"/>
    <x v="0"/>
  </r>
  <r>
    <s v="TX500475"/>
    <x v="8"/>
    <x v="0"/>
    <n v="19.2"/>
    <n v="19.2"/>
    <x v="20"/>
    <d v="2025-01-22T00:00:00"/>
    <x v="2"/>
    <x v="0"/>
    <x v="4"/>
    <s v="California"/>
    <s v="Los Angeles County"/>
    <x v="3"/>
    <x v="3"/>
    <s v="January"/>
    <x v="2"/>
  </r>
  <r>
    <s v="TX500476"/>
    <x v="6"/>
    <x v="13"/>
    <n v="114.8"/>
    <n v="688.8"/>
    <x v="20"/>
    <d v="2025-01-24T00:00:00"/>
    <x v="1"/>
    <x v="1"/>
    <x v="1"/>
    <s v="California"/>
    <s v="Los Angeles County"/>
    <x v="2"/>
    <x v="3"/>
    <s v="January"/>
    <x v="1"/>
  </r>
  <r>
    <s v="TX500477"/>
    <x v="10"/>
    <x v="3"/>
    <n v="48.4"/>
    <n v="338.8"/>
    <x v="20"/>
    <d v="2025-01-24T00:00:00"/>
    <x v="2"/>
    <x v="3"/>
    <x v="1"/>
    <s v="California"/>
    <s v="Los Angeles County"/>
    <x v="2"/>
    <x v="3"/>
    <s v="January"/>
    <x v="2"/>
  </r>
  <r>
    <s v="TX500478"/>
    <x v="9"/>
    <x v="9"/>
    <n v="73.2"/>
    <n v="366"/>
    <x v="20"/>
    <d v="2025-01-22T00:00:00"/>
    <x v="2"/>
    <x v="1"/>
    <x v="4"/>
    <s v="California"/>
    <s v="Los Angeles County"/>
    <x v="3"/>
    <x v="3"/>
    <s v="January"/>
    <x v="2"/>
  </r>
  <r>
    <s v="TX500479"/>
    <x v="15"/>
    <x v="1"/>
    <n v="48.6"/>
    <n v="97.2"/>
    <x v="20"/>
    <d v="2025-01-25T00:00:00"/>
    <x v="2"/>
    <x v="3"/>
    <x v="0"/>
    <s v="California"/>
    <s v="Los Angeles County"/>
    <x v="5"/>
    <x v="3"/>
    <s v="January"/>
    <x v="2"/>
  </r>
  <r>
    <s v="TX500480"/>
    <x v="0"/>
    <x v="13"/>
    <n v="48.7"/>
    <n v="292.20000000000005"/>
    <x v="20"/>
    <d v="2025-01-22T00:00:00"/>
    <x v="1"/>
    <x v="0"/>
    <x v="0"/>
    <s v="California"/>
    <s v="Los Angeles County"/>
    <x v="3"/>
    <x v="3"/>
    <s v="January"/>
    <x v="1"/>
  </r>
  <r>
    <s v="TX500481"/>
    <x v="4"/>
    <x v="1"/>
    <n v="32.200000000000003"/>
    <n v="64.400000000000006"/>
    <x v="20"/>
    <d v="2025-01-24T00:00:00"/>
    <x v="1"/>
    <x v="2"/>
    <x v="2"/>
    <s v="California"/>
    <s v="Los Angeles County"/>
    <x v="2"/>
    <x v="3"/>
    <s v="January"/>
    <x v="1"/>
  </r>
  <r>
    <s v="TX500482"/>
    <x v="15"/>
    <x v="8"/>
    <n v="25.8"/>
    <n v="206.4"/>
    <x v="20"/>
    <d v="2025-01-22T00:00:00"/>
    <x v="1"/>
    <x v="0"/>
    <x v="0"/>
    <s v="California"/>
    <s v="Madera County"/>
    <x v="3"/>
    <x v="3"/>
    <s v="January"/>
    <x v="1"/>
  </r>
  <r>
    <s v="TX500483"/>
    <x v="6"/>
    <x v="1"/>
    <n v="94.8"/>
    <n v="189.6"/>
    <x v="21"/>
    <d v="2025-01-25T00:00:00"/>
    <x v="2"/>
    <x v="1"/>
    <x v="1"/>
    <s v="California"/>
    <s v="Orange County"/>
    <x v="2"/>
    <x v="3"/>
    <s v="January"/>
    <x v="2"/>
  </r>
  <r>
    <s v="TX500484"/>
    <x v="15"/>
    <x v="30"/>
    <n v="56.8"/>
    <n v="1420"/>
    <x v="21"/>
    <d v="2025-01-25T00:00:00"/>
    <x v="1"/>
    <x v="0"/>
    <x v="0"/>
    <s v="California"/>
    <s v="Orange County"/>
    <x v="2"/>
    <x v="3"/>
    <s v="January"/>
    <x v="1"/>
  </r>
  <r>
    <s v="TX500485"/>
    <x v="8"/>
    <x v="27"/>
    <n v="18.3"/>
    <n v="292.8"/>
    <x v="21"/>
    <d v="2025-01-29T00:00:00"/>
    <x v="2"/>
    <x v="2"/>
    <x v="2"/>
    <s v="California"/>
    <s v="Riverside County"/>
    <x v="6"/>
    <x v="3"/>
    <s v="January"/>
    <x v="2"/>
  </r>
  <r>
    <s v="TX500486"/>
    <x v="0"/>
    <x v="2"/>
    <n v="16.8"/>
    <n v="50.400000000000006"/>
    <x v="21"/>
    <d v="2025-01-27T00:00:00"/>
    <x v="2"/>
    <x v="2"/>
    <x v="2"/>
    <s v="California"/>
    <s v="San Diego County"/>
    <x v="0"/>
    <x v="3"/>
    <s v="January"/>
    <x v="2"/>
  </r>
  <r>
    <s v="TX500487"/>
    <x v="5"/>
    <x v="5"/>
    <n v="35.799999999999997"/>
    <n v="393.79999999999995"/>
    <x v="21"/>
    <d v="2025-01-23T00:00:00"/>
    <x v="1"/>
    <x v="1"/>
    <x v="0"/>
    <s v="California"/>
    <s v="San Francisco"/>
    <x v="3"/>
    <x v="3"/>
    <s v="January"/>
    <x v="1"/>
  </r>
  <r>
    <s v="TX500488"/>
    <x v="18"/>
    <x v="0"/>
    <n v="64.900000000000006"/>
    <n v="64.900000000000006"/>
    <x v="21"/>
    <d v="2025-01-23T00:00:00"/>
    <x v="1"/>
    <x v="0"/>
    <x v="1"/>
    <s v="California"/>
    <s v="San Francisco"/>
    <x v="3"/>
    <x v="3"/>
    <s v="January"/>
    <x v="1"/>
  </r>
  <r>
    <s v="TX500489"/>
    <x v="18"/>
    <x v="0"/>
    <n v="28.5"/>
    <n v="28.5"/>
    <x v="21"/>
    <d v="2025-01-24T00:00:00"/>
    <x v="0"/>
    <x v="1"/>
    <x v="0"/>
    <s v="California"/>
    <s v="San Mateo County"/>
    <x v="1"/>
    <x v="3"/>
    <s v="January"/>
    <x v="0"/>
  </r>
  <r>
    <s v="TX500490"/>
    <x v="18"/>
    <x v="1"/>
    <n v="103.5"/>
    <n v="207"/>
    <x v="21"/>
    <d v="2025-01-24T00:00:00"/>
    <x v="2"/>
    <x v="1"/>
    <x v="0"/>
    <s v="California"/>
    <s v="Santa Barbara County"/>
    <x v="1"/>
    <x v="3"/>
    <s v="January"/>
    <x v="2"/>
  </r>
  <r>
    <s v="TX500491"/>
    <x v="4"/>
    <x v="1"/>
    <n v="41.2"/>
    <n v="82.4"/>
    <x v="21"/>
    <d v="2025-01-23T00:00:00"/>
    <x v="2"/>
    <x v="1"/>
    <x v="0"/>
    <s v="California"/>
    <s v="Santa Barbara County"/>
    <x v="3"/>
    <x v="3"/>
    <s v="January"/>
    <x v="2"/>
  </r>
  <r>
    <s v="TX500492"/>
    <x v="9"/>
    <x v="0"/>
    <n v="37.799999999999997"/>
    <n v="37.799999999999997"/>
    <x v="21"/>
    <d v="2025-01-24T00:00:00"/>
    <x v="2"/>
    <x v="3"/>
    <x v="3"/>
    <s v="California"/>
    <s v="Santa Clara County"/>
    <x v="1"/>
    <x v="3"/>
    <s v="January"/>
    <x v="2"/>
  </r>
  <r>
    <s v="TX500493"/>
    <x v="8"/>
    <x v="1"/>
    <n v="42.6"/>
    <n v="85.2"/>
    <x v="21"/>
    <d v="2025-01-24T00:00:00"/>
    <x v="2"/>
    <x v="4"/>
    <x v="0"/>
    <s v="California"/>
    <s v="Santa Clara County"/>
    <x v="1"/>
    <x v="3"/>
    <s v="January"/>
    <x v="2"/>
  </r>
  <r>
    <s v="TX500494"/>
    <x v="8"/>
    <x v="7"/>
    <n v="15.2"/>
    <n v="152"/>
    <x v="21"/>
    <d v="2025-01-24T00:00:00"/>
    <x v="2"/>
    <x v="2"/>
    <x v="0"/>
    <s v="California"/>
    <s v="Santa Clara County"/>
    <x v="1"/>
    <x v="3"/>
    <s v="January"/>
    <x v="2"/>
  </r>
  <r>
    <s v="TX500495"/>
    <x v="7"/>
    <x v="12"/>
    <n v="83.4"/>
    <n v="333.6"/>
    <x v="21"/>
    <d v="2025-01-23T00:00:00"/>
    <x v="2"/>
    <x v="2"/>
    <x v="1"/>
    <s v="California"/>
    <s v="Sonoma County"/>
    <x v="3"/>
    <x v="3"/>
    <s v="January"/>
    <x v="2"/>
  </r>
  <r>
    <s v="TX500496"/>
    <x v="19"/>
    <x v="1"/>
    <n v="27.7"/>
    <n v="55.4"/>
    <x v="21"/>
    <d v="2025-01-23T00:00:00"/>
    <x v="2"/>
    <x v="0"/>
    <x v="1"/>
    <s v="California"/>
    <s v="Ventura County"/>
    <x v="3"/>
    <x v="3"/>
    <s v="January"/>
    <x v="2"/>
  </r>
  <r>
    <s v="TX500497"/>
    <x v="10"/>
    <x v="4"/>
    <n v="20.8"/>
    <n v="249.60000000000002"/>
    <x v="21"/>
    <d v="2025-01-23T00:00:00"/>
    <x v="1"/>
    <x v="3"/>
    <x v="0"/>
    <s v="California"/>
    <s v="Ventura County"/>
    <x v="3"/>
    <x v="3"/>
    <s v="January"/>
    <x v="1"/>
  </r>
  <r>
    <s v="TX500498"/>
    <x v="11"/>
    <x v="1"/>
    <n v="72.7"/>
    <n v="145.4"/>
    <x v="21"/>
    <d v="2025-01-26T00:00:00"/>
    <x v="2"/>
    <x v="4"/>
    <x v="2"/>
    <s v="California"/>
    <s v="Humboldt County"/>
    <x v="5"/>
    <x v="3"/>
    <s v="January"/>
    <x v="2"/>
  </r>
  <r>
    <s v="TX500499"/>
    <x v="10"/>
    <x v="12"/>
    <n v="38.6"/>
    <n v="154.4"/>
    <x v="21"/>
    <d v="2025-01-23T00:00:00"/>
    <x v="1"/>
    <x v="0"/>
    <x v="2"/>
    <s v="California"/>
    <s v="Kern County"/>
    <x v="3"/>
    <x v="3"/>
    <s v="January"/>
    <x v="1"/>
  </r>
  <r>
    <s v="TX500500"/>
    <x v="8"/>
    <x v="3"/>
    <n v="33.1"/>
    <n v="231.70000000000002"/>
    <x v="21"/>
    <d v="2025-01-23T00:00:00"/>
    <x v="3"/>
    <x v="4"/>
    <x v="3"/>
    <s v="California"/>
    <s v="Los Angeles County"/>
    <x v="3"/>
    <x v="3"/>
    <s v="January"/>
    <x v="3"/>
  </r>
  <r>
    <s v="TX500501"/>
    <x v="10"/>
    <x v="1"/>
    <n v="30.5"/>
    <n v="61"/>
    <x v="21"/>
    <d v="2025-01-22T00:00:00"/>
    <x v="0"/>
    <x v="1"/>
    <x v="1"/>
    <s v="California"/>
    <s v="Los Angeles County"/>
    <x v="7"/>
    <x v="3"/>
    <s v="January"/>
    <x v="0"/>
  </r>
  <r>
    <s v="TX500502"/>
    <x v="9"/>
    <x v="1"/>
    <n v="69.599999999999994"/>
    <n v="139.19999999999999"/>
    <x v="21"/>
    <d v="2025-01-23T00:00:00"/>
    <x v="1"/>
    <x v="0"/>
    <x v="1"/>
    <s v="California"/>
    <s v="Los Angeles County"/>
    <x v="3"/>
    <x v="3"/>
    <s v="January"/>
    <x v="1"/>
  </r>
  <r>
    <s v="TX500503"/>
    <x v="11"/>
    <x v="0"/>
    <n v="42.4"/>
    <n v="42.4"/>
    <x v="21"/>
    <d v="2025-01-26T00:00:00"/>
    <x v="2"/>
    <x v="1"/>
    <x v="0"/>
    <s v="California"/>
    <s v="Los Angeles County"/>
    <x v="5"/>
    <x v="3"/>
    <s v="January"/>
    <x v="2"/>
  </r>
  <r>
    <s v="TX500504"/>
    <x v="17"/>
    <x v="0"/>
    <n v="32.200000000000003"/>
    <n v="32.200000000000003"/>
    <x v="21"/>
    <d v="2025-01-25T00:00:00"/>
    <x v="2"/>
    <x v="2"/>
    <x v="1"/>
    <s v="California"/>
    <s v="Los Angeles County"/>
    <x v="2"/>
    <x v="3"/>
    <s v="January"/>
    <x v="2"/>
  </r>
  <r>
    <s v="TX500505"/>
    <x v="6"/>
    <x v="1"/>
    <n v="41.5"/>
    <n v="83"/>
    <x v="21"/>
    <d v="2025-01-25T00:00:00"/>
    <x v="2"/>
    <x v="0"/>
    <x v="2"/>
    <s v="California"/>
    <s v="Los Angeles County"/>
    <x v="2"/>
    <x v="3"/>
    <s v="January"/>
    <x v="2"/>
  </r>
  <r>
    <s v="TX500506"/>
    <x v="16"/>
    <x v="11"/>
    <n v="58.9"/>
    <n v="530.1"/>
    <x v="21"/>
    <d v="2025-01-26T00:00:00"/>
    <x v="2"/>
    <x v="3"/>
    <x v="0"/>
    <s v="California"/>
    <s v="Los Angeles County"/>
    <x v="5"/>
    <x v="3"/>
    <s v="January"/>
    <x v="2"/>
  </r>
  <r>
    <s v="TX500507"/>
    <x v="2"/>
    <x v="0"/>
    <n v="57.1"/>
    <n v="57.1"/>
    <x v="21"/>
    <d v="2025-01-25T00:00:00"/>
    <x v="2"/>
    <x v="1"/>
    <x v="0"/>
    <s v="California"/>
    <s v="Los Angeles County"/>
    <x v="2"/>
    <x v="3"/>
    <s v="January"/>
    <x v="2"/>
  </r>
  <r>
    <s v="TX500508"/>
    <x v="6"/>
    <x v="0"/>
    <n v="57.2"/>
    <n v="57.2"/>
    <x v="21"/>
    <d v="2025-01-24T00:00:00"/>
    <x v="1"/>
    <x v="1"/>
    <x v="0"/>
    <s v="California"/>
    <s v="Los Angeles County"/>
    <x v="1"/>
    <x v="3"/>
    <s v="January"/>
    <x v="1"/>
  </r>
  <r>
    <s v="TX500509"/>
    <x v="8"/>
    <x v="1"/>
    <n v="35.1"/>
    <n v="70.2"/>
    <x v="21"/>
    <d v="2025-01-23T00:00:00"/>
    <x v="1"/>
    <x v="1"/>
    <x v="0"/>
    <s v="California"/>
    <s v="Sacramento County"/>
    <x v="3"/>
    <x v="3"/>
    <s v="January"/>
    <x v="1"/>
  </r>
  <r>
    <s v="TX500510"/>
    <x v="1"/>
    <x v="0"/>
    <n v="52.1"/>
    <n v="52.1"/>
    <x v="21"/>
    <d v="2025-01-24T00:00:00"/>
    <x v="2"/>
    <x v="4"/>
    <x v="1"/>
    <s v="California"/>
    <s v="San Diego County"/>
    <x v="1"/>
    <x v="3"/>
    <s v="January"/>
    <x v="2"/>
  </r>
  <r>
    <s v="TX500511"/>
    <x v="13"/>
    <x v="2"/>
    <n v="59.8"/>
    <n v="179.39999999999998"/>
    <x v="21"/>
    <d v="2025-01-24T00:00:00"/>
    <x v="2"/>
    <x v="4"/>
    <x v="1"/>
    <s v="California"/>
    <s v="San Diego County"/>
    <x v="1"/>
    <x v="3"/>
    <s v="January"/>
    <x v="2"/>
  </r>
  <r>
    <s v="TX500512"/>
    <x v="3"/>
    <x v="12"/>
    <n v="83.3"/>
    <n v="333.2"/>
    <x v="21"/>
    <d v="2025-01-22T00:00:00"/>
    <x v="0"/>
    <x v="2"/>
    <x v="0"/>
    <s v="California"/>
    <s v="San Diego County"/>
    <x v="7"/>
    <x v="3"/>
    <s v="January"/>
    <x v="0"/>
  </r>
  <r>
    <s v="TX500513"/>
    <x v="15"/>
    <x v="4"/>
    <n v="41.3"/>
    <n v="495.59999999999997"/>
    <x v="21"/>
    <d v="2025-01-23T00:00:00"/>
    <x v="2"/>
    <x v="1"/>
    <x v="0"/>
    <s v="California"/>
    <s v="San Diego County"/>
    <x v="3"/>
    <x v="3"/>
    <s v="January"/>
    <x v="2"/>
  </r>
  <r>
    <s v="TX500514"/>
    <x v="8"/>
    <x v="9"/>
    <n v="16"/>
    <n v="80"/>
    <x v="21"/>
    <d v="2025-01-24T00:00:00"/>
    <x v="1"/>
    <x v="4"/>
    <x v="1"/>
    <s v="California"/>
    <s v="San Mateo County"/>
    <x v="1"/>
    <x v="3"/>
    <s v="January"/>
    <x v="1"/>
  </r>
  <r>
    <s v="TX500515"/>
    <x v="10"/>
    <x v="1"/>
    <n v="20.8"/>
    <n v="41.6"/>
    <x v="22"/>
    <d v="2025-01-25T00:00:00"/>
    <x v="1"/>
    <x v="0"/>
    <x v="2"/>
    <s v="California"/>
    <s v="Santa Clara County"/>
    <x v="1"/>
    <x v="3"/>
    <s v="January"/>
    <x v="1"/>
  </r>
  <r>
    <s v="TX500516"/>
    <x v="8"/>
    <x v="31"/>
    <n v="27.1"/>
    <n v="758.80000000000007"/>
    <x v="22"/>
    <d v="2025-01-24T00:00:00"/>
    <x v="0"/>
    <x v="3"/>
    <x v="2"/>
    <s v="California"/>
    <s v="Santa Clara County"/>
    <x v="3"/>
    <x v="3"/>
    <s v="January"/>
    <x v="0"/>
  </r>
  <r>
    <s v="TX500517"/>
    <x v="10"/>
    <x v="1"/>
    <n v="38.9"/>
    <n v="77.8"/>
    <x v="22"/>
    <d v="2025-01-25T00:00:00"/>
    <x v="2"/>
    <x v="0"/>
    <x v="0"/>
    <s v="California"/>
    <s v="Sonoma County"/>
    <x v="1"/>
    <x v="3"/>
    <s v="January"/>
    <x v="2"/>
  </r>
  <r>
    <s v="TX500518"/>
    <x v="0"/>
    <x v="1"/>
    <n v="10.8"/>
    <n v="21.6"/>
    <x v="22"/>
    <d v="2025-01-26T00:00:00"/>
    <x v="2"/>
    <x v="1"/>
    <x v="2"/>
    <s v="California"/>
    <s v="Trinity County"/>
    <x v="2"/>
    <x v="3"/>
    <s v="January"/>
    <x v="2"/>
  </r>
  <r>
    <s v="TX500519"/>
    <x v="4"/>
    <x v="15"/>
    <n v="48.4"/>
    <n v="629.19999999999993"/>
    <x v="22"/>
    <d v="2025-01-27T00:00:00"/>
    <x v="2"/>
    <x v="0"/>
    <x v="0"/>
    <s v="California"/>
    <s v="Alameda County"/>
    <x v="5"/>
    <x v="3"/>
    <s v="January"/>
    <x v="2"/>
  </r>
  <r>
    <s v="TX500520"/>
    <x v="4"/>
    <x v="2"/>
    <n v="29.2"/>
    <n v="87.6"/>
    <x v="22"/>
    <d v="2025-01-26T00:00:00"/>
    <x v="2"/>
    <x v="1"/>
    <x v="1"/>
    <s v="California"/>
    <s v="Fresno County"/>
    <x v="2"/>
    <x v="3"/>
    <s v="January"/>
    <x v="2"/>
  </r>
  <r>
    <s v="TX500521"/>
    <x v="4"/>
    <x v="1"/>
    <n v="25.1"/>
    <n v="50.2"/>
    <x v="22"/>
    <d v="2025-01-24T00:00:00"/>
    <x v="1"/>
    <x v="0"/>
    <x v="1"/>
    <s v="California"/>
    <s v="Fresno County"/>
    <x v="3"/>
    <x v="3"/>
    <s v="January"/>
    <x v="1"/>
  </r>
  <r>
    <s v="TX500522"/>
    <x v="7"/>
    <x v="2"/>
    <n v="65.599999999999994"/>
    <n v="196.79999999999998"/>
    <x v="22"/>
    <d v="2025-01-23T00:00:00"/>
    <x v="2"/>
    <x v="2"/>
    <x v="1"/>
    <s v="California"/>
    <s v="Los Angeles County"/>
    <x v="7"/>
    <x v="3"/>
    <s v="January"/>
    <x v="2"/>
  </r>
  <r>
    <s v="TX500523"/>
    <x v="2"/>
    <x v="1"/>
    <n v="57.3"/>
    <n v="114.6"/>
    <x v="22"/>
    <d v="2025-01-23T00:00:00"/>
    <x v="0"/>
    <x v="0"/>
    <x v="0"/>
    <s v="California"/>
    <s v="Los Angeles County"/>
    <x v="7"/>
    <x v="3"/>
    <s v="January"/>
    <x v="0"/>
  </r>
  <r>
    <s v="TX500524"/>
    <x v="9"/>
    <x v="12"/>
    <n v="22.4"/>
    <n v="89.6"/>
    <x v="22"/>
    <d v="2025-01-24T00:00:00"/>
    <x v="2"/>
    <x v="2"/>
    <x v="2"/>
    <s v="California"/>
    <s v="Los Angeles County"/>
    <x v="3"/>
    <x v="3"/>
    <s v="January"/>
    <x v="2"/>
  </r>
  <r>
    <s v="TX500525"/>
    <x v="12"/>
    <x v="11"/>
    <n v="45.7"/>
    <n v="411.3"/>
    <x v="22"/>
    <d v="2025-01-24T00:00:00"/>
    <x v="2"/>
    <x v="0"/>
    <x v="0"/>
    <s v="California"/>
    <s v="Los Angeles County"/>
    <x v="3"/>
    <x v="3"/>
    <s v="January"/>
    <x v="2"/>
  </r>
  <r>
    <s v="TX500526"/>
    <x v="8"/>
    <x v="1"/>
    <n v="29.3"/>
    <n v="58.6"/>
    <x v="22"/>
    <d v="2025-01-24T00:00:00"/>
    <x v="1"/>
    <x v="1"/>
    <x v="0"/>
    <s v="California"/>
    <s v="Los Angeles County"/>
    <x v="3"/>
    <x v="3"/>
    <s v="January"/>
    <x v="1"/>
  </r>
  <r>
    <s v="TX500527"/>
    <x v="18"/>
    <x v="32"/>
    <n v="74"/>
    <n v="1628"/>
    <x v="22"/>
    <d v="2025-01-24T00:00:00"/>
    <x v="1"/>
    <x v="0"/>
    <x v="2"/>
    <s v="California"/>
    <s v="Los Angeles County"/>
    <x v="3"/>
    <x v="3"/>
    <s v="January"/>
    <x v="1"/>
  </r>
  <r>
    <s v="TX500528"/>
    <x v="14"/>
    <x v="1"/>
    <n v="39.200000000000003"/>
    <n v="78.400000000000006"/>
    <x v="22"/>
    <d v="2025-01-25T00:00:00"/>
    <x v="2"/>
    <x v="1"/>
    <x v="0"/>
    <s v="California"/>
    <s v="Los Angeles County"/>
    <x v="1"/>
    <x v="3"/>
    <s v="January"/>
    <x v="2"/>
  </r>
  <r>
    <s v="TX500529"/>
    <x v="4"/>
    <x v="14"/>
    <n v="62.7"/>
    <n v="1065.9000000000001"/>
    <x v="22"/>
    <d v="2025-01-24T00:00:00"/>
    <x v="2"/>
    <x v="2"/>
    <x v="1"/>
    <s v="California"/>
    <s v="Los Angeles County"/>
    <x v="3"/>
    <x v="3"/>
    <s v="January"/>
    <x v="2"/>
  </r>
  <r>
    <s v="TX500530"/>
    <x v="10"/>
    <x v="1"/>
    <n v="60.1"/>
    <n v="120.2"/>
    <x v="22"/>
    <d v="2025-01-24T00:00:00"/>
    <x v="2"/>
    <x v="3"/>
    <x v="0"/>
    <s v="California"/>
    <s v="Los Angeles County"/>
    <x v="3"/>
    <x v="3"/>
    <s v="January"/>
    <x v="2"/>
  </r>
  <r>
    <s v="TX500531"/>
    <x v="0"/>
    <x v="12"/>
    <n v="11.2"/>
    <n v="44.8"/>
    <x v="22"/>
    <d v="2025-01-24T00:00:00"/>
    <x v="2"/>
    <x v="3"/>
    <x v="1"/>
    <s v="California"/>
    <s v="Los Angeles County"/>
    <x v="3"/>
    <x v="3"/>
    <s v="January"/>
    <x v="2"/>
  </r>
  <r>
    <s v="TX500532"/>
    <x v="8"/>
    <x v="1"/>
    <n v="22.9"/>
    <n v="45.8"/>
    <x v="22"/>
    <d v="2025-01-24T00:00:00"/>
    <x v="2"/>
    <x v="0"/>
    <x v="0"/>
    <s v="California"/>
    <s v="Sacramento County"/>
    <x v="3"/>
    <x v="3"/>
    <s v="January"/>
    <x v="2"/>
  </r>
  <r>
    <s v="TX500533"/>
    <x v="1"/>
    <x v="1"/>
    <n v="37.6"/>
    <n v="75.2"/>
    <x v="22"/>
    <d v="2025-01-26T00:00:00"/>
    <x v="2"/>
    <x v="0"/>
    <x v="0"/>
    <s v="California"/>
    <s v="Sacramento County"/>
    <x v="2"/>
    <x v="3"/>
    <s v="January"/>
    <x v="2"/>
  </r>
  <r>
    <s v="TX500534"/>
    <x v="6"/>
    <x v="0"/>
    <n v="42.4"/>
    <n v="42.4"/>
    <x v="22"/>
    <d v="2025-01-24T00:00:00"/>
    <x v="2"/>
    <x v="3"/>
    <x v="2"/>
    <s v="California"/>
    <s v="Sacramento County"/>
    <x v="3"/>
    <x v="3"/>
    <s v="January"/>
    <x v="2"/>
  </r>
  <r>
    <s v="TX500535"/>
    <x v="8"/>
    <x v="1"/>
    <n v="19.600000000000001"/>
    <n v="39.200000000000003"/>
    <x v="22"/>
    <d v="2025-01-27T00:00:00"/>
    <x v="2"/>
    <x v="2"/>
    <x v="0"/>
    <s v="California"/>
    <s v="San Bernardino County"/>
    <x v="5"/>
    <x v="3"/>
    <s v="January"/>
    <x v="2"/>
  </r>
  <r>
    <s v="TX500536"/>
    <x v="9"/>
    <x v="0"/>
    <n v="90.5"/>
    <n v="90.5"/>
    <x v="22"/>
    <d v="2025-01-26T00:00:00"/>
    <x v="2"/>
    <x v="2"/>
    <x v="0"/>
    <s v="California"/>
    <s v="San Bernardino County"/>
    <x v="2"/>
    <x v="3"/>
    <s v="January"/>
    <x v="2"/>
  </r>
  <r>
    <s v="TX500537"/>
    <x v="16"/>
    <x v="5"/>
    <n v="33.9"/>
    <n v="372.9"/>
    <x v="22"/>
    <d v="2025-01-24T00:00:00"/>
    <x v="1"/>
    <x v="2"/>
    <x v="1"/>
    <s v="California"/>
    <s v="San Bernardino County"/>
    <x v="3"/>
    <x v="3"/>
    <s v="January"/>
    <x v="1"/>
  </r>
  <r>
    <s v="TX500538"/>
    <x v="0"/>
    <x v="1"/>
    <n v="32.799999999999997"/>
    <n v="65.599999999999994"/>
    <x v="22"/>
    <d v="2025-01-25T00:00:00"/>
    <x v="2"/>
    <x v="4"/>
    <x v="4"/>
    <s v="California"/>
    <s v="San Diego County"/>
    <x v="1"/>
    <x v="3"/>
    <s v="January"/>
    <x v="2"/>
  </r>
  <r>
    <s v="TX500539"/>
    <x v="15"/>
    <x v="0"/>
    <n v="49.9"/>
    <n v="49.9"/>
    <x v="22"/>
    <d v="2025-01-24T00:00:00"/>
    <x v="1"/>
    <x v="3"/>
    <x v="1"/>
    <s v="California"/>
    <s v="San Diego County"/>
    <x v="3"/>
    <x v="3"/>
    <s v="January"/>
    <x v="1"/>
  </r>
  <r>
    <s v="TX500540"/>
    <x v="7"/>
    <x v="9"/>
    <n v="79.2"/>
    <n v="396"/>
    <x v="22"/>
    <d v="2025-01-24T00:00:00"/>
    <x v="2"/>
    <x v="4"/>
    <x v="0"/>
    <s v="California"/>
    <s v="San Diego County"/>
    <x v="3"/>
    <x v="3"/>
    <s v="January"/>
    <x v="2"/>
  </r>
  <r>
    <s v="TX500541"/>
    <x v="8"/>
    <x v="27"/>
    <n v="19.5"/>
    <n v="312"/>
    <x v="22"/>
    <d v="2025-01-25T00:00:00"/>
    <x v="1"/>
    <x v="3"/>
    <x v="2"/>
    <s v="California"/>
    <s v="San Diego County"/>
    <x v="1"/>
    <x v="3"/>
    <s v="January"/>
    <x v="1"/>
  </r>
  <r>
    <s v="TX500542"/>
    <x v="8"/>
    <x v="12"/>
    <n v="18"/>
    <n v="72"/>
    <x v="22"/>
    <d v="2025-01-24T00:00:00"/>
    <x v="1"/>
    <x v="1"/>
    <x v="0"/>
    <s v="California"/>
    <s v="Santa Barbara County"/>
    <x v="3"/>
    <x v="3"/>
    <s v="January"/>
    <x v="1"/>
  </r>
  <r>
    <s v="TX500543"/>
    <x v="9"/>
    <x v="2"/>
    <n v="45.9"/>
    <n v="137.69999999999999"/>
    <x v="22"/>
    <d v="2025-01-25T00:00:00"/>
    <x v="2"/>
    <x v="1"/>
    <x v="1"/>
    <s v="California"/>
    <s v="Santa Barbara County"/>
    <x v="1"/>
    <x v="3"/>
    <s v="January"/>
    <x v="2"/>
  </r>
  <r>
    <s v="TX500544"/>
    <x v="11"/>
    <x v="0"/>
    <n v="41.2"/>
    <n v="41.2"/>
    <x v="22"/>
    <d v="2025-01-25T00:00:00"/>
    <x v="2"/>
    <x v="1"/>
    <x v="2"/>
    <s v="California"/>
    <s v="Santa Clara County"/>
    <x v="1"/>
    <x v="3"/>
    <s v="January"/>
    <x v="2"/>
  </r>
  <r>
    <s v="TX500545"/>
    <x v="2"/>
    <x v="7"/>
    <n v="167.2"/>
    <n v="1672"/>
    <x v="22"/>
    <d v="2025-01-25T00:00:00"/>
    <x v="2"/>
    <x v="2"/>
    <x v="2"/>
    <s v="California"/>
    <s v="Santa Cruz County"/>
    <x v="1"/>
    <x v="3"/>
    <s v="January"/>
    <x v="2"/>
  </r>
  <r>
    <s v="TX500546"/>
    <x v="6"/>
    <x v="17"/>
    <n v="74.5"/>
    <n v="2235"/>
    <x v="23"/>
    <d v="2025-01-27T00:00:00"/>
    <x v="2"/>
    <x v="1"/>
    <x v="2"/>
    <s v="California"/>
    <s v="Solano County"/>
    <x v="2"/>
    <x v="3"/>
    <s v="January"/>
    <x v="2"/>
  </r>
  <r>
    <s v="TX500547"/>
    <x v="7"/>
    <x v="12"/>
    <n v="39.299999999999997"/>
    <n v="157.19999999999999"/>
    <x v="23"/>
    <d v="2025-01-25T00:00:00"/>
    <x v="0"/>
    <x v="2"/>
    <x v="0"/>
    <s v="California"/>
    <s v="Stanislaus County"/>
    <x v="3"/>
    <x v="3"/>
    <s v="January"/>
    <x v="0"/>
  </r>
  <r>
    <s v="TX500548"/>
    <x v="9"/>
    <x v="0"/>
    <n v="68.5"/>
    <n v="68.5"/>
    <x v="23"/>
    <d v="2025-01-27T00:00:00"/>
    <x v="1"/>
    <x v="1"/>
    <x v="2"/>
    <s v="California"/>
    <s v="Tehama County"/>
    <x v="2"/>
    <x v="3"/>
    <s v="January"/>
    <x v="1"/>
  </r>
  <r>
    <s v="TX500549"/>
    <x v="0"/>
    <x v="2"/>
    <n v="22.5"/>
    <n v="67.5"/>
    <x v="23"/>
    <d v="2025-01-24T00:00:00"/>
    <x v="2"/>
    <x v="4"/>
    <x v="0"/>
    <s v="California"/>
    <s v="Ventura County"/>
    <x v="7"/>
    <x v="3"/>
    <s v="January"/>
    <x v="2"/>
  </r>
  <r>
    <s v="TX500550"/>
    <x v="1"/>
    <x v="0"/>
    <n v="48"/>
    <n v="48"/>
    <x v="23"/>
    <d v="2025-01-25T00:00:00"/>
    <x v="3"/>
    <x v="4"/>
    <x v="1"/>
    <s v="California"/>
    <s v="Amador County"/>
    <x v="3"/>
    <x v="3"/>
    <s v="January"/>
    <x v="3"/>
  </r>
  <r>
    <s v="TX500551"/>
    <x v="6"/>
    <x v="0"/>
    <n v="94"/>
    <n v="94"/>
    <x v="23"/>
    <d v="2025-01-25T00:00:00"/>
    <x v="1"/>
    <x v="3"/>
    <x v="1"/>
    <s v="California"/>
    <s v="Contra Costa County"/>
    <x v="3"/>
    <x v="3"/>
    <s v="January"/>
    <x v="1"/>
  </r>
  <r>
    <s v="TX500552"/>
    <x v="8"/>
    <x v="2"/>
    <n v="21.9"/>
    <n v="65.699999999999989"/>
    <x v="23"/>
    <d v="2025-01-25T00:00:00"/>
    <x v="2"/>
    <x v="0"/>
    <x v="0"/>
    <s v="California"/>
    <s v="Humboldt County"/>
    <x v="3"/>
    <x v="3"/>
    <s v="January"/>
    <x v="2"/>
  </r>
  <r>
    <s v="TX500553"/>
    <x v="6"/>
    <x v="3"/>
    <n v="64.900000000000006"/>
    <n v="454.30000000000007"/>
    <x v="23"/>
    <d v="2025-01-25T00:00:00"/>
    <x v="2"/>
    <x v="0"/>
    <x v="0"/>
    <s v="California"/>
    <s v="Los Angeles County"/>
    <x v="3"/>
    <x v="3"/>
    <s v="January"/>
    <x v="2"/>
  </r>
  <r>
    <s v="TX500554"/>
    <x v="12"/>
    <x v="0"/>
    <n v="52.9"/>
    <n v="52.9"/>
    <x v="23"/>
    <d v="2025-01-24T00:00:00"/>
    <x v="2"/>
    <x v="1"/>
    <x v="1"/>
    <s v="California"/>
    <s v="Los Angeles County"/>
    <x v="7"/>
    <x v="3"/>
    <s v="January"/>
    <x v="2"/>
  </r>
  <r>
    <s v="TX500555"/>
    <x v="8"/>
    <x v="2"/>
    <n v="25.5"/>
    <n v="76.5"/>
    <x v="23"/>
    <d v="2025-01-25T00:00:00"/>
    <x v="2"/>
    <x v="1"/>
    <x v="2"/>
    <s v="California"/>
    <s v="Los Angeles County"/>
    <x v="3"/>
    <x v="3"/>
    <s v="January"/>
    <x v="2"/>
  </r>
  <r>
    <s v="TX500556"/>
    <x v="6"/>
    <x v="2"/>
    <n v="51.9"/>
    <n v="155.69999999999999"/>
    <x v="23"/>
    <d v="2025-01-25T00:00:00"/>
    <x v="2"/>
    <x v="3"/>
    <x v="0"/>
    <s v="California"/>
    <s v="Los Angeles County"/>
    <x v="3"/>
    <x v="3"/>
    <s v="January"/>
    <x v="2"/>
  </r>
  <r>
    <s v="TX500557"/>
    <x v="5"/>
    <x v="0"/>
    <n v="46.3"/>
    <n v="46.3"/>
    <x v="23"/>
    <d v="2025-01-27T00:00:00"/>
    <x v="2"/>
    <x v="4"/>
    <x v="0"/>
    <s v="California"/>
    <s v="Los Angeles County"/>
    <x v="2"/>
    <x v="3"/>
    <s v="January"/>
    <x v="2"/>
  </r>
  <r>
    <s v="TX500558"/>
    <x v="6"/>
    <x v="1"/>
    <n v="68.2"/>
    <n v="136.4"/>
    <x v="23"/>
    <d v="2025-01-26T00:00:00"/>
    <x v="2"/>
    <x v="3"/>
    <x v="0"/>
    <s v="California"/>
    <s v="Los Angeles County"/>
    <x v="1"/>
    <x v="3"/>
    <s v="January"/>
    <x v="2"/>
  </r>
  <r>
    <s v="TX500559"/>
    <x v="1"/>
    <x v="0"/>
    <n v="40.299999999999997"/>
    <n v="40.299999999999997"/>
    <x v="23"/>
    <d v="2025-01-25T00:00:00"/>
    <x v="1"/>
    <x v="0"/>
    <x v="1"/>
    <s v="California"/>
    <s v="Los Angeles County"/>
    <x v="3"/>
    <x v="3"/>
    <s v="January"/>
    <x v="1"/>
  </r>
  <r>
    <s v="TX500560"/>
    <x v="2"/>
    <x v="2"/>
    <n v="91.3"/>
    <n v="273.89999999999998"/>
    <x v="23"/>
    <d v="2025-01-29T00:00:00"/>
    <x v="1"/>
    <x v="0"/>
    <x v="2"/>
    <s v="California"/>
    <s v="Sacramento County"/>
    <x v="0"/>
    <x v="3"/>
    <s v="January"/>
    <x v="1"/>
  </r>
  <r>
    <s v="TX500561"/>
    <x v="0"/>
    <x v="2"/>
    <n v="11.9"/>
    <n v="35.700000000000003"/>
    <x v="23"/>
    <d v="2025-01-25T00:00:00"/>
    <x v="2"/>
    <x v="0"/>
    <x v="1"/>
    <s v="California"/>
    <s v="Sacramento County"/>
    <x v="3"/>
    <x v="3"/>
    <s v="January"/>
    <x v="2"/>
  </r>
  <r>
    <s v="TX500562"/>
    <x v="2"/>
    <x v="1"/>
    <n v="63.5"/>
    <n v="127"/>
    <x v="23"/>
    <d v="2025-01-26T00:00:00"/>
    <x v="1"/>
    <x v="1"/>
    <x v="0"/>
    <s v="California"/>
    <s v="Sacramento County"/>
    <x v="1"/>
    <x v="3"/>
    <s v="January"/>
    <x v="1"/>
  </r>
  <r>
    <s v="TX500563"/>
    <x v="4"/>
    <x v="1"/>
    <n v="27.1"/>
    <n v="54.2"/>
    <x v="23"/>
    <d v="2025-01-27T00:00:00"/>
    <x v="1"/>
    <x v="2"/>
    <x v="2"/>
    <s v="California"/>
    <s v="Sacramento County"/>
    <x v="2"/>
    <x v="3"/>
    <s v="January"/>
    <x v="1"/>
  </r>
  <r>
    <s v="TX500564"/>
    <x v="1"/>
    <x v="1"/>
    <n v="82.1"/>
    <n v="164.2"/>
    <x v="24"/>
    <d v="2025-01-28T00:00:00"/>
    <x v="1"/>
    <x v="1"/>
    <x v="1"/>
    <s v="California"/>
    <s v="San Bernardino County"/>
    <x v="2"/>
    <x v="3"/>
    <s v="January"/>
    <x v="1"/>
  </r>
  <r>
    <s v="TX500565"/>
    <x v="3"/>
    <x v="9"/>
    <n v="42.9"/>
    <n v="214.5"/>
    <x v="24"/>
    <d v="2025-01-27T00:00:00"/>
    <x v="2"/>
    <x v="1"/>
    <x v="0"/>
    <s v="California"/>
    <s v="San Diego County"/>
    <x v="1"/>
    <x v="3"/>
    <s v="January"/>
    <x v="2"/>
  </r>
  <r>
    <s v="TX500566"/>
    <x v="8"/>
    <x v="5"/>
    <n v="37.9"/>
    <n v="416.9"/>
    <x v="24"/>
    <d v="2025-02-01T00:00:00"/>
    <x v="1"/>
    <x v="0"/>
    <x v="0"/>
    <s v="California"/>
    <s v="San Diego County"/>
    <x v="6"/>
    <x v="3"/>
    <s v="January"/>
    <x v="1"/>
  </r>
  <r>
    <s v="TX500567"/>
    <x v="0"/>
    <x v="0"/>
    <n v="22.4"/>
    <n v="22.4"/>
    <x v="24"/>
    <d v="2025-01-26T00:00:00"/>
    <x v="2"/>
    <x v="0"/>
    <x v="1"/>
    <s v="California"/>
    <s v="San Francisco"/>
    <x v="3"/>
    <x v="3"/>
    <s v="January"/>
    <x v="2"/>
  </r>
  <r>
    <s v="TX500568"/>
    <x v="2"/>
    <x v="15"/>
    <n v="79.900000000000006"/>
    <n v="1038.7"/>
    <x v="24"/>
    <d v="2025-02-07T00:00:00"/>
    <x v="2"/>
    <x v="3"/>
    <x v="1"/>
    <s v="California"/>
    <s v="Santa Clara County"/>
    <x v="10"/>
    <x v="3"/>
    <s v="January"/>
    <x v="2"/>
  </r>
  <r>
    <s v="TX500569"/>
    <x v="1"/>
    <x v="0"/>
    <n v="70.599999999999994"/>
    <n v="70.599999999999994"/>
    <x v="24"/>
    <d v="2025-01-28T00:00:00"/>
    <x v="2"/>
    <x v="0"/>
    <x v="1"/>
    <s v="California"/>
    <s v="Santa Clara County"/>
    <x v="2"/>
    <x v="3"/>
    <s v="January"/>
    <x v="2"/>
  </r>
  <r>
    <s v="TX500570"/>
    <x v="6"/>
    <x v="0"/>
    <n v="49.5"/>
    <n v="49.5"/>
    <x v="24"/>
    <d v="2025-01-27T00:00:00"/>
    <x v="1"/>
    <x v="0"/>
    <x v="0"/>
    <s v="California"/>
    <s v="Ventura County"/>
    <x v="1"/>
    <x v="3"/>
    <s v="January"/>
    <x v="1"/>
  </r>
  <r>
    <s v="TX500571"/>
    <x v="2"/>
    <x v="1"/>
    <n v="96.6"/>
    <n v="193.2"/>
    <x v="24"/>
    <d v="2025-01-27T00:00:00"/>
    <x v="1"/>
    <x v="0"/>
    <x v="0"/>
    <s v="California"/>
    <s v="Alameda County"/>
    <x v="1"/>
    <x v="3"/>
    <s v="January"/>
    <x v="1"/>
  </r>
  <r>
    <s v="TX500572"/>
    <x v="6"/>
    <x v="1"/>
    <n v="52.8"/>
    <n v="105.6"/>
    <x v="24"/>
    <d v="2025-01-26T00:00:00"/>
    <x v="2"/>
    <x v="1"/>
    <x v="1"/>
    <s v="California"/>
    <s v="Alameda County"/>
    <x v="3"/>
    <x v="3"/>
    <s v="January"/>
    <x v="2"/>
  </r>
  <r>
    <s v="TX500573"/>
    <x v="2"/>
    <x v="0"/>
    <n v="101.7"/>
    <n v="101.7"/>
    <x v="24"/>
    <d v="2025-01-26T00:00:00"/>
    <x v="1"/>
    <x v="0"/>
    <x v="0"/>
    <s v="California"/>
    <s v="Contra Costa County"/>
    <x v="3"/>
    <x v="3"/>
    <s v="January"/>
    <x v="1"/>
  </r>
  <r>
    <s v="TX500574"/>
    <x v="4"/>
    <x v="9"/>
    <n v="26.9"/>
    <n v="134.5"/>
    <x v="24"/>
    <d v="2025-01-30T00:00:00"/>
    <x v="2"/>
    <x v="1"/>
    <x v="1"/>
    <s v="California"/>
    <s v="Kern County"/>
    <x v="0"/>
    <x v="3"/>
    <s v="January"/>
    <x v="2"/>
  </r>
  <r>
    <s v="TX500575"/>
    <x v="2"/>
    <x v="12"/>
    <n v="211"/>
    <n v="844"/>
    <x v="24"/>
    <d v="2025-01-25T00:00:00"/>
    <x v="2"/>
    <x v="1"/>
    <x v="1"/>
    <s v="California"/>
    <s v="Los Angeles County"/>
    <x v="7"/>
    <x v="3"/>
    <s v="January"/>
    <x v="2"/>
  </r>
  <r>
    <s v="TX500576"/>
    <x v="0"/>
    <x v="12"/>
    <n v="21.1"/>
    <n v="84.4"/>
    <x v="24"/>
    <d v="2025-01-28T00:00:00"/>
    <x v="1"/>
    <x v="4"/>
    <x v="0"/>
    <s v="California"/>
    <s v="Los Angeles County"/>
    <x v="2"/>
    <x v="3"/>
    <s v="January"/>
    <x v="1"/>
  </r>
  <r>
    <s v="TX500577"/>
    <x v="10"/>
    <x v="0"/>
    <n v="26.6"/>
    <n v="26.6"/>
    <x v="24"/>
    <d v="2025-01-27T00:00:00"/>
    <x v="1"/>
    <x v="0"/>
    <x v="4"/>
    <s v="California"/>
    <s v="Los Angeles County"/>
    <x v="1"/>
    <x v="3"/>
    <s v="January"/>
    <x v="1"/>
  </r>
  <r>
    <s v="TX500578"/>
    <x v="12"/>
    <x v="12"/>
    <n v="51.2"/>
    <n v="204.8"/>
    <x v="24"/>
    <d v="2025-01-26T00:00:00"/>
    <x v="2"/>
    <x v="3"/>
    <x v="0"/>
    <s v="California"/>
    <s v="Mono County"/>
    <x v="3"/>
    <x v="3"/>
    <s v="January"/>
    <x v="2"/>
  </r>
  <r>
    <s v="TX500579"/>
    <x v="0"/>
    <x v="9"/>
    <n v="10.6"/>
    <n v="53"/>
    <x v="24"/>
    <d v="2025-01-29T00:00:00"/>
    <x v="2"/>
    <x v="0"/>
    <x v="0"/>
    <s v="California"/>
    <s v="San Diego County"/>
    <x v="5"/>
    <x v="3"/>
    <s v="January"/>
    <x v="2"/>
  </r>
  <r>
    <s v="TX500580"/>
    <x v="6"/>
    <x v="2"/>
    <n v="43.4"/>
    <n v="130.19999999999999"/>
    <x v="24"/>
    <d v="2025-01-28T00:00:00"/>
    <x v="2"/>
    <x v="4"/>
    <x v="0"/>
    <s v="California"/>
    <s v="San Diego County"/>
    <x v="2"/>
    <x v="3"/>
    <s v="January"/>
    <x v="2"/>
  </r>
  <r>
    <s v="TX500581"/>
    <x v="12"/>
    <x v="0"/>
    <n v="80"/>
    <n v="80"/>
    <x v="24"/>
    <d v="2025-01-25T00:00:00"/>
    <x v="2"/>
    <x v="0"/>
    <x v="2"/>
    <s v="California"/>
    <s v="San Diego County"/>
    <x v="7"/>
    <x v="3"/>
    <s v="January"/>
    <x v="2"/>
  </r>
  <r>
    <s v="TX500582"/>
    <x v="10"/>
    <x v="12"/>
    <n v="64.7"/>
    <n v="258.8"/>
    <x v="24"/>
    <d v="2025-01-27T00:00:00"/>
    <x v="2"/>
    <x v="1"/>
    <x v="4"/>
    <s v="California"/>
    <s v="San Diego County"/>
    <x v="1"/>
    <x v="3"/>
    <s v="January"/>
    <x v="2"/>
  </r>
  <r>
    <s v="TX500583"/>
    <x v="8"/>
    <x v="5"/>
    <n v="26.3"/>
    <n v="289.3"/>
    <x v="25"/>
    <d v="2025-01-26T00:00:00"/>
    <x v="2"/>
    <x v="4"/>
    <x v="1"/>
    <s v="California"/>
    <s v="San Joaquin County"/>
    <x v="7"/>
    <x v="4"/>
    <s v="January"/>
    <x v="2"/>
  </r>
  <r>
    <s v="TX500584"/>
    <x v="10"/>
    <x v="0"/>
    <n v="28.5"/>
    <n v="28.5"/>
    <x v="25"/>
    <d v="2025-01-26T00:00:00"/>
    <x v="1"/>
    <x v="0"/>
    <x v="1"/>
    <s v="California"/>
    <s v="San Mateo County"/>
    <x v="7"/>
    <x v="4"/>
    <s v="January"/>
    <x v="1"/>
  </r>
  <r>
    <s v="TX500585"/>
    <x v="17"/>
    <x v="0"/>
    <n v="47.8"/>
    <n v="47.8"/>
    <x v="25"/>
    <d v="2025-01-28T00:00:00"/>
    <x v="2"/>
    <x v="0"/>
    <x v="1"/>
    <s v="California"/>
    <s v="San Mateo County"/>
    <x v="1"/>
    <x v="4"/>
    <s v="January"/>
    <x v="2"/>
  </r>
  <r>
    <s v="TX500586"/>
    <x v="10"/>
    <x v="2"/>
    <n v="42.8"/>
    <n v="128.39999999999998"/>
    <x v="25"/>
    <d v="2025-01-29T00:00:00"/>
    <x v="2"/>
    <x v="4"/>
    <x v="1"/>
    <s v="California"/>
    <s v="Santa Clara County"/>
    <x v="2"/>
    <x v="4"/>
    <s v="January"/>
    <x v="2"/>
  </r>
  <r>
    <s v="TX500587"/>
    <x v="6"/>
    <x v="9"/>
    <n v="46.8"/>
    <n v="234"/>
    <x v="25"/>
    <d v="2025-01-31T00:00:00"/>
    <x v="2"/>
    <x v="1"/>
    <x v="2"/>
    <s v="California"/>
    <s v="Santa Clara County"/>
    <x v="0"/>
    <x v="4"/>
    <s v="January"/>
    <x v="2"/>
  </r>
  <r>
    <s v="TX500588"/>
    <x v="1"/>
    <x v="7"/>
    <n v="64.099999999999994"/>
    <n v="641"/>
    <x v="25"/>
    <d v="2025-01-27T00:00:00"/>
    <x v="1"/>
    <x v="1"/>
    <x v="0"/>
    <s v="California"/>
    <s v="Santa Clara County"/>
    <x v="3"/>
    <x v="4"/>
    <s v="January"/>
    <x v="1"/>
  </r>
  <r>
    <s v="TX500589"/>
    <x v="2"/>
    <x v="0"/>
    <n v="89.1"/>
    <n v="89.1"/>
    <x v="25"/>
    <d v="2025-01-27T00:00:00"/>
    <x v="2"/>
    <x v="0"/>
    <x v="1"/>
    <s v="California"/>
    <s v="Tulare County"/>
    <x v="3"/>
    <x v="4"/>
    <s v="January"/>
    <x v="2"/>
  </r>
  <r>
    <s v="TX500590"/>
    <x v="2"/>
    <x v="2"/>
    <n v="83.1"/>
    <n v="249.29999999999998"/>
    <x v="25"/>
    <d v="2025-01-27T00:00:00"/>
    <x v="2"/>
    <x v="2"/>
    <x v="1"/>
    <s v="California"/>
    <s v="Ventura County"/>
    <x v="3"/>
    <x v="4"/>
    <s v="January"/>
    <x v="2"/>
  </r>
  <r>
    <s v="TX500591"/>
    <x v="8"/>
    <x v="2"/>
    <n v="40.9"/>
    <n v="122.69999999999999"/>
    <x v="25"/>
    <d v="2025-01-27T00:00:00"/>
    <x v="1"/>
    <x v="0"/>
    <x v="0"/>
    <s v="California"/>
    <s v="Contra Costa County"/>
    <x v="3"/>
    <x v="4"/>
    <s v="January"/>
    <x v="1"/>
  </r>
  <r>
    <s v="TX500592"/>
    <x v="2"/>
    <x v="1"/>
    <n v="125.7"/>
    <n v="251.4"/>
    <x v="25"/>
    <d v="2025-01-27T00:00:00"/>
    <x v="2"/>
    <x v="3"/>
    <x v="0"/>
    <s v="California"/>
    <s v="Fresno County"/>
    <x v="3"/>
    <x v="4"/>
    <s v="January"/>
    <x v="2"/>
  </r>
  <r>
    <s v="TX500593"/>
    <x v="3"/>
    <x v="1"/>
    <n v="30.9"/>
    <n v="61.8"/>
    <x v="25"/>
    <d v="2025-01-26T00:00:00"/>
    <x v="2"/>
    <x v="2"/>
    <x v="2"/>
    <s v="California"/>
    <s v="Kern County"/>
    <x v="7"/>
    <x v="4"/>
    <s v="January"/>
    <x v="2"/>
  </r>
  <r>
    <s v="TX500594"/>
    <x v="8"/>
    <x v="1"/>
    <n v="18.3"/>
    <n v="36.6"/>
    <x v="25"/>
    <d v="2025-01-27T00:00:00"/>
    <x v="2"/>
    <x v="1"/>
    <x v="0"/>
    <s v="California"/>
    <s v="Los Angeles County"/>
    <x v="3"/>
    <x v="4"/>
    <s v="January"/>
    <x v="2"/>
  </r>
  <r>
    <s v="TX500595"/>
    <x v="4"/>
    <x v="1"/>
    <n v="56.5"/>
    <n v="113"/>
    <x v="25"/>
    <d v="2025-01-30T00:00:00"/>
    <x v="1"/>
    <x v="2"/>
    <x v="2"/>
    <s v="California"/>
    <s v="Los Angeles County"/>
    <x v="5"/>
    <x v="4"/>
    <s v="January"/>
    <x v="1"/>
  </r>
  <r>
    <s v="TX500596"/>
    <x v="10"/>
    <x v="3"/>
    <n v="29.9"/>
    <n v="209.29999999999998"/>
    <x v="25"/>
    <d v="2025-01-28T00:00:00"/>
    <x v="1"/>
    <x v="4"/>
    <x v="2"/>
    <s v="California"/>
    <s v="Los Angeles County"/>
    <x v="1"/>
    <x v="4"/>
    <s v="January"/>
    <x v="1"/>
  </r>
  <r>
    <s v="TX500597"/>
    <x v="5"/>
    <x v="1"/>
    <n v="50.4"/>
    <n v="100.8"/>
    <x v="25"/>
    <d v="2025-01-27T00:00:00"/>
    <x v="2"/>
    <x v="2"/>
    <x v="0"/>
    <s v="California"/>
    <s v="Los Angeles County"/>
    <x v="3"/>
    <x v="4"/>
    <s v="January"/>
    <x v="2"/>
  </r>
  <r>
    <s v="TX500598"/>
    <x v="2"/>
    <x v="0"/>
    <n v="85.8"/>
    <n v="85.8"/>
    <x v="25"/>
    <d v="2025-01-26T00:00:00"/>
    <x v="2"/>
    <x v="2"/>
    <x v="2"/>
    <s v="California"/>
    <s v="Los Angeles County"/>
    <x v="7"/>
    <x v="4"/>
    <s v="January"/>
    <x v="2"/>
  </r>
  <r>
    <s v="TX500599"/>
    <x v="4"/>
    <x v="27"/>
    <n v="66.599999999999994"/>
    <n v="1065.5999999999999"/>
    <x v="25"/>
    <d v="2025-01-28T00:00:00"/>
    <x v="1"/>
    <x v="1"/>
    <x v="0"/>
    <s v="California"/>
    <s v="Los Angeles County"/>
    <x v="1"/>
    <x v="4"/>
    <s v="January"/>
    <x v="1"/>
  </r>
  <r>
    <s v="TX500600"/>
    <x v="6"/>
    <x v="12"/>
    <n v="70.3"/>
    <n v="281.2"/>
    <x v="25"/>
    <d v="2025-01-27T00:00:00"/>
    <x v="2"/>
    <x v="0"/>
    <x v="1"/>
    <s v="California"/>
    <s v="Los Angeles County"/>
    <x v="3"/>
    <x v="4"/>
    <s v="January"/>
    <x v="2"/>
  </r>
  <r>
    <s v="TX500601"/>
    <x v="8"/>
    <x v="12"/>
    <n v="31"/>
    <n v="124"/>
    <x v="25"/>
    <d v="2025-01-29T00:00:00"/>
    <x v="1"/>
    <x v="0"/>
    <x v="2"/>
    <s v="California"/>
    <s v="Los Angeles County"/>
    <x v="2"/>
    <x v="4"/>
    <s v="January"/>
    <x v="1"/>
  </r>
  <r>
    <s v="TX500602"/>
    <x v="7"/>
    <x v="13"/>
    <n v="81.599999999999994"/>
    <n v="489.59999999999997"/>
    <x v="25"/>
    <d v="2025-01-27T00:00:00"/>
    <x v="2"/>
    <x v="1"/>
    <x v="1"/>
    <s v="California"/>
    <s v="Madera County"/>
    <x v="3"/>
    <x v="4"/>
    <s v="January"/>
    <x v="2"/>
  </r>
  <r>
    <s v="TX500603"/>
    <x v="1"/>
    <x v="30"/>
    <n v="58.3"/>
    <n v="1457.5"/>
    <x v="25"/>
    <d v="2025-01-27T00:00:00"/>
    <x v="2"/>
    <x v="0"/>
    <x v="0"/>
    <s v="California"/>
    <s v="Napa County"/>
    <x v="3"/>
    <x v="4"/>
    <s v="January"/>
    <x v="2"/>
  </r>
  <r>
    <s v="TX500604"/>
    <x v="1"/>
    <x v="12"/>
    <n v="35.1"/>
    <n v="140.4"/>
    <x v="25"/>
    <d v="2025-01-28T00:00:00"/>
    <x v="1"/>
    <x v="0"/>
    <x v="2"/>
    <s v="California"/>
    <s v="San Diego County"/>
    <x v="1"/>
    <x v="4"/>
    <s v="January"/>
    <x v="1"/>
  </r>
  <r>
    <s v="TX500605"/>
    <x v="2"/>
    <x v="0"/>
    <n v="80.2"/>
    <n v="80.2"/>
    <x v="25"/>
    <d v="2025-01-27T00:00:00"/>
    <x v="1"/>
    <x v="3"/>
    <x v="2"/>
    <s v="California"/>
    <s v="San Diego County"/>
    <x v="3"/>
    <x v="4"/>
    <s v="January"/>
    <x v="1"/>
  </r>
  <r>
    <s v="TX500606"/>
    <x v="14"/>
    <x v="2"/>
    <n v="39.200000000000003"/>
    <n v="117.60000000000001"/>
    <x v="25"/>
    <d v="2025-01-28T00:00:00"/>
    <x v="2"/>
    <x v="1"/>
    <x v="0"/>
    <s v="California"/>
    <s v="San Mateo County"/>
    <x v="1"/>
    <x v="4"/>
    <s v="January"/>
    <x v="2"/>
  </r>
  <r>
    <s v="TX500607"/>
    <x v="0"/>
    <x v="1"/>
    <n v="15.4"/>
    <n v="30.8"/>
    <x v="25"/>
    <d v="2025-01-26T00:00:00"/>
    <x v="2"/>
    <x v="3"/>
    <x v="0"/>
    <s v="California"/>
    <s v="Sierra County"/>
    <x v="7"/>
    <x v="4"/>
    <s v="January"/>
    <x v="2"/>
  </r>
  <r>
    <s v="TX500608"/>
    <x v="3"/>
    <x v="2"/>
    <n v="65.400000000000006"/>
    <n v="196.20000000000002"/>
    <x v="25"/>
    <d v="2025-01-29T00:00:00"/>
    <x v="1"/>
    <x v="3"/>
    <x v="0"/>
    <s v="California"/>
    <s v="Sonoma County"/>
    <x v="2"/>
    <x v="4"/>
    <s v="January"/>
    <x v="1"/>
  </r>
  <r>
    <s v="TX500609"/>
    <x v="1"/>
    <x v="8"/>
    <n v="63.2"/>
    <n v="505.6"/>
    <x v="25"/>
    <d v="2025-01-28T00:00:00"/>
    <x v="2"/>
    <x v="1"/>
    <x v="0"/>
    <s v="California"/>
    <s v="Stanislaus County"/>
    <x v="1"/>
    <x v="4"/>
    <s v="January"/>
    <x v="2"/>
  </r>
  <r>
    <s v="TX500610"/>
    <x v="1"/>
    <x v="13"/>
    <n v="35.700000000000003"/>
    <n v="214.20000000000002"/>
    <x v="25"/>
    <d v="2025-01-30T00:00:00"/>
    <x v="2"/>
    <x v="4"/>
    <x v="1"/>
    <s v="California"/>
    <s v="Stanislaus County"/>
    <x v="5"/>
    <x v="4"/>
    <s v="January"/>
    <x v="2"/>
  </r>
  <r>
    <s v="TX500611"/>
    <x v="0"/>
    <x v="28"/>
    <n v="26.2"/>
    <n v="524"/>
    <x v="25"/>
    <d v="2025-01-27T00:00:00"/>
    <x v="2"/>
    <x v="3"/>
    <x v="0"/>
    <s v="California"/>
    <s v="Alameda County"/>
    <x v="3"/>
    <x v="4"/>
    <s v="January"/>
    <x v="2"/>
  </r>
  <r>
    <s v="TX500612"/>
    <x v="7"/>
    <x v="1"/>
    <n v="31"/>
    <n v="62"/>
    <x v="25"/>
    <d v="2025-01-27T00:00:00"/>
    <x v="2"/>
    <x v="0"/>
    <x v="2"/>
    <s v="California"/>
    <s v="Contra Costa County"/>
    <x v="3"/>
    <x v="4"/>
    <s v="January"/>
    <x v="2"/>
  </r>
  <r>
    <s v="TX500613"/>
    <x v="8"/>
    <x v="12"/>
    <n v="37.700000000000003"/>
    <n v="150.80000000000001"/>
    <x v="25"/>
    <d v="2025-01-27T00:00:00"/>
    <x v="2"/>
    <x v="1"/>
    <x v="0"/>
    <s v="California"/>
    <s v="Kern County"/>
    <x v="3"/>
    <x v="4"/>
    <s v="January"/>
    <x v="2"/>
  </r>
  <r>
    <s v="TX500614"/>
    <x v="10"/>
    <x v="33"/>
    <n v="43.6"/>
    <n v="1482.4"/>
    <x v="25"/>
    <d v="2025-01-28T00:00:00"/>
    <x v="2"/>
    <x v="4"/>
    <x v="1"/>
    <s v="California"/>
    <s v="Los Angeles County"/>
    <x v="1"/>
    <x v="4"/>
    <s v="January"/>
    <x v="2"/>
  </r>
  <r>
    <s v="TX500615"/>
    <x v="9"/>
    <x v="12"/>
    <n v="26.5"/>
    <n v="106"/>
    <x v="25"/>
    <d v="2025-01-28T00:00:00"/>
    <x v="1"/>
    <x v="0"/>
    <x v="4"/>
    <s v="California"/>
    <s v="Los Angeles County"/>
    <x v="1"/>
    <x v="4"/>
    <s v="January"/>
    <x v="1"/>
  </r>
  <r>
    <s v="TX500616"/>
    <x v="0"/>
    <x v="1"/>
    <n v="34.6"/>
    <n v="69.2"/>
    <x v="25"/>
    <d v="2025-01-27T00:00:00"/>
    <x v="1"/>
    <x v="4"/>
    <x v="1"/>
    <s v="California"/>
    <s v="Los Angeles County"/>
    <x v="3"/>
    <x v="4"/>
    <s v="January"/>
    <x v="1"/>
  </r>
  <r>
    <s v="TX500617"/>
    <x v="8"/>
    <x v="1"/>
    <n v="58.2"/>
    <n v="116.4"/>
    <x v="25"/>
    <d v="2025-01-27T00:00:00"/>
    <x v="1"/>
    <x v="2"/>
    <x v="2"/>
    <s v="California"/>
    <s v="Los Angeles County"/>
    <x v="3"/>
    <x v="4"/>
    <s v="January"/>
    <x v="1"/>
  </r>
  <r>
    <s v="TX500618"/>
    <x v="7"/>
    <x v="0"/>
    <n v="30.2"/>
    <n v="30.2"/>
    <x v="26"/>
    <d v="2025-01-28T00:00:00"/>
    <x v="2"/>
    <x v="2"/>
    <x v="1"/>
    <s v="California"/>
    <s v="Los Angeles County"/>
    <x v="3"/>
    <x v="4"/>
    <s v="January"/>
    <x v="2"/>
  </r>
  <r>
    <s v="TX500619"/>
    <x v="1"/>
    <x v="7"/>
    <n v="53.2"/>
    <n v="532"/>
    <x v="26"/>
    <d v="2025-01-28T00:00:00"/>
    <x v="1"/>
    <x v="0"/>
    <x v="2"/>
    <s v="California"/>
    <s v="Placer County"/>
    <x v="3"/>
    <x v="4"/>
    <s v="January"/>
    <x v="1"/>
  </r>
  <r>
    <s v="TX500620"/>
    <x v="12"/>
    <x v="13"/>
    <n v="51.1"/>
    <n v="306.60000000000002"/>
    <x v="26"/>
    <d v="2025-01-27T00:00:00"/>
    <x v="1"/>
    <x v="1"/>
    <x v="2"/>
    <s v="California"/>
    <s v="Placer County"/>
    <x v="7"/>
    <x v="4"/>
    <s v="January"/>
    <x v="1"/>
  </r>
  <r>
    <s v="TX500621"/>
    <x v="1"/>
    <x v="0"/>
    <n v="105.4"/>
    <n v="105.4"/>
    <x v="26"/>
    <d v="2025-01-31T00:00:00"/>
    <x v="2"/>
    <x v="1"/>
    <x v="2"/>
    <s v="California"/>
    <s v="Riverside County"/>
    <x v="5"/>
    <x v="4"/>
    <s v="January"/>
    <x v="2"/>
  </r>
  <r>
    <s v="TX500622"/>
    <x v="7"/>
    <x v="0"/>
    <n v="57.7"/>
    <n v="57.7"/>
    <x v="26"/>
    <d v="2025-01-27T00:00:00"/>
    <x v="1"/>
    <x v="0"/>
    <x v="4"/>
    <s v="California"/>
    <s v="San Diego County"/>
    <x v="7"/>
    <x v="4"/>
    <s v="January"/>
    <x v="1"/>
  </r>
  <r>
    <s v="TX500623"/>
    <x v="15"/>
    <x v="1"/>
    <n v="72.400000000000006"/>
    <n v="144.80000000000001"/>
    <x v="26"/>
    <d v="2025-02-01T00:00:00"/>
    <x v="2"/>
    <x v="0"/>
    <x v="0"/>
    <s v="California"/>
    <s v="San Francisco"/>
    <x v="0"/>
    <x v="4"/>
    <s v="January"/>
    <x v="2"/>
  </r>
  <r>
    <s v="TX500624"/>
    <x v="6"/>
    <x v="1"/>
    <n v="62.5"/>
    <n v="125"/>
    <x v="26"/>
    <d v="2025-01-28T00:00:00"/>
    <x v="0"/>
    <x v="0"/>
    <x v="2"/>
    <s v="California"/>
    <s v="Santa Clara County"/>
    <x v="3"/>
    <x v="4"/>
    <s v="January"/>
    <x v="0"/>
  </r>
  <r>
    <s v="TX500625"/>
    <x v="0"/>
    <x v="32"/>
    <n v="11.6"/>
    <n v="255.2"/>
    <x v="26"/>
    <d v="2025-01-29T00:00:00"/>
    <x v="2"/>
    <x v="3"/>
    <x v="2"/>
    <s v="California"/>
    <s v="Sonoma County"/>
    <x v="1"/>
    <x v="4"/>
    <s v="January"/>
    <x v="2"/>
  </r>
  <r>
    <s v="TX500626"/>
    <x v="10"/>
    <x v="7"/>
    <n v="39.6"/>
    <n v="396"/>
    <x v="26"/>
    <d v="2025-01-29T00:00:00"/>
    <x v="2"/>
    <x v="2"/>
    <x v="2"/>
    <s v="California"/>
    <s v="Sonoma County"/>
    <x v="1"/>
    <x v="4"/>
    <s v="January"/>
    <x v="2"/>
  </r>
  <r>
    <s v="TX500627"/>
    <x v="8"/>
    <x v="1"/>
    <n v="40.1"/>
    <n v="80.2"/>
    <x v="26"/>
    <d v="2025-01-28T00:00:00"/>
    <x v="2"/>
    <x v="2"/>
    <x v="0"/>
    <s v="California"/>
    <s v="Sonoma County"/>
    <x v="3"/>
    <x v="4"/>
    <s v="January"/>
    <x v="2"/>
  </r>
  <r>
    <s v="TX500628"/>
    <x v="8"/>
    <x v="2"/>
    <n v="18.600000000000001"/>
    <n v="55.800000000000004"/>
    <x v="26"/>
    <d v="2025-01-28T00:00:00"/>
    <x v="2"/>
    <x v="2"/>
    <x v="0"/>
    <s v="California"/>
    <s v="Alameda County"/>
    <x v="3"/>
    <x v="4"/>
    <s v="January"/>
    <x v="2"/>
  </r>
  <r>
    <s v="TX500629"/>
    <x v="4"/>
    <x v="0"/>
    <n v="58.8"/>
    <n v="58.8"/>
    <x v="26"/>
    <d v="2025-01-29T00:00:00"/>
    <x v="2"/>
    <x v="0"/>
    <x v="1"/>
    <s v="California"/>
    <s v="Alameda County"/>
    <x v="1"/>
    <x v="4"/>
    <s v="January"/>
    <x v="2"/>
  </r>
  <r>
    <s v="TX500630"/>
    <x v="8"/>
    <x v="1"/>
    <n v="22.1"/>
    <n v="44.2"/>
    <x v="26"/>
    <d v="2025-01-30T00:00:00"/>
    <x v="1"/>
    <x v="1"/>
    <x v="2"/>
    <s v="California"/>
    <s v="Alameda County"/>
    <x v="2"/>
    <x v="4"/>
    <s v="January"/>
    <x v="1"/>
  </r>
  <r>
    <s v="TX500631"/>
    <x v="2"/>
    <x v="0"/>
    <n v="114.9"/>
    <n v="114.9"/>
    <x v="27"/>
    <d v="2025-01-29T00:00:00"/>
    <x v="2"/>
    <x v="1"/>
    <x v="1"/>
    <s v="California"/>
    <s v="Kern County"/>
    <x v="3"/>
    <x v="4"/>
    <s v="January"/>
    <x v="2"/>
  </r>
  <r>
    <s v="TX500632"/>
    <x v="9"/>
    <x v="9"/>
    <n v="75.8"/>
    <n v="379"/>
    <x v="27"/>
    <d v="2025-01-29T00:00:00"/>
    <x v="1"/>
    <x v="0"/>
    <x v="2"/>
    <s v="California"/>
    <s v="Los Angeles County"/>
    <x v="3"/>
    <x v="4"/>
    <s v="January"/>
    <x v="1"/>
  </r>
  <r>
    <s v="TX500633"/>
    <x v="14"/>
    <x v="9"/>
    <n v="20.6"/>
    <n v="103"/>
    <x v="27"/>
    <d v="2025-01-29T00:00:00"/>
    <x v="1"/>
    <x v="2"/>
    <x v="2"/>
    <s v="California"/>
    <s v="Los Angeles County"/>
    <x v="3"/>
    <x v="4"/>
    <s v="January"/>
    <x v="1"/>
  </r>
  <r>
    <s v="TX500634"/>
    <x v="17"/>
    <x v="2"/>
    <n v="67.900000000000006"/>
    <n v="203.70000000000002"/>
    <x v="27"/>
    <d v="2025-01-29T00:00:00"/>
    <x v="2"/>
    <x v="1"/>
    <x v="1"/>
    <s v="California"/>
    <s v="Los Angeles County"/>
    <x v="3"/>
    <x v="4"/>
    <s v="January"/>
    <x v="2"/>
  </r>
  <r>
    <s v="TX500635"/>
    <x v="0"/>
    <x v="9"/>
    <n v="27"/>
    <n v="135"/>
    <x v="27"/>
    <d v="2025-02-04T00:00:00"/>
    <x v="2"/>
    <x v="0"/>
    <x v="2"/>
    <s v="California"/>
    <s v="Los Angeles County"/>
    <x v="6"/>
    <x v="4"/>
    <s v="January"/>
    <x v="2"/>
  </r>
  <r>
    <s v="TX500636"/>
    <x v="13"/>
    <x v="0"/>
    <n v="50.6"/>
    <n v="50.6"/>
    <x v="27"/>
    <d v="2025-01-28T00:00:00"/>
    <x v="1"/>
    <x v="0"/>
    <x v="1"/>
    <s v="California"/>
    <s v="Los Angeles County"/>
    <x v="7"/>
    <x v="4"/>
    <s v="January"/>
    <x v="1"/>
  </r>
  <r>
    <s v="TX500637"/>
    <x v="4"/>
    <x v="9"/>
    <n v="22.1"/>
    <n v="110.5"/>
    <x v="27"/>
    <d v="2025-02-02T00:00:00"/>
    <x v="1"/>
    <x v="0"/>
    <x v="0"/>
    <s v="California"/>
    <s v="Los Angeles County"/>
    <x v="0"/>
    <x v="4"/>
    <s v="January"/>
    <x v="1"/>
  </r>
  <r>
    <s v="TX500638"/>
    <x v="8"/>
    <x v="2"/>
    <n v="42.9"/>
    <n v="128.69999999999999"/>
    <x v="27"/>
    <d v="2025-01-30T00:00:00"/>
    <x v="2"/>
    <x v="0"/>
    <x v="0"/>
    <s v="California"/>
    <s v="Los Angeles County"/>
    <x v="1"/>
    <x v="4"/>
    <s v="January"/>
    <x v="2"/>
  </r>
  <r>
    <s v="TX500639"/>
    <x v="1"/>
    <x v="5"/>
    <n v="62.4"/>
    <n v="686.4"/>
    <x v="27"/>
    <d v="2025-01-30T00:00:00"/>
    <x v="2"/>
    <x v="2"/>
    <x v="0"/>
    <s v="California"/>
    <s v="Los Angeles County"/>
    <x v="1"/>
    <x v="4"/>
    <s v="January"/>
    <x v="2"/>
  </r>
  <r>
    <s v="TX500640"/>
    <x v="13"/>
    <x v="11"/>
    <n v="36.4"/>
    <n v="327.59999999999997"/>
    <x v="27"/>
    <d v="2025-01-30T00:00:00"/>
    <x v="2"/>
    <x v="0"/>
    <x v="2"/>
    <s v="California"/>
    <s v="Los Angeles County"/>
    <x v="1"/>
    <x v="4"/>
    <s v="January"/>
    <x v="2"/>
  </r>
  <r>
    <s v="TX500641"/>
    <x v="0"/>
    <x v="1"/>
    <n v="22.5"/>
    <n v="45"/>
    <x v="27"/>
    <d v="2025-01-31T00:00:00"/>
    <x v="1"/>
    <x v="0"/>
    <x v="0"/>
    <s v="California"/>
    <s v="Los Angeles County"/>
    <x v="2"/>
    <x v="4"/>
    <s v="January"/>
    <x v="1"/>
  </r>
  <r>
    <s v="TX500642"/>
    <x v="6"/>
    <x v="12"/>
    <n v="70.8"/>
    <n v="283.2"/>
    <x v="27"/>
    <d v="2025-01-30T00:00:00"/>
    <x v="2"/>
    <x v="4"/>
    <x v="0"/>
    <s v="California"/>
    <s v="Los Angeles County"/>
    <x v="1"/>
    <x v="4"/>
    <s v="January"/>
    <x v="2"/>
  </r>
  <r>
    <s v="TX500643"/>
    <x v="6"/>
    <x v="9"/>
    <n v="56.6"/>
    <n v="283"/>
    <x v="27"/>
    <d v="2025-01-30T00:00:00"/>
    <x v="1"/>
    <x v="0"/>
    <x v="1"/>
    <s v="California"/>
    <s v="Nevada County"/>
    <x v="1"/>
    <x v="4"/>
    <s v="January"/>
    <x v="1"/>
  </r>
  <r>
    <s v="TX500644"/>
    <x v="6"/>
    <x v="1"/>
    <n v="47.9"/>
    <n v="95.8"/>
    <x v="27"/>
    <d v="2025-01-29T00:00:00"/>
    <x v="2"/>
    <x v="0"/>
    <x v="0"/>
    <s v="California"/>
    <s v="Sacramento County"/>
    <x v="3"/>
    <x v="4"/>
    <s v="January"/>
    <x v="2"/>
  </r>
  <r>
    <s v="TX500645"/>
    <x v="6"/>
    <x v="8"/>
    <n v="78.400000000000006"/>
    <n v="627.20000000000005"/>
    <x v="27"/>
    <d v="2025-01-30T00:00:00"/>
    <x v="2"/>
    <x v="1"/>
    <x v="0"/>
    <s v="California"/>
    <s v="Sacramento County"/>
    <x v="1"/>
    <x v="4"/>
    <s v="January"/>
    <x v="2"/>
  </r>
  <r>
    <s v="TX500646"/>
    <x v="2"/>
    <x v="21"/>
    <n v="122.1"/>
    <n v="1709.3999999999999"/>
    <x v="27"/>
    <d v="2025-02-02T00:00:00"/>
    <x v="2"/>
    <x v="0"/>
    <x v="2"/>
    <s v="California"/>
    <s v="Sacramento County"/>
    <x v="0"/>
    <x v="4"/>
    <s v="January"/>
    <x v="2"/>
  </r>
  <r>
    <s v="TX500647"/>
    <x v="2"/>
    <x v="1"/>
    <n v="83.7"/>
    <n v="167.4"/>
    <x v="28"/>
    <d v="2025-01-29T00:00:00"/>
    <x v="0"/>
    <x v="1"/>
    <x v="2"/>
    <s v="California"/>
    <s v="San Bernardino County"/>
    <x v="7"/>
    <x v="4"/>
    <s v="January"/>
    <x v="0"/>
  </r>
  <r>
    <s v="TX500648"/>
    <x v="3"/>
    <x v="12"/>
    <n v="97.9"/>
    <n v="391.6"/>
    <x v="28"/>
    <d v="2025-02-02T00:00:00"/>
    <x v="2"/>
    <x v="3"/>
    <x v="2"/>
    <s v="California"/>
    <s v="San Bernardino County"/>
    <x v="5"/>
    <x v="4"/>
    <s v="January"/>
    <x v="2"/>
  </r>
  <r>
    <s v="TX500649"/>
    <x v="14"/>
    <x v="0"/>
    <n v="15"/>
    <n v="15"/>
    <x v="28"/>
    <d v="2025-02-03T00:00:00"/>
    <x v="2"/>
    <x v="3"/>
    <x v="0"/>
    <s v="California"/>
    <s v="San Diego County"/>
    <x v="0"/>
    <x v="4"/>
    <s v="January"/>
    <x v="2"/>
  </r>
  <r>
    <s v="TX500650"/>
    <x v="12"/>
    <x v="2"/>
    <n v="94.6"/>
    <n v="283.79999999999995"/>
    <x v="28"/>
    <d v="2025-01-30T00:00:00"/>
    <x v="1"/>
    <x v="2"/>
    <x v="1"/>
    <s v="California"/>
    <s v="San Diego County"/>
    <x v="3"/>
    <x v="4"/>
    <s v="January"/>
    <x v="1"/>
  </r>
  <r>
    <s v="TX500651"/>
    <x v="0"/>
    <x v="13"/>
    <n v="19.7"/>
    <n v="118.19999999999999"/>
    <x v="28"/>
    <d v="2025-02-09T00:00:00"/>
    <x v="2"/>
    <x v="0"/>
    <x v="2"/>
    <s v="California"/>
    <s v="San Diego County"/>
    <x v="11"/>
    <x v="4"/>
    <s v="January"/>
    <x v="2"/>
  </r>
  <r>
    <s v="TX500652"/>
    <x v="7"/>
    <x v="0"/>
    <n v="46.7"/>
    <n v="46.7"/>
    <x v="28"/>
    <d v="2025-02-01T00:00:00"/>
    <x v="2"/>
    <x v="2"/>
    <x v="0"/>
    <s v="California"/>
    <s v="San Francisco"/>
    <x v="2"/>
    <x v="4"/>
    <s v="January"/>
    <x v="2"/>
  </r>
  <r>
    <s v="TX500653"/>
    <x v="1"/>
    <x v="12"/>
    <n v="43"/>
    <n v="172"/>
    <x v="28"/>
    <d v="2025-01-30T00:00:00"/>
    <x v="1"/>
    <x v="2"/>
    <x v="2"/>
    <s v="California"/>
    <s v="San Francisco"/>
    <x v="3"/>
    <x v="4"/>
    <s v="January"/>
    <x v="1"/>
  </r>
  <r>
    <s v="TX500654"/>
    <x v="6"/>
    <x v="2"/>
    <n v="68.2"/>
    <n v="204.60000000000002"/>
    <x v="28"/>
    <d v="2025-02-04T00:00:00"/>
    <x v="2"/>
    <x v="0"/>
    <x v="0"/>
    <s v="California"/>
    <s v="San Mateo County"/>
    <x v="4"/>
    <x v="4"/>
    <s v="January"/>
    <x v="2"/>
  </r>
  <r>
    <s v="TX500655"/>
    <x v="10"/>
    <x v="7"/>
    <n v="24.3"/>
    <n v="243"/>
    <x v="28"/>
    <d v="2025-01-30T00:00:00"/>
    <x v="1"/>
    <x v="0"/>
    <x v="2"/>
    <s v="California"/>
    <s v="Santa Barbara County"/>
    <x v="3"/>
    <x v="4"/>
    <s v="January"/>
    <x v="1"/>
  </r>
  <r>
    <s v="TX500656"/>
    <x v="7"/>
    <x v="1"/>
    <n v="86.8"/>
    <n v="173.6"/>
    <x v="28"/>
    <d v="2025-02-02T00:00:00"/>
    <x v="2"/>
    <x v="4"/>
    <x v="2"/>
    <s v="California"/>
    <s v="Santa Clara County"/>
    <x v="5"/>
    <x v="4"/>
    <s v="January"/>
    <x v="2"/>
  </r>
  <r>
    <s v="TX500657"/>
    <x v="0"/>
    <x v="1"/>
    <n v="15.8"/>
    <n v="31.6"/>
    <x v="28"/>
    <d v="2025-01-31T00:00:00"/>
    <x v="1"/>
    <x v="1"/>
    <x v="0"/>
    <s v="California"/>
    <s v="Santa Clara County"/>
    <x v="1"/>
    <x v="4"/>
    <s v="January"/>
    <x v="1"/>
  </r>
  <r>
    <s v="TX500658"/>
    <x v="2"/>
    <x v="12"/>
    <n v="61.6"/>
    <n v="246.4"/>
    <x v="28"/>
    <d v="2025-01-30T00:00:00"/>
    <x v="1"/>
    <x v="2"/>
    <x v="0"/>
    <s v="California"/>
    <s v="Santa Clara County"/>
    <x v="3"/>
    <x v="4"/>
    <s v="January"/>
    <x v="1"/>
  </r>
  <r>
    <s v="TX500659"/>
    <x v="6"/>
    <x v="2"/>
    <n v="48.7"/>
    <n v="146.10000000000002"/>
    <x v="28"/>
    <d v="2025-02-04T00:00:00"/>
    <x v="2"/>
    <x v="1"/>
    <x v="2"/>
    <s v="California"/>
    <s v="Trinity County"/>
    <x v="4"/>
    <x v="4"/>
    <s v="January"/>
    <x v="2"/>
  </r>
  <r>
    <s v="TX500660"/>
    <x v="8"/>
    <x v="12"/>
    <n v="24.3"/>
    <n v="97.2"/>
    <x v="28"/>
    <d v="2025-01-31T00:00:00"/>
    <x v="2"/>
    <x v="1"/>
    <x v="2"/>
    <s v="California"/>
    <s v="Alameda County"/>
    <x v="1"/>
    <x v="4"/>
    <s v="January"/>
    <x v="2"/>
  </r>
  <r>
    <s v="TX500661"/>
    <x v="2"/>
    <x v="1"/>
    <n v="130.69999999999999"/>
    <n v="261.39999999999998"/>
    <x v="28"/>
    <d v="2025-01-30T00:00:00"/>
    <x v="2"/>
    <x v="2"/>
    <x v="0"/>
    <s v="California"/>
    <s v="Humboldt County"/>
    <x v="3"/>
    <x v="4"/>
    <s v="January"/>
    <x v="2"/>
  </r>
  <r>
    <s v="TX500662"/>
    <x v="10"/>
    <x v="0"/>
    <n v="26"/>
    <n v="26"/>
    <x v="28"/>
    <d v="2025-01-31T00:00:00"/>
    <x v="1"/>
    <x v="0"/>
    <x v="0"/>
    <s v="California"/>
    <s v="Los Angeles County"/>
    <x v="1"/>
    <x v="4"/>
    <s v="January"/>
    <x v="1"/>
  </r>
  <r>
    <s v="TX500663"/>
    <x v="2"/>
    <x v="9"/>
    <n v="94.4"/>
    <n v="472"/>
    <x v="28"/>
    <d v="2025-01-30T00:00:00"/>
    <x v="2"/>
    <x v="0"/>
    <x v="0"/>
    <s v="California"/>
    <s v="Los Angeles County"/>
    <x v="3"/>
    <x v="4"/>
    <s v="January"/>
    <x v="2"/>
  </r>
  <r>
    <s v="TX500664"/>
    <x v="0"/>
    <x v="13"/>
    <n v="23.7"/>
    <n v="142.19999999999999"/>
    <x v="28"/>
    <d v="2025-01-31T00:00:00"/>
    <x v="1"/>
    <x v="2"/>
    <x v="2"/>
    <s v="California"/>
    <s v="Los Angeles County"/>
    <x v="1"/>
    <x v="4"/>
    <s v="January"/>
    <x v="1"/>
  </r>
  <r>
    <s v="TX500665"/>
    <x v="9"/>
    <x v="4"/>
    <n v="37.4"/>
    <n v="448.79999999999995"/>
    <x v="28"/>
    <d v="2025-01-31T00:00:00"/>
    <x v="1"/>
    <x v="2"/>
    <x v="0"/>
    <s v="California"/>
    <s v="Los Angeles County"/>
    <x v="1"/>
    <x v="4"/>
    <s v="January"/>
    <x v="1"/>
  </r>
  <r>
    <s v="TX500666"/>
    <x v="1"/>
    <x v="34"/>
    <n v="55.2"/>
    <n v="1987.2"/>
    <x v="28"/>
    <d v="2025-01-29T00:00:00"/>
    <x v="2"/>
    <x v="3"/>
    <x v="1"/>
    <s v="California"/>
    <s v="Los Angeles County"/>
    <x v="7"/>
    <x v="4"/>
    <s v="January"/>
    <x v="2"/>
  </r>
  <r>
    <s v="TX500667"/>
    <x v="2"/>
    <x v="11"/>
    <n v="57.1"/>
    <n v="513.9"/>
    <x v="28"/>
    <d v="2025-01-31T00:00:00"/>
    <x v="1"/>
    <x v="0"/>
    <x v="2"/>
    <s v="California"/>
    <s v="Los Angeles County"/>
    <x v="1"/>
    <x v="4"/>
    <s v="January"/>
    <x v="1"/>
  </r>
  <r>
    <s v="TX500668"/>
    <x v="12"/>
    <x v="0"/>
    <n v="55.3"/>
    <n v="55.3"/>
    <x v="28"/>
    <d v="2025-01-30T00:00:00"/>
    <x v="2"/>
    <x v="2"/>
    <x v="2"/>
    <s v="California"/>
    <s v="Los Angeles County"/>
    <x v="3"/>
    <x v="4"/>
    <s v="January"/>
    <x v="2"/>
  </r>
  <r>
    <s v="TX500669"/>
    <x v="15"/>
    <x v="3"/>
    <n v="23.9"/>
    <n v="167.29999999999998"/>
    <x v="28"/>
    <d v="2025-01-30T00:00:00"/>
    <x v="2"/>
    <x v="4"/>
    <x v="1"/>
    <s v="California"/>
    <s v="Los Angeles County"/>
    <x v="3"/>
    <x v="4"/>
    <s v="January"/>
    <x v="2"/>
  </r>
  <r>
    <s v="TX500670"/>
    <x v="0"/>
    <x v="0"/>
    <n v="34.1"/>
    <n v="34.1"/>
    <x v="28"/>
    <d v="2025-02-05T00:00:00"/>
    <x v="2"/>
    <x v="2"/>
    <x v="0"/>
    <s v="California"/>
    <s v="Los Angeles County"/>
    <x v="6"/>
    <x v="4"/>
    <s v="January"/>
    <x v="2"/>
  </r>
  <r>
    <s v="TX500671"/>
    <x v="12"/>
    <x v="12"/>
    <n v="38.5"/>
    <n v="154"/>
    <x v="28"/>
    <d v="2025-02-09T00:00:00"/>
    <x v="2"/>
    <x v="0"/>
    <x v="0"/>
    <s v="California"/>
    <s v="Los Angeles County"/>
    <x v="11"/>
    <x v="4"/>
    <s v="January"/>
    <x v="2"/>
  </r>
  <r>
    <s v="TX500672"/>
    <x v="7"/>
    <x v="1"/>
    <n v="105"/>
    <n v="210"/>
    <x v="28"/>
    <d v="2025-02-04T00:00:00"/>
    <x v="2"/>
    <x v="0"/>
    <x v="2"/>
    <s v="California"/>
    <s v="Los Angeles County"/>
    <x v="4"/>
    <x v="4"/>
    <s v="January"/>
    <x v="2"/>
  </r>
  <r>
    <s v="TX500673"/>
    <x v="8"/>
    <x v="9"/>
    <n v="45.2"/>
    <n v="226"/>
    <x v="28"/>
    <d v="2025-01-31T00:00:00"/>
    <x v="2"/>
    <x v="0"/>
    <x v="2"/>
    <s v="California"/>
    <s v="Los Angeles County"/>
    <x v="1"/>
    <x v="4"/>
    <s v="January"/>
    <x v="2"/>
  </r>
  <r>
    <s v="TX500674"/>
    <x v="17"/>
    <x v="2"/>
    <n v="24.8"/>
    <n v="74.400000000000006"/>
    <x v="28"/>
    <d v="2025-01-29T00:00:00"/>
    <x v="0"/>
    <x v="0"/>
    <x v="1"/>
    <s v="California"/>
    <s v="Los Angeles County"/>
    <x v="7"/>
    <x v="4"/>
    <s v="January"/>
    <x v="0"/>
  </r>
  <r>
    <s v="TX500675"/>
    <x v="11"/>
    <x v="12"/>
    <n v="43.8"/>
    <n v="175.2"/>
    <x v="28"/>
    <d v="2025-02-05T00:00:00"/>
    <x v="2"/>
    <x v="1"/>
    <x v="2"/>
    <s v="California"/>
    <s v="Sacramento County"/>
    <x v="6"/>
    <x v="4"/>
    <s v="January"/>
    <x v="2"/>
  </r>
  <r>
    <s v="TX500676"/>
    <x v="1"/>
    <x v="0"/>
    <n v="75"/>
    <n v="75"/>
    <x v="28"/>
    <d v="2025-01-31T00:00:00"/>
    <x v="2"/>
    <x v="4"/>
    <x v="1"/>
    <s v="California"/>
    <s v="Sacramento County"/>
    <x v="1"/>
    <x v="4"/>
    <s v="January"/>
    <x v="2"/>
  </r>
  <r>
    <s v="TX500677"/>
    <x v="2"/>
    <x v="0"/>
    <n v="169.9"/>
    <n v="169.9"/>
    <x v="28"/>
    <d v="2025-01-30T00:00:00"/>
    <x v="1"/>
    <x v="2"/>
    <x v="0"/>
    <s v="California"/>
    <s v="Sacramento County"/>
    <x v="3"/>
    <x v="4"/>
    <s v="January"/>
    <x v="1"/>
  </r>
  <r>
    <s v="TX500678"/>
    <x v="9"/>
    <x v="1"/>
    <n v="72.2"/>
    <n v="144.4"/>
    <x v="28"/>
    <d v="2025-01-31T00:00:00"/>
    <x v="2"/>
    <x v="4"/>
    <x v="1"/>
    <s v="California"/>
    <s v="Sacramento County"/>
    <x v="1"/>
    <x v="4"/>
    <s v="January"/>
    <x v="2"/>
  </r>
  <r>
    <s v="TX500679"/>
    <x v="0"/>
    <x v="0"/>
    <n v="20"/>
    <n v="20"/>
    <x v="29"/>
    <d v="2025-02-02T00:00:00"/>
    <x v="2"/>
    <x v="2"/>
    <x v="1"/>
    <s v="California"/>
    <s v="San Bernardino County"/>
    <x v="2"/>
    <x v="4"/>
    <s v="January"/>
    <x v="2"/>
  </r>
  <r>
    <s v="TX500680"/>
    <x v="9"/>
    <x v="1"/>
    <n v="40.799999999999997"/>
    <n v="81.599999999999994"/>
    <x v="29"/>
    <d v="2025-02-01T00:00:00"/>
    <x v="2"/>
    <x v="3"/>
    <x v="2"/>
    <s v="California"/>
    <s v="San Diego County"/>
    <x v="1"/>
    <x v="4"/>
    <s v="January"/>
    <x v="2"/>
  </r>
  <r>
    <s v="TX500681"/>
    <x v="10"/>
    <x v="12"/>
    <n v="58"/>
    <n v="232"/>
    <x v="29"/>
    <d v="2025-02-03T00:00:00"/>
    <x v="2"/>
    <x v="0"/>
    <x v="0"/>
    <s v="California"/>
    <s v="San Diego County"/>
    <x v="5"/>
    <x v="4"/>
    <s v="January"/>
    <x v="2"/>
  </r>
  <r>
    <s v="TX500682"/>
    <x v="12"/>
    <x v="1"/>
    <n v="43.1"/>
    <n v="86.2"/>
    <x v="29"/>
    <d v="2025-01-31T00:00:00"/>
    <x v="2"/>
    <x v="1"/>
    <x v="2"/>
    <s v="California"/>
    <s v="San Diego County"/>
    <x v="3"/>
    <x v="4"/>
    <s v="January"/>
    <x v="2"/>
  </r>
  <r>
    <s v="TX500683"/>
    <x v="6"/>
    <x v="11"/>
    <n v="74.7"/>
    <n v="672.30000000000007"/>
    <x v="29"/>
    <d v="2025-02-01T00:00:00"/>
    <x v="1"/>
    <x v="0"/>
    <x v="2"/>
    <s v="California"/>
    <s v="San Diego County"/>
    <x v="1"/>
    <x v="4"/>
    <s v="January"/>
    <x v="1"/>
  </r>
  <r>
    <s v="TX500684"/>
    <x v="6"/>
    <x v="0"/>
    <n v="128.19999999999999"/>
    <n v="128.19999999999999"/>
    <x v="29"/>
    <d v="2025-01-30T00:00:00"/>
    <x v="1"/>
    <x v="1"/>
    <x v="0"/>
    <s v="California"/>
    <s v="San Diego County"/>
    <x v="7"/>
    <x v="4"/>
    <s v="January"/>
    <x v="1"/>
  </r>
  <r>
    <s v="TX500685"/>
    <x v="14"/>
    <x v="12"/>
    <n v="26.7"/>
    <n v="106.8"/>
    <x v="29"/>
    <d v="2025-01-31T00:00:00"/>
    <x v="1"/>
    <x v="1"/>
    <x v="0"/>
    <s v="California"/>
    <s v="San Diego County"/>
    <x v="3"/>
    <x v="4"/>
    <s v="January"/>
    <x v="1"/>
  </r>
  <r>
    <s v="TX500686"/>
    <x v="17"/>
    <x v="13"/>
    <n v="31.5"/>
    <n v="189"/>
    <x v="29"/>
    <d v="2025-01-31T00:00:00"/>
    <x v="2"/>
    <x v="2"/>
    <x v="0"/>
    <s v="California"/>
    <s v="San Francisco"/>
    <x v="3"/>
    <x v="4"/>
    <s v="January"/>
    <x v="2"/>
  </r>
  <r>
    <s v="TX500687"/>
    <x v="3"/>
    <x v="3"/>
    <n v="64.7"/>
    <n v="452.90000000000003"/>
    <x v="29"/>
    <d v="2025-01-31T00:00:00"/>
    <x v="2"/>
    <x v="0"/>
    <x v="2"/>
    <s v="California"/>
    <s v="San Mateo County"/>
    <x v="3"/>
    <x v="4"/>
    <s v="January"/>
    <x v="2"/>
  </r>
  <r>
    <s v="TX500688"/>
    <x v="5"/>
    <x v="1"/>
    <n v="55.6"/>
    <n v="111.2"/>
    <x v="29"/>
    <d v="2025-02-02T00:00:00"/>
    <x v="2"/>
    <x v="3"/>
    <x v="0"/>
    <s v="California"/>
    <s v="Santa Clara County"/>
    <x v="2"/>
    <x v="4"/>
    <s v="January"/>
    <x v="2"/>
  </r>
  <r>
    <s v="TX500689"/>
    <x v="3"/>
    <x v="1"/>
    <n v="36.200000000000003"/>
    <n v="72.400000000000006"/>
    <x v="29"/>
    <d v="2025-01-31T00:00:00"/>
    <x v="2"/>
    <x v="3"/>
    <x v="0"/>
    <s v="California"/>
    <s v="Santa Clara County"/>
    <x v="3"/>
    <x v="4"/>
    <s v="January"/>
    <x v="2"/>
  </r>
  <r>
    <s v="TX500690"/>
    <x v="0"/>
    <x v="0"/>
    <n v="26.6"/>
    <n v="26.6"/>
    <x v="29"/>
    <d v="2025-01-31T00:00:00"/>
    <x v="0"/>
    <x v="1"/>
    <x v="1"/>
    <s v="California"/>
    <s v="Stanislaus County"/>
    <x v="3"/>
    <x v="4"/>
    <s v="January"/>
    <x v="0"/>
  </r>
  <r>
    <s v="TX500691"/>
    <x v="10"/>
    <x v="12"/>
    <n v="31.5"/>
    <n v="126"/>
    <x v="29"/>
    <d v="2025-02-01T00:00:00"/>
    <x v="1"/>
    <x v="0"/>
    <x v="0"/>
    <s v="California"/>
    <s v="Sutter County"/>
    <x v="1"/>
    <x v="4"/>
    <s v="January"/>
    <x v="1"/>
  </r>
  <r>
    <s v="TX500692"/>
    <x v="10"/>
    <x v="0"/>
    <n v="27"/>
    <n v="27"/>
    <x v="29"/>
    <d v="2025-02-01T00:00:00"/>
    <x v="2"/>
    <x v="1"/>
    <x v="2"/>
    <s v="California"/>
    <s v="Ventura County"/>
    <x v="1"/>
    <x v="4"/>
    <s v="January"/>
    <x v="2"/>
  </r>
  <r>
    <s v="TX500693"/>
    <x v="4"/>
    <x v="0"/>
    <n v="32"/>
    <n v="32"/>
    <x v="29"/>
    <d v="2025-02-02T00:00:00"/>
    <x v="1"/>
    <x v="3"/>
    <x v="0"/>
    <s v="California"/>
    <s v="Alameda County"/>
    <x v="2"/>
    <x v="4"/>
    <s v="January"/>
    <x v="1"/>
  </r>
  <r>
    <s v="TX500694"/>
    <x v="1"/>
    <x v="2"/>
    <n v="48.1"/>
    <n v="144.30000000000001"/>
    <x v="29"/>
    <d v="2025-02-01T00:00:00"/>
    <x v="1"/>
    <x v="2"/>
    <x v="1"/>
    <s v="California"/>
    <s v="Contra Costa County"/>
    <x v="1"/>
    <x v="4"/>
    <s v="January"/>
    <x v="1"/>
  </r>
  <r>
    <s v="TX500695"/>
    <x v="9"/>
    <x v="1"/>
    <n v="43.4"/>
    <n v="86.8"/>
    <x v="29"/>
    <d v="2025-01-31T00:00:00"/>
    <x v="1"/>
    <x v="1"/>
    <x v="1"/>
    <s v="California"/>
    <s v="Kern County"/>
    <x v="3"/>
    <x v="4"/>
    <s v="January"/>
    <x v="1"/>
  </r>
  <r>
    <s v="TX500696"/>
    <x v="6"/>
    <x v="1"/>
    <n v="42.6"/>
    <n v="85.2"/>
    <x v="29"/>
    <d v="2025-02-02T00:00:00"/>
    <x v="2"/>
    <x v="3"/>
    <x v="0"/>
    <s v="California"/>
    <s v="Kern County"/>
    <x v="2"/>
    <x v="4"/>
    <s v="January"/>
    <x v="2"/>
  </r>
  <r>
    <s v="TX500697"/>
    <x v="8"/>
    <x v="1"/>
    <n v="15.9"/>
    <n v="31.8"/>
    <x v="29"/>
    <d v="2025-01-31T00:00:00"/>
    <x v="2"/>
    <x v="0"/>
    <x v="0"/>
    <s v="California"/>
    <s v="Kings County"/>
    <x v="3"/>
    <x v="4"/>
    <s v="January"/>
    <x v="2"/>
  </r>
  <r>
    <s v="TX500698"/>
    <x v="9"/>
    <x v="1"/>
    <n v="63.2"/>
    <n v="126.4"/>
    <x v="29"/>
    <d v="2025-01-31T00:00:00"/>
    <x v="1"/>
    <x v="1"/>
    <x v="0"/>
    <s v="California"/>
    <s v="Los Angeles County"/>
    <x v="3"/>
    <x v="4"/>
    <s v="January"/>
    <x v="1"/>
  </r>
  <r>
    <s v="TX500699"/>
    <x v="7"/>
    <x v="12"/>
    <n v="64.8"/>
    <n v="259.2"/>
    <x v="29"/>
    <d v="2025-02-01T00:00:00"/>
    <x v="0"/>
    <x v="4"/>
    <x v="1"/>
    <s v="California"/>
    <s v="Los Angeles County"/>
    <x v="1"/>
    <x v="4"/>
    <s v="January"/>
    <x v="0"/>
  </r>
  <r>
    <s v="TX500700"/>
    <x v="7"/>
    <x v="2"/>
    <n v="79.8"/>
    <n v="239.39999999999998"/>
    <x v="29"/>
    <d v="2025-01-31T00:00:00"/>
    <x v="1"/>
    <x v="0"/>
    <x v="0"/>
    <s v="California"/>
    <s v="Los Angeles County"/>
    <x v="3"/>
    <x v="4"/>
    <s v="January"/>
    <x v="1"/>
  </r>
  <r>
    <s v="TX500701"/>
    <x v="9"/>
    <x v="0"/>
    <n v="54.4"/>
    <n v="54.4"/>
    <x v="29"/>
    <d v="2025-02-01T00:00:00"/>
    <x v="2"/>
    <x v="4"/>
    <x v="2"/>
    <s v="California"/>
    <s v="Los Angeles County"/>
    <x v="1"/>
    <x v="4"/>
    <s v="January"/>
    <x v="2"/>
  </r>
  <r>
    <s v="TX500702"/>
    <x v="6"/>
    <x v="0"/>
    <n v="87.3"/>
    <n v="87.3"/>
    <x v="29"/>
    <d v="2025-01-31T00:00:00"/>
    <x v="1"/>
    <x v="1"/>
    <x v="0"/>
    <s v="California"/>
    <s v="Los Angeles County"/>
    <x v="3"/>
    <x v="4"/>
    <s v="January"/>
    <x v="1"/>
  </r>
  <r>
    <s v="TX500703"/>
    <x v="8"/>
    <x v="12"/>
    <n v="32.4"/>
    <n v="129.6"/>
    <x v="29"/>
    <d v="2025-01-30T00:00:00"/>
    <x v="1"/>
    <x v="1"/>
    <x v="0"/>
    <s v="California"/>
    <s v="Los Angeles County"/>
    <x v="7"/>
    <x v="4"/>
    <s v="January"/>
    <x v="1"/>
  </r>
  <r>
    <s v="TX500704"/>
    <x v="2"/>
    <x v="0"/>
    <n v="177.4"/>
    <n v="177.4"/>
    <x v="29"/>
    <d v="2025-02-03T00:00:00"/>
    <x v="1"/>
    <x v="0"/>
    <x v="2"/>
    <s v="California"/>
    <s v="Los Angeles County"/>
    <x v="5"/>
    <x v="4"/>
    <s v="January"/>
    <x v="1"/>
  </r>
  <r>
    <s v="TX500705"/>
    <x v="7"/>
    <x v="1"/>
    <n v="70.099999999999994"/>
    <n v="140.19999999999999"/>
    <x v="29"/>
    <d v="2025-01-31T00:00:00"/>
    <x v="1"/>
    <x v="3"/>
    <x v="1"/>
    <s v="California"/>
    <s v="Los Angeles County"/>
    <x v="3"/>
    <x v="4"/>
    <s v="January"/>
    <x v="1"/>
  </r>
  <r>
    <s v="TX500706"/>
    <x v="9"/>
    <x v="13"/>
    <n v="51.1"/>
    <n v="306.60000000000002"/>
    <x v="29"/>
    <d v="2025-01-31T00:00:00"/>
    <x v="2"/>
    <x v="0"/>
    <x v="0"/>
    <s v="California"/>
    <s v="Los Angeles County"/>
    <x v="3"/>
    <x v="4"/>
    <s v="January"/>
    <x v="2"/>
  </r>
  <r>
    <s v="TX500707"/>
    <x v="2"/>
    <x v="9"/>
    <n v="79.900000000000006"/>
    <n v="399.5"/>
    <x v="29"/>
    <d v="2025-02-01T00:00:00"/>
    <x v="1"/>
    <x v="3"/>
    <x v="2"/>
    <s v="California"/>
    <s v="Merced County"/>
    <x v="1"/>
    <x v="4"/>
    <s v="January"/>
    <x v="1"/>
  </r>
  <r>
    <s v="TX500708"/>
    <x v="6"/>
    <x v="0"/>
    <n v="57.6"/>
    <n v="57.6"/>
    <x v="30"/>
    <d v="2025-02-05T00:00:00"/>
    <x v="1"/>
    <x v="0"/>
    <x v="2"/>
    <s v="California"/>
    <s v="Monterey County"/>
    <x v="0"/>
    <x v="4"/>
    <s v="January"/>
    <x v="1"/>
  </r>
  <r>
    <s v="TX500709"/>
    <x v="8"/>
    <x v="7"/>
    <n v="59.7"/>
    <n v="597"/>
    <x v="30"/>
    <d v="2025-02-04T00:00:00"/>
    <x v="1"/>
    <x v="2"/>
    <x v="0"/>
    <s v="California"/>
    <s v="Orange County"/>
    <x v="5"/>
    <x v="4"/>
    <s v="January"/>
    <x v="1"/>
  </r>
  <r>
    <s v="TX500710"/>
    <x v="8"/>
    <x v="9"/>
    <n v="30"/>
    <n v="150"/>
    <x v="30"/>
    <d v="2025-02-02T00:00:00"/>
    <x v="1"/>
    <x v="1"/>
    <x v="0"/>
    <s v="California"/>
    <s v="Sacramento County"/>
    <x v="1"/>
    <x v="4"/>
    <s v="January"/>
    <x v="1"/>
  </r>
  <r>
    <s v="TX500711"/>
    <x v="10"/>
    <x v="1"/>
    <n v="69.2"/>
    <n v="138.4"/>
    <x v="30"/>
    <d v="2025-02-02T00:00:00"/>
    <x v="0"/>
    <x v="2"/>
    <x v="1"/>
    <s v="California"/>
    <s v="Sacramento County"/>
    <x v="1"/>
    <x v="4"/>
    <s v="January"/>
    <x v="0"/>
  </r>
  <r>
    <s v="TX500712"/>
    <x v="0"/>
    <x v="8"/>
    <n v="10.9"/>
    <n v="87.2"/>
    <x v="30"/>
    <d v="2025-02-01T00:00:00"/>
    <x v="2"/>
    <x v="0"/>
    <x v="2"/>
    <s v="California"/>
    <s v="Sacramento County"/>
    <x v="3"/>
    <x v="4"/>
    <s v="January"/>
    <x v="2"/>
  </r>
  <r>
    <s v="TX500713"/>
    <x v="16"/>
    <x v="1"/>
    <n v="48.6"/>
    <n v="97.2"/>
    <x v="30"/>
    <d v="2025-02-04T00:00:00"/>
    <x v="1"/>
    <x v="1"/>
    <x v="2"/>
    <s v="California"/>
    <s v="Sacramento County"/>
    <x v="5"/>
    <x v="4"/>
    <s v="January"/>
    <x v="1"/>
  </r>
  <r>
    <s v="TX500714"/>
    <x v="2"/>
    <x v="1"/>
    <n v="61.1"/>
    <n v="122.2"/>
    <x v="30"/>
    <d v="2025-02-03T00:00:00"/>
    <x v="2"/>
    <x v="1"/>
    <x v="2"/>
    <s v="California"/>
    <s v="San Bernardino County"/>
    <x v="2"/>
    <x v="4"/>
    <s v="January"/>
    <x v="2"/>
  </r>
  <r>
    <s v="TX500715"/>
    <x v="8"/>
    <x v="1"/>
    <n v="23.2"/>
    <n v="46.4"/>
    <x v="30"/>
    <d v="2025-02-01T00:00:00"/>
    <x v="1"/>
    <x v="3"/>
    <x v="2"/>
    <s v="California"/>
    <s v="San Diego County"/>
    <x v="3"/>
    <x v="4"/>
    <s v="January"/>
    <x v="1"/>
  </r>
  <r>
    <s v="TX500716"/>
    <x v="12"/>
    <x v="12"/>
    <n v="55.8"/>
    <n v="223.2"/>
    <x v="30"/>
    <d v="2025-02-01T00:00:00"/>
    <x v="1"/>
    <x v="0"/>
    <x v="0"/>
    <s v="California"/>
    <s v="San Diego County"/>
    <x v="3"/>
    <x v="4"/>
    <s v="January"/>
    <x v="1"/>
  </r>
  <r>
    <s v="TX500717"/>
    <x v="9"/>
    <x v="12"/>
    <n v="24.8"/>
    <n v="99.2"/>
    <x v="30"/>
    <d v="2025-02-01T00:00:00"/>
    <x v="2"/>
    <x v="0"/>
    <x v="2"/>
    <s v="California"/>
    <s v="San Diego County"/>
    <x v="3"/>
    <x v="4"/>
    <s v="January"/>
    <x v="2"/>
  </r>
  <r>
    <s v="TX500718"/>
    <x v="10"/>
    <x v="1"/>
    <n v="27.9"/>
    <n v="55.8"/>
    <x v="30"/>
    <d v="2025-01-31T00:00:00"/>
    <x v="1"/>
    <x v="2"/>
    <x v="2"/>
    <s v="California"/>
    <s v="San Diego County"/>
    <x v="7"/>
    <x v="4"/>
    <s v="January"/>
    <x v="1"/>
  </r>
  <r>
    <s v="TX500719"/>
    <x v="10"/>
    <x v="13"/>
    <n v="51.1"/>
    <n v="306.60000000000002"/>
    <x v="30"/>
    <d v="2025-01-31T00:00:00"/>
    <x v="2"/>
    <x v="3"/>
    <x v="0"/>
    <s v="California"/>
    <s v="San Diego County"/>
    <x v="7"/>
    <x v="4"/>
    <s v="January"/>
    <x v="2"/>
  </r>
  <r>
    <s v="TX500720"/>
    <x v="17"/>
    <x v="5"/>
    <n v="32.700000000000003"/>
    <n v="359.70000000000005"/>
    <x v="30"/>
    <d v="2025-02-01T00:00:00"/>
    <x v="1"/>
    <x v="4"/>
    <x v="2"/>
    <s v="California"/>
    <s v="San Francisco"/>
    <x v="3"/>
    <x v="4"/>
    <s v="January"/>
    <x v="1"/>
  </r>
  <r>
    <s v="TX500721"/>
    <x v="8"/>
    <x v="12"/>
    <n v="22.5"/>
    <n v="90"/>
    <x v="30"/>
    <d v="2025-01-31T00:00:00"/>
    <x v="1"/>
    <x v="0"/>
    <x v="2"/>
    <s v="California"/>
    <s v="San Joaquin County"/>
    <x v="7"/>
    <x v="4"/>
    <s v="January"/>
    <x v="1"/>
  </r>
  <r>
    <s v="TX500722"/>
    <x v="0"/>
    <x v="3"/>
    <n v="14.6"/>
    <n v="102.2"/>
    <x v="30"/>
    <d v="2025-02-01T00:00:00"/>
    <x v="2"/>
    <x v="2"/>
    <x v="0"/>
    <s v="California"/>
    <s v="San Luis Obispo County"/>
    <x v="3"/>
    <x v="4"/>
    <s v="January"/>
    <x v="2"/>
  </r>
  <r>
    <s v="TX500723"/>
    <x v="5"/>
    <x v="2"/>
    <n v="32.5"/>
    <n v="97.5"/>
    <x v="30"/>
    <d v="2025-02-03T00:00:00"/>
    <x v="1"/>
    <x v="0"/>
    <x v="0"/>
    <s v="California"/>
    <s v="Santa Barbara County"/>
    <x v="2"/>
    <x v="4"/>
    <s v="January"/>
    <x v="1"/>
  </r>
  <r>
    <s v="TX500724"/>
    <x v="18"/>
    <x v="0"/>
    <n v="78.099999999999994"/>
    <n v="78.099999999999994"/>
    <x v="30"/>
    <d v="2025-02-03T00:00:00"/>
    <x v="1"/>
    <x v="0"/>
    <x v="2"/>
    <s v="California"/>
    <s v="Santa Clara County"/>
    <x v="2"/>
    <x v="4"/>
    <s v="January"/>
    <x v="1"/>
  </r>
  <r>
    <s v="TX500725"/>
    <x v="12"/>
    <x v="13"/>
    <n v="110.2"/>
    <n v="661.2"/>
    <x v="30"/>
    <d v="2025-01-31T00:00:00"/>
    <x v="1"/>
    <x v="1"/>
    <x v="4"/>
    <s v="California"/>
    <s v="Ventura County"/>
    <x v="7"/>
    <x v="4"/>
    <s v="January"/>
    <x v="1"/>
  </r>
  <r>
    <s v="TX500726"/>
    <x v="6"/>
    <x v="2"/>
    <n v="86.3"/>
    <n v="258.89999999999998"/>
    <x v="30"/>
    <d v="2025-02-02T00:00:00"/>
    <x v="2"/>
    <x v="3"/>
    <x v="0"/>
    <s v="California"/>
    <s v="Alameda County"/>
    <x v="1"/>
    <x v="4"/>
    <s v="January"/>
    <x v="2"/>
  </r>
  <r>
    <s v="TX500727"/>
    <x v="1"/>
    <x v="13"/>
    <n v="73.599999999999994"/>
    <n v="441.59999999999997"/>
    <x v="30"/>
    <d v="2025-02-02T00:00:00"/>
    <x v="3"/>
    <x v="3"/>
    <x v="4"/>
    <s v="California"/>
    <s v="Humboldt County"/>
    <x v="1"/>
    <x v="4"/>
    <s v="January"/>
    <x v="3"/>
  </r>
  <r>
    <s v="TX500728"/>
    <x v="6"/>
    <x v="15"/>
    <n v="67.7"/>
    <n v="880.1"/>
    <x v="30"/>
    <d v="2025-02-02T00:00:00"/>
    <x v="2"/>
    <x v="0"/>
    <x v="2"/>
    <s v="California"/>
    <s v="Los Angeles County"/>
    <x v="1"/>
    <x v="4"/>
    <s v="January"/>
    <x v="2"/>
  </r>
  <r>
    <s v="TX500729"/>
    <x v="7"/>
    <x v="13"/>
    <n v="142.19999999999999"/>
    <n v="853.19999999999993"/>
    <x v="30"/>
    <d v="2025-02-01T00:00:00"/>
    <x v="2"/>
    <x v="2"/>
    <x v="4"/>
    <s v="California"/>
    <s v="Los Angeles County"/>
    <x v="3"/>
    <x v="4"/>
    <s v="January"/>
    <x v="2"/>
  </r>
  <r>
    <s v="TX500730"/>
    <x v="1"/>
    <x v="11"/>
    <n v="45.8"/>
    <n v="412.2"/>
    <x v="30"/>
    <d v="2025-02-02T00:00:00"/>
    <x v="2"/>
    <x v="1"/>
    <x v="2"/>
    <s v="California"/>
    <s v="Los Angeles County"/>
    <x v="1"/>
    <x v="4"/>
    <s v="January"/>
    <x v="2"/>
  </r>
  <r>
    <s v="TX500731"/>
    <x v="10"/>
    <x v="1"/>
    <n v="24.2"/>
    <n v="48.4"/>
    <x v="31"/>
    <d v="2025-02-04T00:00:00"/>
    <x v="2"/>
    <x v="3"/>
    <x v="2"/>
    <s v="California"/>
    <s v="Los Angeles County"/>
    <x v="2"/>
    <x v="4"/>
    <s v="February"/>
    <x v="2"/>
  </r>
  <r>
    <s v="TX500732"/>
    <x v="2"/>
    <x v="2"/>
    <n v="144.9"/>
    <n v="434.70000000000005"/>
    <x v="31"/>
    <d v="2025-02-02T00:00:00"/>
    <x v="3"/>
    <x v="2"/>
    <x v="2"/>
    <s v="California"/>
    <s v="Los Angeles County"/>
    <x v="3"/>
    <x v="4"/>
    <s v="February"/>
    <x v="3"/>
  </r>
  <r>
    <s v="TX500733"/>
    <x v="11"/>
    <x v="9"/>
    <n v="32.799999999999997"/>
    <n v="164"/>
    <x v="31"/>
    <d v="2025-02-04T00:00:00"/>
    <x v="2"/>
    <x v="2"/>
    <x v="0"/>
    <s v="California"/>
    <s v="Riverside County"/>
    <x v="2"/>
    <x v="4"/>
    <s v="February"/>
    <x v="2"/>
  </r>
  <r>
    <s v="TX500734"/>
    <x v="7"/>
    <x v="7"/>
    <n v="35.700000000000003"/>
    <n v="357"/>
    <x v="31"/>
    <d v="2025-02-01T00:00:00"/>
    <x v="2"/>
    <x v="0"/>
    <x v="1"/>
    <s v="California"/>
    <s v="Sacramento County"/>
    <x v="7"/>
    <x v="4"/>
    <s v="February"/>
    <x v="2"/>
  </r>
  <r>
    <s v="TX500735"/>
    <x v="9"/>
    <x v="1"/>
    <n v="54.6"/>
    <n v="109.2"/>
    <x v="31"/>
    <d v="2025-02-02T00:00:00"/>
    <x v="2"/>
    <x v="2"/>
    <x v="0"/>
    <s v="California"/>
    <s v="Sacramento County"/>
    <x v="3"/>
    <x v="4"/>
    <s v="February"/>
    <x v="2"/>
  </r>
  <r>
    <s v="TX500736"/>
    <x v="8"/>
    <x v="1"/>
    <n v="35.700000000000003"/>
    <n v="71.400000000000006"/>
    <x v="31"/>
    <d v="2025-02-04T00:00:00"/>
    <x v="0"/>
    <x v="0"/>
    <x v="1"/>
    <s v="California"/>
    <s v="Sacramento County"/>
    <x v="2"/>
    <x v="4"/>
    <s v="February"/>
    <x v="0"/>
  </r>
  <r>
    <s v="TX500737"/>
    <x v="10"/>
    <x v="1"/>
    <n v="52.4"/>
    <n v="104.8"/>
    <x v="31"/>
    <d v="2025-02-01T00:00:00"/>
    <x v="2"/>
    <x v="0"/>
    <x v="3"/>
    <s v="California"/>
    <s v="Sacramento County"/>
    <x v="7"/>
    <x v="4"/>
    <s v="February"/>
    <x v="2"/>
  </r>
  <r>
    <s v="TX500738"/>
    <x v="8"/>
    <x v="21"/>
    <n v="16.2"/>
    <n v="226.79999999999998"/>
    <x v="31"/>
    <d v="2025-02-02T00:00:00"/>
    <x v="0"/>
    <x v="0"/>
    <x v="1"/>
    <s v="California"/>
    <s v="San Diego County"/>
    <x v="3"/>
    <x v="4"/>
    <s v="February"/>
    <x v="0"/>
  </r>
  <r>
    <s v="TX500739"/>
    <x v="6"/>
    <x v="35"/>
    <n v="42.8"/>
    <n v="2011.6"/>
    <x v="31"/>
    <d v="2025-02-02T00:00:00"/>
    <x v="2"/>
    <x v="0"/>
    <x v="0"/>
    <s v="California"/>
    <s v="San Diego County"/>
    <x v="3"/>
    <x v="4"/>
    <s v="February"/>
    <x v="2"/>
  </r>
  <r>
    <s v="TX500740"/>
    <x v="6"/>
    <x v="11"/>
    <n v="144.4"/>
    <n v="1299.6000000000001"/>
    <x v="31"/>
    <d v="2025-02-04T00:00:00"/>
    <x v="2"/>
    <x v="4"/>
    <x v="0"/>
    <s v="California"/>
    <s v="San Diego County"/>
    <x v="2"/>
    <x v="4"/>
    <s v="February"/>
    <x v="2"/>
  </r>
  <r>
    <s v="TX500741"/>
    <x v="3"/>
    <x v="34"/>
    <n v="30.6"/>
    <n v="1101.6000000000001"/>
    <x v="31"/>
    <d v="2025-02-05T00:00:00"/>
    <x v="2"/>
    <x v="2"/>
    <x v="2"/>
    <s v="California"/>
    <s v="Santa Clara County"/>
    <x v="5"/>
    <x v="4"/>
    <s v="February"/>
    <x v="2"/>
  </r>
  <r>
    <s v="TX500742"/>
    <x v="2"/>
    <x v="1"/>
    <n v="117.5"/>
    <n v="235"/>
    <x v="31"/>
    <d v="2025-02-02T00:00:00"/>
    <x v="1"/>
    <x v="0"/>
    <x v="0"/>
    <s v="California"/>
    <s v="Stanislaus County"/>
    <x v="3"/>
    <x v="4"/>
    <s v="February"/>
    <x v="1"/>
  </r>
  <r>
    <s v="TX500743"/>
    <x v="6"/>
    <x v="1"/>
    <n v="105.7"/>
    <n v="211.4"/>
    <x v="31"/>
    <d v="2025-02-02T00:00:00"/>
    <x v="2"/>
    <x v="2"/>
    <x v="2"/>
    <s v="California"/>
    <s v="Alameda County"/>
    <x v="3"/>
    <x v="4"/>
    <s v="February"/>
    <x v="2"/>
  </r>
  <r>
    <s v="TX500744"/>
    <x v="3"/>
    <x v="2"/>
    <n v="133.69999999999999"/>
    <n v="401.09999999999997"/>
    <x v="31"/>
    <d v="2025-02-02T00:00:00"/>
    <x v="0"/>
    <x v="4"/>
    <x v="2"/>
    <s v="California"/>
    <s v="Alameda County"/>
    <x v="3"/>
    <x v="4"/>
    <s v="February"/>
    <x v="0"/>
  </r>
  <r>
    <s v="TX500745"/>
    <x v="4"/>
    <x v="9"/>
    <n v="46.8"/>
    <n v="234"/>
    <x v="32"/>
    <d v="2025-02-10T00:00:00"/>
    <x v="2"/>
    <x v="0"/>
    <x v="1"/>
    <s v="California"/>
    <s v="Alameda County"/>
    <x v="9"/>
    <x v="5"/>
    <s v="February"/>
    <x v="2"/>
  </r>
  <r>
    <s v="TX500746"/>
    <x v="10"/>
    <x v="2"/>
    <n v="58.4"/>
    <n v="175.2"/>
    <x v="32"/>
    <d v="2025-02-04T00:00:00"/>
    <x v="2"/>
    <x v="0"/>
    <x v="0"/>
    <s v="California"/>
    <s v="Contra Costa County"/>
    <x v="1"/>
    <x v="5"/>
    <s v="February"/>
    <x v="2"/>
  </r>
  <r>
    <s v="TX500747"/>
    <x v="6"/>
    <x v="11"/>
    <n v="65.099999999999994"/>
    <n v="585.9"/>
    <x v="32"/>
    <d v="2025-02-06T00:00:00"/>
    <x v="1"/>
    <x v="1"/>
    <x v="2"/>
    <s v="California"/>
    <s v="Kern County"/>
    <x v="5"/>
    <x v="5"/>
    <s v="February"/>
    <x v="1"/>
  </r>
  <r>
    <s v="TX500748"/>
    <x v="8"/>
    <x v="0"/>
    <n v="18.600000000000001"/>
    <n v="18.600000000000001"/>
    <x v="32"/>
    <d v="2025-02-05T00:00:00"/>
    <x v="2"/>
    <x v="0"/>
    <x v="4"/>
    <s v="California"/>
    <s v="Kern County"/>
    <x v="2"/>
    <x v="5"/>
    <s v="February"/>
    <x v="2"/>
  </r>
  <r>
    <s v="TX500749"/>
    <x v="1"/>
    <x v="5"/>
    <n v="92.3"/>
    <n v="1015.3"/>
    <x v="32"/>
    <d v="2025-02-04T00:00:00"/>
    <x v="1"/>
    <x v="1"/>
    <x v="0"/>
    <s v="California"/>
    <s v="Los Angeles County"/>
    <x v="1"/>
    <x v="5"/>
    <s v="February"/>
    <x v="1"/>
  </r>
  <r>
    <s v="TX500750"/>
    <x v="6"/>
    <x v="2"/>
    <n v="81.7"/>
    <n v="245.10000000000002"/>
    <x v="32"/>
    <d v="2025-02-03T00:00:00"/>
    <x v="0"/>
    <x v="4"/>
    <x v="4"/>
    <s v="California"/>
    <s v="Los Angeles County"/>
    <x v="3"/>
    <x v="5"/>
    <s v="February"/>
    <x v="0"/>
  </r>
  <r>
    <s v="TX500751"/>
    <x v="8"/>
    <x v="1"/>
    <n v="40.9"/>
    <n v="81.8"/>
    <x v="32"/>
    <d v="2025-02-04T00:00:00"/>
    <x v="1"/>
    <x v="0"/>
    <x v="1"/>
    <s v="California"/>
    <s v="Los Angeles County"/>
    <x v="1"/>
    <x v="5"/>
    <s v="February"/>
    <x v="1"/>
  </r>
  <r>
    <s v="TX500752"/>
    <x v="6"/>
    <x v="12"/>
    <n v="43.2"/>
    <n v="172.8"/>
    <x v="32"/>
    <d v="2025-02-08T00:00:00"/>
    <x v="2"/>
    <x v="0"/>
    <x v="1"/>
    <s v="California"/>
    <s v="Los Angeles County"/>
    <x v="4"/>
    <x v="5"/>
    <s v="February"/>
    <x v="2"/>
  </r>
  <r>
    <s v="TX500753"/>
    <x v="8"/>
    <x v="5"/>
    <n v="25.8"/>
    <n v="283.8"/>
    <x v="32"/>
    <d v="2025-02-05T00:00:00"/>
    <x v="1"/>
    <x v="2"/>
    <x v="1"/>
    <s v="California"/>
    <s v="Los Angeles County"/>
    <x v="2"/>
    <x v="5"/>
    <s v="February"/>
    <x v="1"/>
  </r>
  <r>
    <s v="TX500754"/>
    <x v="15"/>
    <x v="12"/>
    <n v="36.4"/>
    <n v="145.6"/>
    <x v="32"/>
    <d v="2025-02-03T00:00:00"/>
    <x v="1"/>
    <x v="0"/>
    <x v="0"/>
    <s v="California"/>
    <s v="Los Angeles County"/>
    <x v="3"/>
    <x v="5"/>
    <s v="February"/>
    <x v="1"/>
  </r>
  <r>
    <s v="TX500755"/>
    <x v="10"/>
    <x v="0"/>
    <n v="59.1"/>
    <n v="59.1"/>
    <x v="32"/>
    <d v="2025-02-03T00:00:00"/>
    <x v="2"/>
    <x v="2"/>
    <x v="0"/>
    <s v="California"/>
    <s v="San Bernardino County"/>
    <x v="3"/>
    <x v="5"/>
    <s v="February"/>
    <x v="2"/>
  </r>
  <r>
    <s v="TX500756"/>
    <x v="2"/>
    <x v="14"/>
    <n v="74.5"/>
    <n v="1266.5"/>
    <x v="32"/>
    <d v="2025-02-04T00:00:00"/>
    <x v="1"/>
    <x v="4"/>
    <x v="0"/>
    <s v="California"/>
    <s v="Sonoma County"/>
    <x v="1"/>
    <x v="5"/>
    <s v="February"/>
    <x v="1"/>
  </r>
  <r>
    <s v="TX500757"/>
    <x v="5"/>
    <x v="0"/>
    <n v="72.8"/>
    <n v="72.8"/>
    <x v="32"/>
    <d v="2025-02-03T00:00:00"/>
    <x v="2"/>
    <x v="0"/>
    <x v="1"/>
    <s v="California"/>
    <s v="Stanislaus County"/>
    <x v="3"/>
    <x v="5"/>
    <s v="February"/>
    <x v="2"/>
  </r>
  <r>
    <s v="TX500758"/>
    <x v="6"/>
    <x v="12"/>
    <n v="137.30000000000001"/>
    <n v="549.20000000000005"/>
    <x v="32"/>
    <d v="2025-02-05T00:00:00"/>
    <x v="2"/>
    <x v="0"/>
    <x v="0"/>
    <s v="California"/>
    <s v="Ventura County"/>
    <x v="2"/>
    <x v="5"/>
    <s v="February"/>
    <x v="2"/>
  </r>
  <r>
    <s v="TX500759"/>
    <x v="1"/>
    <x v="2"/>
    <n v="48.7"/>
    <n v="146.10000000000002"/>
    <x v="32"/>
    <d v="2025-02-07T00:00:00"/>
    <x v="2"/>
    <x v="0"/>
    <x v="1"/>
    <s v="California"/>
    <s v="Alameda County"/>
    <x v="0"/>
    <x v="5"/>
    <s v="February"/>
    <x v="2"/>
  </r>
  <r>
    <s v="TX500760"/>
    <x v="6"/>
    <x v="12"/>
    <n v="53.7"/>
    <n v="214.8"/>
    <x v="32"/>
    <d v="2025-02-06T00:00:00"/>
    <x v="1"/>
    <x v="1"/>
    <x v="4"/>
    <s v="California"/>
    <s v="Fresno County"/>
    <x v="5"/>
    <x v="5"/>
    <s v="February"/>
    <x v="1"/>
  </r>
  <r>
    <s v="TX500761"/>
    <x v="2"/>
    <x v="3"/>
    <n v="100.9"/>
    <n v="706.30000000000007"/>
    <x v="32"/>
    <d v="2025-02-04T00:00:00"/>
    <x v="2"/>
    <x v="0"/>
    <x v="1"/>
    <s v="California"/>
    <s v="Fresno County"/>
    <x v="1"/>
    <x v="5"/>
    <s v="February"/>
    <x v="2"/>
  </r>
  <r>
    <s v="TX500762"/>
    <x v="10"/>
    <x v="1"/>
    <n v="41.8"/>
    <n v="83.6"/>
    <x v="32"/>
    <d v="2025-02-06T00:00:00"/>
    <x v="1"/>
    <x v="3"/>
    <x v="2"/>
    <s v="California"/>
    <s v="Kern County"/>
    <x v="5"/>
    <x v="5"/>
    <s v="February"/>
    <x v="1"/>
  </r>
  <r>
    <s v="TX500763"/>
    <x v="4"/>
    <x v="8"/>
    <n v="28.5"/>
    <n v="228"/>
    <x v="32"/>
    <d v="2025-02-04T00:00:00"/>
    <x v="1"/>
    <x v="2"/>
    <x v="1"/>
    <s v="California"/>
    <s v="Los Angeles County"/>
    <x v="1"/>
    <x v="5"/>
    <s v="February"/>
    <x v="1"/>
  </r>
  <r>
    <s v="TX500764"/>
    <x v="7"/>
    <x v="12"/>
    <n v="88.9"/>
    <n v="355.6"/>
    <x v="32"/>
    <d v="2025-02-05T00:00:00"/>
    <x v="2"/>
    <x v="0"/>
    <x v="2"/>
    <s v="California"/>
    <s v="Los Angeles County"/>
    <x v="2"/>
    <x v="5"/>
    <s v="February"/>
    <x v="2"/>
  </r>
  <r>
    <s v="TX500765"/>
    <x v="6"/>
    <x v="0"/>
    <n v="62.5"/>
    <n v="62.5"/>
    <x v="32"/>
    <d v="2025-02-11T00:00:00"/>
    <x v="2"/>
    <x v="0"/>
    <x v="2"/>
    <s v="California"/>
    <s v="Los Angeles County"/>
    <x v="8"/>
    <x v="5"/>
    <s v="February"/>
    <x v="2"/>
  </r>
  <r>
    <s v="TX500766"/>
    <x v="1"/>
    <x v="2"/>
    <n v="46.9"/>
    <n v="140.69999999999999"/>
    <x v="32"/>
    <d v="2025-02-03T00:00:00"/>
    <x v="1"/>
    <x v="0"/>
    <x v="2"/>
    <s v="California"/>
    <s v="Los Angeles County"/>
    <x v="3"/>
    <x v="5"/>
    <s v="February"/>
    <x v="1"/>
  </r>
  <r>
    <s v="TX500767"/>
    <x v="8"/>
    <x v="2"/>
    <n v="45"/>
    <n v="135"/>
    <x v="32"/>
    <d v="2025-02-16T00:00:00"/>
    <x v="1"/>
    <x v="1"/>
    <x v="0"/>
    <s v="California"/>
    <s v="Los Angeles County"/>
    <x v="12"/>
    <x v="5"/>
    <s v="February"/>
    <x v="1"/>
  </r>
  <r>
    <s v="TX500768"/>
    <x v="6"/>
    <x v="2"/>
    <n v="45.2"/>
    <n v="135.60000000000002"/>
    <x v="32"/>
    <d v="2025-02-04T00:00:00"/>
    <x v="1"/>
    <x v="4"/>
    <x v="2"/>
    <s v="California"/>
    <s v="Los Angeles County"/>
    <x v="1"/>
    <x v="5"/>
    <s v="February"/>
    <x v="1"/>
  </r>
  <r>
    <s v="TX500769"/>
    <x v="4"/>
    <x v="1"/>
    <n v="60.1"/>
    <n v="120.2"/>
    <x v="32"/>
    <d v="2025-02-03T00:00:00"/>
    <x v="2"/>
    <x v="0"/>
    <x v="2"/>
    <s v="California"/>
    <s v="Los Angeles County"/>
    <x v="3"/>
    <x v="5"/>
    <s v="February"/>
    <x v="2"/>
  </r>
  <r>
    <s v="TX500770"/>
    <x v="12"/>
    <x v="12"/>
    <n v="118.7"/>
    <n v="474.8"/>
    <x v="32"/>
    <d v="2025-02-04T00:00:00"/>
    <x v="2"/>
    <x v="0"/>
    <x v="0"/>
    <s v="California"/>
    <s v="Los Angeles County"/>
    <x v="1"/>
    <x v="5"/>
    <s v="February"/>
    <x v="2"/>
  </r>
  <r>
    <s v="TX500771"/>
    <x v="9"/>
    <x v="0"/>
    <n v="57.8"/>
    <n v="57.8"/>
    <x v="32"/>
    <d v="2025-02-11T00:00:00"/>
    <x v="2"/>
    <x v="1"/>
    <x v="0"/>
    <s v="California"/>
    <s v="Los Angeles County"/>
    <x v="8"/>
    <x v="5"/>
    <s v="February"/>
    <x v="2"/>
  </r>
  <r>
    <s v="TX500772"/>
    <x v="4"/>
    <x v="0"/>
    <n v="19.5"/>
    <n v="19.5"/>
    <x v="32"/>
    <d v="2025-02-03T00:00:00"/>
    <x v="1"/>
    <x v="1"/>
    <x v="1"/>
    <s v="California"/>
    <s v="Los Angeles County"/>
    <x v="3"/>
    <x v="5"/>
    <s v="February"/>
    <x v="1"/>
  </r>
  <r>
    <s v="TX500773"/>
    <x v="12"/>
    <x v="0"/>
    <n v="42.6"/>
    <n v="42.6"/>
    <x v="32"/>
    <d v="2025-02-03T00:00:00"/>
    <x v="1"/>
    <x v="0"/>
    <x v="1"/>
    <s v="California"/>
    <s v="Los Angeles County"/>
    <x v="3"/>
    <x v="5"/>
    <s v="February"/>
    <x v="1"/>
  </r>
  <r>
    <s v="TX500774"/>
    <x v="6"/>
    <x v="1"/>
    <n v="74.8"/>
    <n v="149.6"/>
    <x v="32"/>
    <d v="2025-02-03T00:00:00"/>
    <x v="2"/>
    <x v="3"/>
    <x v="2"/>
    <s v="California"/>
    <s v="Madera County"/>
    <x v="3"/>
    <x v="5"/>
    <s v="February"/>
    <x v="2"/>
  </r>
  <r>
    <s v="TX500775"/>
    <x v="8"/>
    <x v="2"/>
    <n v="32.5"/>
    <n v="97.5"/>
    <x v="32"/>
    <d v="2025-02-03T00:00:00"/>
    <x v="1"/>
    <x v="2"/>
    <x v="4"/>
    <s v="California"/>
    <s v="Napa County"/>
    <x v="3"/>
    <x v="5"/>
    <s v="February"/>
    <x v="1"/>
  </r>
  <r>
    <s v="TX500776"/>
    <x v="2"/>
    <x v="2"/>
    <n v="60.5"/>
    <n v="181.5"/>
    <x v="32"/>
    <d v="2025-02-02T00:00:00"/>
    <x v="2"/>
    <x v="1"/>
    <x v="2"/>
    <s v="California"/>
    <s v="Orange County"/>
    <x v="7"/>
    <x v="5"/>
    <s v="February"/>
    <x v="2"/>
  </r>
  <r>
    <s v="TX500777"/>
    <x v="1"/>
    <x v="3"/>
    <n v="57.2"/>
    <n v="400.40000000000003"/>
    <x v="32"/>
    <d v="2025-02-04T00:00:00"/>
    <x v="0"/>
    <x v="2"/>
    <x v="0"/>
    <s v="California"/>
    <s v="Orange County"/>
    <x v="1"/>
    <x v="5"/>
    <s v="February"/>
    <x v="0"/>
  </r>
  <r>
    <s v="TX500778"/>
    <x v="16"/>
    <x v="1"/>
    <n v="112"/>
    <n v="224"/>
    <x v="32"/>
    <d v="2025-02-03T00:00:00"/>
    <x v="2"/>
    <x v="1"/>
    <x v="1"/>
    <s v="California"/>
    <s v="Placer County"/>
    <x v="3"/>
    <x v="5"/>
    <s v="February"/>
    <x v="2"/>
  </r>
  <r>
    <s v="TX500779"/>
    <x v="7"/>
    <x v="7"/>
    <n v="49"/>
    <n v="490"/>
    <x v="32"/>
    <d v="2025-02-03T00:00:00"/>
    <x v="3"/>
    <x v="2"/>
    <x v="1"/>
    <s v="California"/>
    <s v="Sacramento County"/>
    <x v="3"/>
    <x v="5"/>
    <s v="February"/>
    <x v="3"/>
  </r>
  <r>
    <s v="TX500780"/>
    <x v="0"/>
    <x v="1"/>
    <n v="33.700000000000003"/>
    <n v="67.400000000000006"/>
    <x v="32"/>
    <d v="2025-02-06T00:00:00"/>
    <x v="2"/>
    <x v="3"/>
    <x v="0"/>
    <s v="California"/>
    <s v="Sacramento County"/>
    <x v="5"/>
    <x v="5"/>
    <s v="February"/>
    <x v="2"/>
  </r>
  <r>
    <s v="TX500781"/>
    <x v="4"/>
    <x v="2"/>
    <n v="35.6"/>
    <n v="106.80000000000001"/>
    <x v="32"/>
    <d v="2025-02-05T00:00:00"/>
    <x v="2"/>
    <x v="0"/>
    <x v="2"/>
    <s v="California"/>
    <s v="Sacramento County"/>
    <x v="2"/>
    <x v="5"/>
    <s v="February"/>
    <x v="2"/>
  </r>
  <r>
    <s v="TX500782"/>
    <x v="4"/>
    <x v="36"/>
    <n v="30.4"/>
    <n v="1064"/>
    <x v="33"/>
    <d v="2025-02-03T00:00:00"/>
    <x v="2"/>
    <x v="0"/>
    <x v="1"/>
    <s v="California"/>
    <s v="San Bernardino County"/>
    <x v="7"/>
    <x v="5"/>
    <s v="February"/>
    <x v="2"/>
  </r>
  <r>
    <s v="TX500783"/>
    <x v="10"/>
    <x v="4"/>
    <n v="50.2"/>
    <n v="602.40000000000009"/>
    <x v="33"/>
    <d v="2025-02-04T00:00:00"/>
    <x v="1"/>
    <x v="4"/>
    <x v="0"/>
    <s v="California"/>
    <s v="San Diego County"/>
    <x v="3"/>
    <x v="5"/>
    <s v="February"/>
    <x v="1"/>
  </r>
  <r>
    <s v="TX500784"/>
    <x v="1"/>
    <x v="1"/>
    <n v="43.7"/>
    <n v="87.4"/>
    <x v="33"/>
    <d v="2025-02-05T00:00:00"/>
    <x v="2"/>
    <x v="0"/>
    <x v="0"/>
    <s v="California"/>
    <s v="San Diego County"/>
    <x v="1"/>
    <x v="5"/>
    <s v="February"/>
    <x v="2"/>
  </r>
  <r>
    <s v="TX500785"/>
    <x v="10"/>
    <x v="0"/>
    <n v="33.299999999999997"/>
    <n v="33.299999999999997"/>
    <x v="33"/>
    <d v="2025-02-04T00:00:00"/>
    <x v="2"/>
    <x v="2"/>
    <x v="1"/>
    <s v="California"/>
    <s v="San Diego County"/>
    <x v="3"/>
    <x v="5"/>
    <s v="February"/>
    <x v="2"/>
  </r>
  <r>
    <s v="TX500786"/>
    <x v="8"/>
    <x v="12"/>
    <n v="15.1"/>
    <n v="60.4"/>
    <x v="33"/>
    <d v="2025-02-05T00:00:00"/>
    <x v="2"/>
    <x v="4"/>
    <x v="2"/>
    <s v="California"/>
    <s v="San Diego County"/>
    <x v="1"/>
    <x v="5"/>
    <s v="February"/>
    <x v="2"/>
  </r>
  <r>
    <s v="TX500787"/>
    <x v="6"/>
    <x v="9"/>
    <n v="118.2"/>
    <n v="591"/>
    <x v="33"/>
    <d v="2025-02-04T00:00:00"/>
    <x v="2"/>
    <x v="3"/>
    <x v="4"/>
    <s v="California"/>
    <s v="San Diego County"/>
    <x v="3"/>
    <x v="5"/>
    <s v="February"/>
    <x v="2"/>
  </r>
  <r>
    <s v="TX500788"/>
    <x v="10"/>
    <x v="2"/>
    <n v="28.9"/>
    <n v="86.699999999999989"/>
    <x v="33"/>
    <d v="2025-02-05T00:00:00"/>
    <x v="2"/>
    <x v="2"/>
    <x v="1"/>
    <s v="California"/>
    <s v="San Diego County"/>
    <x v="1"/>
    <x v="5"/>
    <s v="February"/>
    <x v="2"/>
  </r>
  <r>
    <s v="TX500789"/>
    <x v="4"/>
    <x v="2"/>
    <n v="55.6"/>
    <n v="166.8"/>
    <x v="33"/>
    <d v="2025-02-04T00:00:00"/>
    <x v="1"/>
    <x v="0"/>
    <x v="1"/>
    <s v="California"/>
    <s v="San Diego County"/>
    <x v="3"/>
    <x v="5"/>
    <s v="February"/>
    <x v="1"/>
  </r>
  <r>
    <s v="TX500790"/>
    <x v="9"/>
    <x v="12"/>
    <n v="25.6"/>
    <n v="102.4"/>
    <x v="33"/>
    <d v="2025-02-05T00:00:00"/>
    <x v="2"/>
    <x v="0"/>
    <x v="1"/>
    <s v="California"/>
    <s v="San Diego County"/>
    <x v="1"/>
    <x v="5"/>
    <s v="February"/>
    <x v="2"/>
  </r>
  <r>
    <s v="TX500791"/>
    <x v="7"/>
    <x v="2"/>
    <n v="31.3"/>
    <n v="93.9"/>
    <x v="33"/>
    <d v="2025-02-04T00:00:00"/>
    <x v="1"/>
    <x v="0"/>
    <x v="0"/>
    <s v="California"/>
    <s v="San Francisco"/>
    <x v="3"/>
    <x v="5"/>
    <s v="February"/>
    <x v="1"/>
  </r>
  <r>
    <s v="TX500792"/>
    <x v="0"/>
    <x v="2"/>
    <n v="22.1"/>
    <n v="66.300000000000011"/>
    <x v="33"/>
    <d v="2025-02-07T00:00:00"/>
    <x v="1"/>
    <x v="0"/>
    <x v="0"/>
    <s v="California"/>
    <s v="San Francisco"/>
    <x v="5"/>
    <x v="5"/>
    <s v="February"/>
    <x v="1"/>
  </r>
  <r>
    <s v="TX500793"/>
    <x v="2"/>
    <x v="21"/>
    <n v="99.4"/>
    <n v="1391.6000000000001"/>
    <x v="33"/>
    <d v="2025-02-04T00:00:00"/>
    <x v="1"/>
    <x v="1"/>
    <x v="0"/>
    <s v="California"/>
    <s v="Santa Clara County"/>
    <x v="3"/>
    <x v="5"/>
    <s v="February"/>
    <x v="1"/>
  </r>
  <r>
    <s v="TX500794"/>
    <x v="7"/>
    <x v="13"/>
    <n v="66.599999999999994"/>
    <n v="399.59999999999997"/>
    <x v="33"/>
    <d v="2025-02-04T00:00:00"/>
    <x v="2"/>
    <x v="0"/>
    <x v="0"/>
    <s v="California"/>
    <s v="Santa Clara County"/>
    <x v="3"/>
    <x v="5"/>
    <s v="February"/>
    <x v="2"/>
  </r>
  <r>
    <s v="TX500795"/>
    <x v="8"/>
    <x v="1"/>
    <n v="22.6"/>
    <n v="45.2"/>
    <x v="33"/>
    <d v="2025-02-06T00:00:00"/>
    <x v="1"/>
    <x v="0"/>
    <x v="0"/>
    <s v="California"/>
    <s v="Santa Clara County"/>
    <x v="2"/>
    <x v="5"/>
    <s v="February"/>
    <x v="1"/>
  </r>
  <r>
    <s v="TX500796"/>
    <x v="2"/>
    <x v="16"/>
    <n v="66.8"/>
    <n v="1202.3999999999999"/>
    <x v="33"/>
    <d v="2025-02-04T00:00:00"/>
    <x v="2"/>
    <x v="0"/>
    <x v="4"/>
    <s v="California"/>
    <s v="Ventura County"/>
    <x v="3"/>
    <x v="5"/>
    <s v="February"/>
    <x v="2"/>
  </r>
  <r>
    <s v="TX500797"/>
    <x v="0"/>
    <x v="12"/>
    <n v="20.8"/>
    <n v="83.2"/>
    <x v="33"/>
    <d v="2025-02-10T00:00:00"/>
    <x v="1"/>
    <x v="1"/>
    <x v="4"/>
    <s v="California"/>
    <s v="Contra Costa County"/>
    <x v="6"/>
    <x v="5"/>
    <s v="February"/>
    <x v="1"/>
  </r>
  <r>
    <s v="TX500798"/>
    <x v="2"/>
    <x v="3"/>
    <n v="102.5"/>
    <n v="717.5"/>
    <x v="33"/>
    <d v="2025-02-04T00:00:00"/>
    <x v="2"/>
    <x v="4"/>
    <x v="2"/>
    <s v="California"/>
    <s v="Los Angeles County"/>
    <x v="3"/>
    <x v="5"/>
    <s v="February"/>
    <x v="2"/>
  </r>
  <r>
    <s v="TX500799"/>
    <x v="0"/>
    <x v="16"/>
    <n v="24.8"/>
    <n v="446.40000000000003"/>
    <x v="33"/>
    <d v="2025-02-07T00:00:00"/>
    <x v="2"/>
    <x v="0"/>
    <x v="0"/>
    <s v="California"/>
    <s v="Los Angeles County"/>
    <x v="5"/>
    <x v="5"/>
    <s v="February"/>
    <x v="2"/>
  </r>
  <r>
    <s v="TX500800"/>
    <x v="4"/>
    <x v="37"/>
    <n v="31.4"/>
    <n v="973.4"/>
    <x v="33"/>
    <d v="2025-02-04T00:00:00"/>
    <x v="2"/>
    <x v="3"/>
    <x v="0"/>
    <s v="California"/>
    <s v="Los Angeles County"/>
    <x v="3"/>
    <x v="5"/>
    <s v="February"/>
    <x v="2"/>
  </r>
  <r>
    <s v="TX500801"/>
    <x v="9"/>
    <x v="9"/>
    <n v="59.3"/>
    <n v="296.5"/>
    <x v="33"/>
    <d v="2025-02-06T00:00:00"/>
    <x v="1"/>
    <x v="1"/>
    <x v="2"/>
    <s v="California"/>
    <s v="Marin County"/>
    <x v="2"/>
    <x v="5"/>
    <s v="February"/>
    <x v="1"/>
  </r>
  <r>
    <s v="TX500802"/>
    <x v="11"/>
    <x v="13"/>
    <n v="39"/>
    <n v="234"/>
    <x v="33"/>
    <d v="2025-02-06T00:00:00"/>
    <x v="1"/>
    <x v="1"/>
    <x v="0"/>
    <s v="California"/>
    <s v="Sacramento County"/>
    <x v="2"/>
    <x v="5"/>
    <s v="February"/>
    <x v="1"/>
  </r>
  <r>
    <s v="TX500803"/>
    <x v="5"/>
    <x v="13"/>
    <n v="98.6"/>
    <n v="591.59999999999991"/>
    <x v="33"/>
    <d v="2025-02-05T00:00:00"/>
    <x v="2"/>
    <x v="1"/>
    <x v="0"/>
    <s v="California"/>
    <s v="Sacramento County"/>
    <x v="1"/>
    <x v="5"/>
    <s v="February"/>
    <x v="2"/>
  </r>
  <r>
    <s v="TX500804"/>
    <x v="8"/>
    <x v="0"/>
    <n v="20"/>
    <n v="20"/>
    <x v="34"/>
    <d v="2025-02-05T00:00:00"/>
    <x v="1"/>
    <x v="3"/>
    <x v="2"/>
    <s v="California"/>
    <s v="San Diego County"/>
    <x v="3"/>
    <x v="5"/>
    <s v="February"/>
    <x v="1"/>
  </r>
  <r>
    <s v="TX500805"/>
    <x v="1"/>
    <x v="1"/>
    <n v="42.9"/>
    <n v="85.8"/>
    <x v="34"/>
    <d v="2025-02-06T00:00:00"/>
    <x v="2"/>
    <x v="0"/>
    <x v="2"/>
    <s v="California"/>
    <s v="San Diego County"/>
    <x v="1"/>
    <x v="5"/>
    <s v="February"/>
    <x v="2"/>
  </r>
  <r>
    <s v="TX500806"/>
    <x v="7"/>
    <x v="3"/>
    <n v="55.6"/>
    <n v="389.2"/>
    <x v="34"/>
    <d v="2025-02-06T00:00:00"/>
    <x v="2"/>
    <x v="2"/>
    <x v="1"/>
    <s v="California"/>
    <s v="San Diego County"/>
    <x v="1"/>
    <x v="5"/>
    <s v="February"/>
    <x v="2"/>
  </r>
  <r>
    <s v="TX500807"/>
    <x v="8"/>
    <x v="12"/>
    <n v="19.2"/>
    <n v="76.8"/>
    <x v="34"/>
    <d v="2025-02-09T00:00:00"/>
    <x v="2"/>
    <x v="0"/>
    <x v="0"/>
    <s v="California"/>
    <s v="San Luis Obispo County"/>
    <x v="0"/>
    <x v="5"/>
    <s v="February"/>
    <x v="2"/>
  </r>
  <r>
    <s v="TX500808"/>
    <x v="5"/>
    <x v="1"/>
    <n v="28.8"/>
    <n v="57.6"/>
    <x v="34"/>
    <d v="2025-02-06T00:00:00"/>
    <x v="1"/>
    <x v="1"/>
    <x v="0"/>
    <s v="California"/>
    <s v="Sonoma County"/>
    <x v="1"/>
    <x v="5"/>
    <s v="February"/>
    <x v="1"/>
  </r>
  <r>
    <s v="TX500809"/>
    <x v="4"/>
    <x v="0"/>
    <n v="29.7"/>
    <n v="29.7"/>
    <x v="34"/>
    <d v="2025-02-06T00:00:00"/>
    <x v="2"/>
    <x v="2"/>
    <x v="4"/>
    <s v="California"/>
    <s v="Tulare County"/>
    <x v="1"/>
    <x v="5"/>
    <s v="February"/>
    <x v="2"/>
  </r>
  <r>
    <s v="TX500810"/>
    <x v="6"/>
    <x v="13"/>
    <n v="63.3"/>
    <n v="379.79999999999995"/>
    <x v="34"/>
    <d v="2025-02-05T00:00:00"/>
    <x v="0"/>
    <x v="0"/>
    <x v="2"/>
    <s v="California"/>
    <s v="Alameda County"/>
    <x v="3"/>
    <x v="5"/>
    <s v="February"/>
    <x v="0"/>
  </r>
  <r>
    <s v="TX500811"/>
    <x v="4"/>
    <x v="0"/>
    <n v="46"/>
    <n v="46"/>
    <x v="34"/>
    <d v="2025-02-05T00:00:00"/>
    <x v="2"/>
    <x v="0"/>
    <x v="2"/>
    <s v="California"/>
    <s v="Alameda County"/>
    <x v="3"/>
    <x v="5"/>
    <s v="February"/>
    <x v="2"/>
  </r>
  <r>
    <s v="TX500812"/>
    <x v="11"/>
    <x v="2"/>
    <n v="38"/>
    <n v="114"/>
    <x v="34"/>
    <d v="2025-02-06T00:00:00"/>
    <x v="2"/>
    <x v="1"/>
    <x v="2"/>
    <s v="California"/>
    <s v="Alameda County"/>
    <x v="1"/>
    <x v="5"/>
    <s v="February"/>
    <x v="2"/>
  </r>
  <r>
    <s v="TX500813"/>
    <x v="10"/>
    <x v="15"/>
    <n v="34.6"/>
    <n v="449.8"/>
    <x v="34"/>
    <d v="2025-02-06T00:00:00"/>
    <x v="2"/>
    <x v="0"/>
    <x v="1"/>
    <s v="California"/>
    <s v="Alameda County"/>
    <x v="1"/>
    <x v="5"/>
    <s v="February"/>
    <x v="2"/>
  </r>
  <r>
    <s v="TX500814"/>
    <x v="3"/>
    <x v="7"/>
    <n v="79.7"/>
    <n v="797"/>
    <x v="34"/>
    <d v="2025-02-05T00:00:00"/>
    <x v="2"/>
    <x v="4"/>
    <x v="1"/>
    <s v="California"/>
    <s v="Alameda County"/>
    <x v="3"/>
    <x v="5"/>
    <s v="February"/>
    <x v="2"/>
  </r>
  <r>
    <s v="TX500815"/>
    <x v="8"/>
    <x v="8"/>
    <n v="30.5"/>
    <n v="244"/>
    <x v="34"/>
    <d v="2025-02-08T00:00:00"/>
    <x v="1"/>
    <x v="3"/>
    <x v="0"/>
    <s v="California"/>
    <s v="Contra Costa County"/>
    <x v="5"/>
    <x v="5"/>
    <s v="February"/>
    <x v="1"/>
  </r>
  <r>
    <s v="TX500816"/>
    <x v="0"/>
    <x v="1"/>
    <n v="20.8"/>
    <n v="41.6"/>
    <x v="34"/>
    <d v="2025-02-05T00:00:00"/>
    <x v="2"/>
    <x v="0"/>
    <x v="0"/>
    <s v="California"/>
    <s v="Fresno County"/>
    <x v="3"/>
    <x v="5"/>
    <s v="February"/>
    <x v="2"/>
  </r>
  <r>
    <s v="TX500817"/>
    <x v="11"/>
    <x v="3"/>
    <n v="48.5"/>
    <n v="339.5"/>
    <x v="34"/>
    <d v="2025-02-08T00:00:00"/>
    <x v="2"/>
    <x v="2"/>
    <x v="2"/>
    <s v="California"/>
    <s v="Fresno County"/>
    <x v="5"/>
    <x v="5"/>
    <s v="February"/>
    <x v="2"/>
  </r>
  <r>
    <s v="TX500818"/>
    <x v="2"/>
    <x v="12"/>
    <n v="61.8"/>
    <n v="247.2"/>
    <x v="34"/>
    <d v="2025-02-08T00:00:00"/>
    <x v="2"/>
    <x v="4"/>
    <x v="0"/>
    <s v="California"/>
    <s v="Kern County"/>
    <x v="5"/>
    <x v="5"/>
    <s v="February"/>
    <x v="2"/>
  </r>
  <r>
    <s v="TX500819"/>
    <x v="10"/>
    <x v="0"/>
    <n v="46.1"/>
    <n v="46.1"/>
    <x v="34"/>
    <d v="2025-02-05T00:00:00"/>
    <x v="3"/>
    <x v="2"/>
    <x v="0"/>
    <s v="California"/>
    <s v="Los Angeles County"/>
    <x v="3"/>
    <x v="5"/>
    <s v="February"/>
    <x v="3"/>
  </r>
  <r>
    <s v="TX500820"/>
    <x v="4"/>
    <x v="13"/>
    <n v="44"/>
    <n v="264"/>
    <x v="34"/>
    <d v="2025-02-05T00:00:00"/>
    <x v="2"/>
    <x v="0"/>
    <x v="0"/>
    <s v="California"/>
    <s v="Los Angeles County"/>
    <x v="3"/>
    <x v="5"/>
    <s v="February"/>
    <x v="2"/>
  </r>
  <r>
    <s v="TX500821"/>
    <x v="18"/>
    <x v="1"/>
    <n v="95.7"/>
    <n v="191.4"/>
    <x v="34"/>
    <d v="2025-02-10T00:00:00"/>
    <x v="2"/>
    <x v="3"/>
    <x v="2"/>
    <s v="California"/>
    <s v="Los Angeles County"/>
    <x v="4"/>
    <x v="5"/>
    <s v="February"/>
    <x v="2"/>
  </r>
  <r>
    <s v="TX500822"/>
    <x v="7"/>
    <x v="9"/>
    <n v="46.4"/>
    <n v="232"/>
    <x v="34"/>
    <d v="2025-02-07T00:00:00"/>
    <x v="2"/>
    <x v="0"/>
    <x v="0"/>
    <s v="California"/>
    <s v="Los Angeles County"/>
    <x v="2"/>
    <x v="5"/>
    <s v="February"/>
    <x v="2"/>
  </r>
  <r>
    <s v="TX500823"/>
    <x v="6"/>
    <x v="1"/>
    <n v="47.2"/>
    <n v="94.4"/>
    <x v="34"/>
    <d v="2025-02-06T00:00:00"/>
    <x v="2"/>
    <x v="0"/>
    <x v="2"/>
    <s v="California"/>
    <s v="Los Angeles County"/>
    <x v="1"/>
    <x v="5"/>
    <s v="February"/>
    <x v="2"/>
  </r>
  <r>
    <s v="TX500824"/>
    <x v="7"/>
    <x v="1"/>
    <n v="58.6"/>
    <n v="117.2"/>
    <x v="34"/>
    <d v="2025-02-05T00:00:00"/>
    <x v="2"/>
    <x v="2"/>
    <x v="1"/>
    <s v="California"/>
    <s v="Los Angeles County"/>
    <x v="3"/>
    <x v="5"/>
    <s v="February"/>
    <x v="2"/>
  </r>
  <r>
    <s v="TX500825"/>
    <x v="4"/>
    <x v="2"/>
    <n v="57"/>
    <n v="171"/>
    <x v="34"/>
    <d v="2025-02-05T00:00:00"/>
    <x v="1"/>
    <x v="0"/>
    <x v="2"/>
    <s v="California"/>
    <s v="Los Angeles County"/>
    <x v="3"/>
    <x v="5"/>
    <s v="February"/>
    <x v="1"/>
  </r>
  <r>
    <s v="TX500826"/>
    <x v="8"/>
    <x v="12"/>
    <n v="28.9"/>
    <n v="115.6"/>
    <x v="34"/>
    <d v="2025-02-08T00:00:00"/>
    <x v="1"/>
    <x v="2"/>
    <x v="0"/>
    <s v="California"/>
    <s v="Los Angeles County"/>
    <x v="5"/>
    <x v="5"/>
    <s v="February"/>
    <x v="1"/>
  </r>
  <r>
    <s v="TX500827"/>
    <x v="12"/>
    <x v="9"/>
    <n v="60.7"/>
    <n v="303.5"/>
    <x v="34"/>
    <d v="2025-02-08T00:00:00"/>
    <x v="0"/>
    <x v="1"/>
    <x v="1"/>
    <s v="California"/>
    <s v="Los Angeles County"/>
    <x v="5"/>
    <x v="5"/>
    <s v="February"/>
    <x v="0"/>
  </r>
  <r>
    <s v="TX500828"/>
    <x v="6"/>
    <x v="9"/>
    <n v="60.8"/>
    <n v="304"/>
    <x v="34"/>
    <d v="2025-02-08T00:00:00"/>
    <x v="1"/>
    <x v="0"/>
    <x v="1"/>
    <s v="California"/>
    <s v="Los Angeles County"/>
    <x v="5"/>
    <x v="5"/>
    <s v="February"/>
    <x v="1"/>
  </r>
  <r>
    <s v="TX500829"/>
    <x v="6"/>
    <x v="9"/>
    <n v="64.599999999999994"/>
    <n v="323"/>
    <x v="34"/>
    <d v="2025-02-05T00:00:00"/>
    <x v="2"/>
    <x v="3"/>
    <x v="0"/>
    <s v="California"/>
    <s v="Los Angeles County"/>
    <x v="3"/>
    <x v="5"/>
    <s v="February"/>
    <x v="2"/>
  </r>
  <r>
    <s v="TX500830"/>
    <x v="8"/>
    <x v="0"/>
    <n v="21.9"/>
    <n v="21.9"/>
    <x v="34"/>
    <d v="2025-02-07T00:00:00"/>
    <x v="1"/>
    <x v="1"/>
    <x v="2"/>
    <s v="California"/>
    <s v="Nevada County"/>
    <x v="2"/>
    <x v="5"/>
    <s v="February"/>
    <x v="1"/>
  </r>
  <r>
    <s v="TX500831"/>
    <x v="4"/>
    <x v="4"/>
    <n v="33.4"/>
    <n v="400.79999999999995"/>
    <x v="34"/>
    <d v="2025-02-06T00:00:00"/>
    <x v="2"/>
    <x v="0"/>
    <x v="0"/>
    <s v="California"/>
    <s v="Riverside County"/>
    <x v="1"/>
    <x v="5"/>
    <s v="February"/>
    <x v="2"/>
  </r>
  <r>
    <s v="TX500832"/>
    <x v="2"/>
    <x v="0"/>
    <n v="51.7"/>
    <n v="51.7"/>
    <x v="34"/>
    <d v="2025-02-05T00:00:00"/>
    <x v="0"/>
    <x v="0"/>
    <x v="0"/>
    <s v="California"/>
    <s v="Sacramento County"/>
    <x v="3"/>
    <x v="5"/>
    <s v="February"/>
    <x v="0"/>
  </r>
  <r>
    <s v="TX500833"/>
    <x v="1"/>
    <x v="12"/>
    <n v="84.9"/>
    <n v="339.6"/>
    <x v="34"/>
    <d v="2025-02-05T00:00:00"/>
    <x v="2"/>
    <x v="1"/>
    <x v="1"/>
    <s v="California"/>
    <s v="Sacramento County"/>
    <x v="3"/>
    <x v="5"/>
    <s v="February"/>
    <x v="2"/>
  </r>
  <r>
    <s v="TX500834"/>
    <x v="1"/>
    <x v="5"/>
    <n v="62.3"/>
    <n v="685.3"/>
    <x v="34"/>
    <d v="2025-02-05T00:00:00"/>
    <x v="2"/>
    <x v="2"/>
    <x v="2"/>
    <s v="California"/>
    <s v="San Bernardino County"/>
    <x v="3"/>
    <x v="5"/>
    <s v="February"/>
    <x v="2"/>
  </r>
  <r>
    <s v="TX500835"/>
    <x v="4"/>
    <x v="0"/>
    <n v="50.7"/>
    <n v="50.7"/>
    <x v="34"/>
    <d v="2025-02-06T00:00:00"/>
    <x v="1"/>
    <x v="2"/>
    <x v="2"/>
    <s v="California"/>
    <s v="San Diego County"/>
    <x v="1"/>
    <x v="5"/>
    <s v="February"/>
    <x v="1"/>
  </r>
  <r>
    <s v="TX500836"/>
    <x v="18"/>
    <x v="0"/>
    <n v="39.5"/>
    <n v="39.5"/>
    <x v="34"/>
    <d v="2025-02-05T00:00:00"/>
    <x v="1"/>
    <x v="4"/>
    <x v="1"/>
    <s v="California"/>
    <s v="San Diego County"/>
    <x v="3"/>
    <x v="5"/>
    <s v="February"/>
    <x v="1"/>
  </r>
  <r>
    <s v="TX500837"/>
    <x v="12"/>
    <x v="2"/>
    <n v="30.9"/>
    <n v="92.699999999999989"/>
    <x v="34"/>
    <d v="2025-02-05T00:00:00"/>
    <x v="0"/>
    <x v="4"/>
    <x v="2"/>
    <s v="California"/>
    <s v="San Diego County"/>
    <x v="3"/>
    <x v="5"/>
    <s v="February"/>
    <x v="0"/>
  </r>
  <r>
    <s v="TX500838"/>
    <x v="1"/>
    <x v="3"/>
    <n v="36.4"/>
    <n v="254.79999999999998"/>
    <x v="34"/>
    <d v="2025-02-07T00:00:00"/>
    <x v="2"/>
    <x v="0"/>
    <x v="2"/>
    <s v="California"/>
    <s v="San Diego County"/>
    <x v="2"/>
    <x v="5"/>
    <s v="February"/>
    <x v="2"/>
  </r>
  <r>
    <s v="TX500839"/>
    <x v="6"/>
    <x v="8"/>
    <n v="105.6"/>
    <n v="844.8"/>
    <x v="34"/>
    <d v="2025-02-14T00:00:00"/>
    <x v="2"/>
    <x v="0"/>
    <x v="0"/>
    <s v="California"/>
    <s v="San Diego County"/>
    <x v="14"/>
    <x v="5"/>
    <s v="February"/>
    <x v="2"/>
  </r>
  <r>
    <s v="TX500840"/>
    <x v="8"/>
    <x v="1"/>
    <n v="22.1"/>
    <n v="44.2"/>
    <x v="34"/>
    <d v="2025-02-05T00:00:00"/>
    <x v="2"/>
    <x v="0"/>
    <x v="2"/>
    <s v="California"/>
    <s v="San Francisco"/>
    <x v="3"/>
    <x v="5"/>
    <s v="February"/>
    <x v="2"/>
  </r>
  <r>
    <s v="TX500841"/>
    <x v="0"/>
    <x v="2"/>
    <n v="22.6"/>
    <n v="67.800000000000011"/>
    <x v="34"/>
    <d v="2025-02-05T00:00:00"/>
    <x v="2"/>
    <x v="2"/>
    <x v="0"/>
    <s v="California"/>
    <s v="San Francisco"/>
    <x v="3"/>
    <x v="5"/>
    <s v="February"/>
    <x v="2"/>
  </r>
  <r>
    <s v="TX500842"/>
    <x v="10"/>
    <x v="13"/>
    <n v="26.3"/>
    <n v="157.80000000000001"/>
    <x v="34"/>
    <d v="2025-02-04T00:00:00"/>
    <x v="2"/>
    <x v="2"/>
    <x v="0"/>
    <s v="California"/>
    <s v="San Mateo County"/>
    <x v="7"/>
    <x v="5"/>
    <s v="February"/>
    <x v="2"/>
  </r>
  <r>
    <s v="TX500843"/>
    <x v="1"/>
    <x v="12"/>
    <n v="37.799999999999997"/>
    <n v="151.19999999999999"/>
    <x v="34"/>
    <d v="2025-02-05T00:00:00"/>
    <x v="2"/>
    <x v="0"/>
    <x v="2"/>
    <s v="California"/>
    <s v="Santa Clara County"/>
    <x v="3"/>
    <x v="5"/>
    <s v="February"/>
    <x v="2"/>
  </r>
  <r>
    <s v="TX500844"/>
    <x v="6"/>
    <x v="14"/>
    <n v="96"/>
    <n v="1632"/>
    <x v="34"/>
    <d v="2025-02-07T00:00:00"/>
    <x v="2"/>
    <x v="4"/>
    <x v="1"/>
    <s v="California"/>
    <s v="Sonoma County"/>
    <x v="2"/>
    <x v="5"/>
    <s v="February"/>
    <x v="2"/>
  </r>
  <r>
    <s v="TX500845"/>
    <x v="1"/>
    <x v="0"/>
    <n v="83.6"/>
    <n v="83.6"/>
    <x v="34"/>
    <d v="2025-02-07T00:00:00"/>
    <x v="2"/>
    <x v="2"/>
    <x v="1"/>
    <s v="California"/>
    <s v="Stanislaus County"/>
    <x v="2"/>
    <x v="5"/>
    <s v="February"/>
    <x v="2"/>
  </r>
  <r>
    <s v="TX500846"/>
    <x v="2"/>
    <x v="13"/>
    <n v="72.599999999999994"/>
    <n v="435.59999999999997"/>
    <x v="34"/>
    <d v="2025-02-05T00:00:00"/>
    <x v="2"/>
    <x v="0"/>
    <x v="0"/>
    <s v="California"/>
    <s v="Alameda County"/>
    <x v="3"/>
    <x v="5"/>
    <s v="February"/>
    <x v="2"/>
  </r>
  <r>
    <s v="TX500847"/>
    <x v="5"/>
    <x v="28"/>
    <n v="69.099999999999994"/>
    <n v="1382"/>
    <x v="35"/>
    <d v="2025-02-11T00:00:00"/>
    <x v="1"/>
    <x v="0"/>
    <x v="2"/>
    <s v="California"/>
    <s v="Alameda County"/>
    <x v="4"/>
    <x v="5"/>
    <s v="February"/>
    <x v="1"/>
  </r>
  <r>
    <s v="TX500848"/>
    <x v="4"/>
    <x v="1"/>
    <n v="22.6"/>
    <n v="45.2"/>
    <x v="35"/>
    <d v="2025-02-07T00:00:00"/>
    <x v="2"/>
    <x v="1"/>
    <x v="2"/>
    <s v="California"/>
    <s v="Alameda County"/>
    <x v="1"/>
    <x v="5"/>
    <s v="February"/>
    <x v="2"/>
  </r>
  <r>
    <s v="TX500849"/>
    <x v="6"/>
    <x v="1"/>
    <n v="45.3"/>
    <n v="90.6"/>
    <x v="35"/>
    <d v="2025-02-09T00:00:00"/>
    <x v="1"/>
    <x v="4"/>
    <x v="2"/>
    <s v="California"/>
    <s v="Alameda County"/>
    <x v="5"/>
    <x v="5"/>
    <s v="February"/>
    <x v="1"/>
  </r>
  <r>
    <s v="TX500850"/>
    <x v="2"/>
    <x v="1"/>
    <n v="115.1"/>
    <n v="230.2"/>
    <x v="35"/>
    <d v="2025-02-06T00:00:00"/>
    <x v="2"/>
    <x v="1"/>
    <x v="0"/>
    <s v="California"/>
    <s v="Contra Costa County"/>
    <x v="3"/>
    <x v="5"/>
    <s v="February"/>
    <x v="2"/>
  </r>
  <r>
    <s v="TX500851"/>
    <x v="18"/>
    <x v="12"/>
    <n v="79"/>
    <n v="316"/>
    <x v="35"/>
    <d v="2025-02-07T00:00:00"/>
    <x v="1"/>
    <x v="2"/>
    <x v="4"/>
    <s v="California"/>
    <s v="Contra Costa County"/>
    <x v="1"/>
    <x v="5"/>
    <s v="February"/>
    <x v="1"/>
  </r>
  <r>
    <s v="TX500852"/>
    <x v="6"/>
    <x v="9"/>
    <n v="52.8"/>
    <n v="264"/>
    <x v="35"/>
    <d v="2025-02-06T00:00:00"/>
    <x v="2"/>
    <x v="0"/>
    <x v="0"/>
    <s v="California"/>
    <s v="El Dorado County"/>
    <x v="3"/>
    <x v="5"/>
    <s v="February"/>
    <x v="2"/>
  </r>
  <r>
    <s v="TX500853"/>
    <x v="8"/>
    <x v="1"/>
    <n v="34.1"/>
    <n v="68.2"/>
    <x v="35"/>
    <d v="2025-02-06T00:00:00"/>
    <x v="1"/>
    <x v="3"/>
    <x v="2"/>
    <s v="California"/>
    <s v="Humboldt County"/>
    <x v="3"/>
    <x v="5"/>
    <s v="February"/>
    <x v="1"/>
  </r>
  <r>
    <s v="TX500854"/>
    <x v="6"/>
    <x v="9"/>
    <n v="107.9"/>
    <n v="539.5"/>
    <x v="35"/>
    <d v="2025-02-05T00:00:00"/>
    <x v="2"/>
    <x v="0"/>
    <x v="2"/>
    <s v="California"/>
    <s v="Lake County"/>
    <x v="7"/>
    <x v="5"/>
    <s v="February"/>
    <x v="2"/>
  </r>
  <r>
    <s v="TX500855"/>
    <x v="8"/>
    <x v="15"/>
    <n v="48.5"/>
    <n v="630.5"/>
    <x v="35"/>
    <d v="2025-02-05T00:00:00"/>
    <x v="1"/>
    <x v="2"/>
    <x v="2"/>
    <s v="California"/>
    <s v="Los Angeles County"/>
    <x v="7"/>
    <x v="5"/>
    <s v="February"/>
    <x v="1"/>
  </r>
  <r>
    <s v="TX500856"/>
    <x v="5"/>
    <x v="2"/>
    <n v="34.700000000000003"/>
    <n v="104.10000000000001"/>
    <x v="35"/>
    <d v="2025-02-06T00:00:00"/>
    <x v="0"/>
    <x v="4"/>
    <x v="1"/>
    <s v="California"/>
    <s v="Los Angeles County"/>
    <x v="3"/>
    <x v="5"/>
    <s v="February"/>
    <x v="0"/>
  </r>
  <r>
    <s v="TX500857"/>
    <x v="8"/>
    <x v="0"/>
    <n v="16.8"/>
    <n v="16.8"/>
    <x v="35"/>
    <d v="2025-02-07T00:00:00"/>
    <x v="2"/>
    <x v="3"/>
    <x v="0"/>
    <s v="California"/>
    <s v="Los Angeles County"/>
    <x v="1"/>
    <x v="5"/>
    <s v="February"/>
    <x v="2"/>
  </r>
  <r>
    <s v="TX500858"/>
    <x v="8"/>
    <x v="13"/>
    <n v="18.3"/>
    <n v="109.80000000000001"/>
    <x v="35"/>
    <d v="2025-02-08T00:00:00"/>
    <x v="2"/>
    <x v="0"/>
    <x v="0"/>
    <s v="California"/>
    <s v="Los Angeles County"/>
    <x v="2"/>
    <x v="5"/>
    <s v="February"/>
    <x v="2"/>
  </r>
  <r>
    <s v="TX500859"/>
    <x v="18"/>
    <x v="2"/>
    <n v="55.9"/>
    <n v="167.7"/>
    <x v="35"/>
    <d v="2025-02-11T00:00:00"/>
    <x v="1"/>
    <x v="3"/>
    <x v="1"/>
    <s v="California"/>
    <s v="Los Angeles County"/>
    <x v="4"/>
    <x v="5"/>
    <s v="February"/>
    <x v="1"/>
  </r>
  <r>
    <s v="TX500860"/>
    <x v="8"/>
    <x v="2"/>
    <n v="39.200000000000003"/>
    <n v="117.60000000000001"/>
    <x v="35"/>
    <d v="2025-02-07T00:00:00"/>
    <x v="2"/>
    <x v="0"/>
    <x v="1"/>
    <s v="California"/>
    <s v="Los Angeles County"/>
    <x v="1"/>
    <x v="5"/>
    <s v="February"/>
    <x v="2"/>
  </r>
  <r>
    <s v="TX500861"/>
    <x v="15"/>
    <x v="12"/>
    <n v="66.5"/>
    <n v="266"/>
    <x v="35"/>
    <d v="2025-02-07T00:00:00"/>
    <x v="0"/>
    <x v="3"/>
    <x v="1"/>
    <s v="California"/>
    <s v="Los Angeles County"/>
    <x v="1"/>
    <x v="5"/>
    <s v="February"/>
    <x v="0"/>
  </r>
  <r>
    <s v="TX500862"/>
    <x v="6"/>
    <x v="13"/>
    <n v="52.1"/>
    <n v="312.60000000000002"/>
    <x v="35"/>
    <d v="2025-02-07T00:00:00"/>
    <x v="1"/>
    <x v="1"/>
    <x v="1"/>
    <s v="California"/>
    <s v="Napa County"/>
    <x v="1"/>
    <x v="5"/>
    <s v="February"/>
    <x v="1"/>
  </r>
  <r>
    <s v="TX500863"/>
    <x v="8"/>
    <x v="1"/>
    <n v="19"/>
    <n v="38"/>
    <x v="35"/>
    <d v="2025-02-06T00:00:00"/>
    <x v="1"/>
    <x v="4"/>
    <x v="2"/>
    <s v="California"/>
    <s v="Sacramento County"/>
    <x v="3"/>
    <x v="5"/>
    <s v="February"/>
    <x v="1"/>
  </r>
  <r>
    <s v="TX500864"/>
    <x v="7"/>
    <x v="2"/>
    <n v="84.8"/>
    <n v="254.39999999999998"/>
    <x v="35"/>
    <d v="2025-02-07T00:00:00"/>
    <x v="2"/>
    <x v="2"/>
    <x v="0"/>
    <s v="California"/>
    <s v="San Diego County"/>
    <x v="1"/>
    <x v="5"/>
    <s v="February"/>
    <x v="2"/>
  </r>
  <r>
    <s v="TX500865"/>
    <x v="2"/>
    <x v="12"/>
    <n v="63.9"/>
    <n v="255.6"/>
    <x v="35"/>
    <d v="2025-02-08T00:00:00"/>
    <x v="2"/>
    <x v="0"/>
    <x v="0"/>
    <s v="California"/>
    <s v="San Diego County"/>
    <x v="2"/>
    <x v="5"/>
    <s v="February"/>
    <x v="2"/>
  </r>
  <r>
    <s v="TX500866"/>
    <x v="2"/>
    <x v="2"/>
    <n v="65.5"/>
    <n v="196.5"/>
    <x v="35"/>
    <d v="2025-02-05T00:00:00"/>
    <x v="2"/>
    <x v="1"/>
    <x v="1"/>
    <s v="California"/>
    <s v="San Diego County"/>
    <x v="7"/>
    <x v="5"/>
    <s v="February"/>
    <x v="2"/>
  </r>
  <r>
    <s v="TX500867"/>
    <x v="12"/>
    <x v="1"/>
    <n v="116.2"/>
    <n v="232.4"/>
    <x v="35"/>
    <d v="2025-02-11T00:00:00"/>
    <x v="1"/>
    <x v="3"/>
    <x v="0"/>
    <s v="California"/>
    <s v="San Francisco"/>
    <x v="4"/>
    <x v="5"/>
    <s v="February"/>
    <x v="1"/>
  </r>
  <r>
    <s v="TX500868"/>
    <x v="10"/>
    <x v="12"/>
    <n v="22.9"/>
    <n v="91.6"/>
    <x v="35"/>
    <d v="2025-02-07T00:00:00"/>
    <x v="2"/>
    <x v="2"/>
    <x v="1"/>
    <s v="California"/>
    <s v="Solano County"/>
    <x v="1"/>
    <x v="5"/>
    <s v="February"/>
    <x v="2"/>
  </r>
  <r>
    <s v="TX500869"/>
    <x v="10"/>
    <x v="2"/>
    <n v="53.7"/>
    <n v="161.10000000000002"/>
    <x v="35"/>
    <d v="2025-02-06T00:00:00"/>
    <x v="1"/>
    <x v="0"/>
    <x v="4"/>
    <s v="California"/>
    <s v="Sonoma County"/>
    <x v="3"/>
    <x v="5"/>
    <s v="February"/>
    <x v="1"/>
  </r>
  <r>
    <s v="TX500870"/>
    <x v="6"/>
    <x v="9"/>
    <n v="43.2"/>
    <n v="216"/>
    <x v="35"/>
    <d v="2025-02-07T00:00:00"/>
    <x v="2"/>
    <x v="0"/>
    <x v="0"/>
    <s v="California"/>
    <s v="Stanislaus County"/>
    <x v="1"/>
    <x v="5"/>
    <s v="February"/>
    <x v="2"/>
  </r>
  <r>
    <s v="TX500871"/>
    <x v="1"/>
    <x v="2"/>
    <n v="84.5"/>
    <n v="253.5"/>
    <x v="35"/>
    <d v="2025-02-07T00:00:00"/>
    <x v="1"/>
    <x v="2"/>
    <x v="2"/>
    <s v="California"/>
    <s v="Butte County"/>
    <x v="1"/>
    <x v="5"/>
    <s v="February"/>
    <x v="1"/>
  </r>
  <r>
    <s v="TX500872"/>
    <x v="3"/>
    <x v="1"/>
    <n v="42.2"/>
    <n v="84.4"/>
    <x v="35"/>
    <d v="2025-02-06T00:00:00"/>
    <x v="2"/>
    <x v="1"/>
    <x v="2"/>
    <s v="California"/>
    <s v="Contra Costa County"/>
    <x v="3"/>
    <x v="5"/>
    <s v="February"/>
    <x v="2"/>
  </r>
  <r>
    <s v="TX500873"/>
    <x v="2"/>
    <x v="13"/>
    <n v="94.7"/>
    <n v="568.20000000000005"/>
    <x v="35"/>
    <d v="2025-02-08T00:00:00"/>
    <x v="2"/>
    <x v="1"/>
    <x v="2"/>
    <s v="California"/>
    <s v="Fresno County"/>
    <x v="2"/>
    <x v="5"/>
    <s v="February"/>
    <x v="2"/>
  </r>
  <r>
    <s v="TX500874"/>
    <x v="8"/>
    <x v="16"/>
    <n v="16.7"/>
    <n v="300.59999999999997"/>
    <x v="35"/>
    <d v="2025-02-17T00:00:00"/>
    <x v="2"/>
    <x v="0"/>
    <x v="2"/>
    <s v="California"/>
    <s v="Fresno County"/>
    <x v="13"/>
    <x v="5"/>
    <s v="February"/>
    <x v="2"/>
  </r>
  <r>
    <s v="TX500875"/>
    <x v="2"/>
    <x v="1"/>
    <n v="83.6"/>
    <n v="167.2"/>
    <x v="35"/>
    <d v="2025-02-11T00:00:00"/>
    <x v="2"/>
    <x v="1"/>
    <x v="0"/>
    <s v="California"/>
    <s v="Los Angeles County"/>
    <x v="4"/>
    <x v="5"/>
    <s v="February"/>
    <x v="2"/>
  </r>
  <r>
    <s v="TX500876"/>
    <x v="7"/>
    <x v="13"/>
    <n v="33.6"/>
    <n v="201.60000000000002"/>
    <x v="36"/>
    <d v="2025-02-07T00:00:00"/>
    <x v="2"/>
    <x v="3"/>
    <x v="0"/>
    <s v="California"/>
    <s v="Los Angeles County"/>
    <x v="3"/>
    <x v="5"/>
    <s v="February"/>
    <x v="2"/>
  </r>
  <r>
    <s v="TX500877"/>
    <x v="7"/>
    <x v="1"/>
    <n v="64.7"/>
    <n v="129.4"/>
    <x v="36"/>
    <d v="2025-02-08T00:00:00"/>
    <x v="1"/>
    <x v="1"/>
    <x v="2"/>
    <s v="California"/>
    <s v="Los Angeles County"/>
    <x v="1"/>
    <x v="5"/>
    <s v="February"/>
    <x v="1"/>
  </r>
  <r>
    <s v="TX500878"/>
    <x v="0"/>
    <x v="2"/>
    <n v="15.7"/>
    <n v="47.099999999999994"/>
    <x v="36"/>
    <d v="2025-02-12T00:00:00"/>
    <x v="2"/>
    <x v="0"/>
    <x v="0"/>
    <s v="California"/>
    <s v="Los Angeles County"/>
    <x v="4"/>
    <x v="5"/>
    <s v="February"/>
    <x v="2"/>
  </r>
  <r>
    <s v="TX500879"/>
    <x v="15"/>
    <x v="13"/>
    <n v="49.4"/>
    <n v="296.39999999999998"/>
    <x v="36"/>
    <d v="2025-02-06T00:00:00"/>
    <x v="1"/>
    <x v="1"/>
    <x v="0"/>
    <s v="California"/>
    <s v="Los Angeles County"/>
    <x v="7"/>
    <x v="5"/>
    <s v="February"/>
    <x v="1"/>
  </r>
  <r>
    <s v="TX500880"/>
    <x v="10"/>
    <x v="13"/>
    <n v="37"/>
    <n v="222"/>
    <x v="36"/>
    <d v="2025-02-09T00:00:00"/>
    <x v="2"/>
    <x v="1"/>
    <x v="2"/>
    <s v="California"/>
    <s v="Los Angeles County"/>
    <x v="2"/>
    <x v="5"/>
    <s v="February"/>
    <x v="2"/>
  </r>
  <r>
    <s v="TX500881"/>
    <x v="2"/>
    <x v="1"/>
    <n v="83.7"/>
    <n v="167.4"/>
    <x v="36"/>
    <d v="2025-02-08T00:00:00"/>
    <x v="2"/>
    <x v="3"/>
    <x v="2"/>
    <s v="California"/>
    <s v="Los Angeles County"/>
    <x v="1"/>
    <x v="5"/>
    <s v="February"/>
    <x v="2"/>
  </r>
  <r>
    <s v="TX500882"/>
    <x v="1"/>
    <x v="9"/>
    <n v="35.1"/>
    <n v="175.5"/>
    <x v="36"/>
    <d v="2025-02-07T00:00:00"/>
    <x v="2"/>
    <x v="0"/>
    <x v="0"/>
    <s v="California"/>
    <s v="Los Angeles County"/>
    <x v="3"/>
    <x v="5"/>
    <s v="February"/>
    <x v="2"/>
  </r>
  <r>
    <s v="TX500883"/>
    <x v="16"/>
    <x v="8"/>
    <n v="74"/>
    <n v="592"/>
    <x v="36"/>
    <d v="2025-02-07T00:00:00"/>
    <x v="2"/>
    <x v="4"/>
    <x v="0"/>
    <s v="California"/>
    <s v="Madera County"/>
    <x v="3"/>
    <x v="5"/>
    <s v="February"/>
    <x v="2"/>
  </r>
  <r>
    <s v="TX500884"/>
    <x v="6"/>
    <x v="25"/>
    <n v="55.5"/>
    <n v="1332"/>
    <x v="36"/>
    <d v="2025-02-09T00:00:00"/>
    <x v="1"/>
    <x v="3"/>
    <x v="0"/>
    <s v="California"/>
    <s v="Monterey County"/>
    <x v="2"/>
    <x v="5"/>
    <s v="February"/>
    <x v="1"/>
  </r>
  <r>
    <s v="TX500885"/>
    <x v="11"/>
    <x v="1"/>
    <n v="38.9"/>
    <n v="77.8"/>
    <x v="36"/>
    <d v="2025-02-08T00:00:00"/>
    <x v="2"/>
    <x v="1"/>
    <x v="2"/>
    <s v="California"/>
    <s v="Orange County"/>
    <x v="1"/>
    <x v="5"/>
    <s v="February"/>
    <x v="2"/>
  </r>
  <r>
    <s v="TX500886"/>
    <x v="16"/>
    <x v="1"/>
    <n v="64.599999999999994"/>
    <n v="129.19999999999999"/>
    <x v="36"/>
    <d v="2025-02-13T00:00:00"/>
    <x v="1"/>
    <x v="2"/>
    <x v="1"/>
    <s v="California"/>
    <s v="Orange County"/>
    <x v="6"/>
    <x v="5"/>
    <s v="February"/>
    <x v="1"/>
  </r>
  <r>
    <s v="TX500887"/>
    <x v="2"/>
    <x v="2"/>
    <n v="95.3"/>
    <n v="285.89999999999998"/>
    <x v="36"/>
    <d v="2025-02-07T00:00:00"/>
    <x v="1"/>
    <x v="0"/>
    <x v="0"/>
    <s v="California"/>
    <s v="Placer County"/>
    <x v="3"/>
    <x v="5"/>
    <s v="February"/>
    <x v="1"/>
  </r>
  <r>
    <s v="TX500888"/>
    <x v="13"/>
    <x v="2"/>
    <n v="25.8"/>
    <n v="77.400000000000006"/>
    <x v="36"/>
    <d v="2025-02-07T00:00:00"/>
    <x v="2"/>
    <x v="1"/>
    <x v="1"/>
    <s v="California"/>
    <s v="Sacramento County"/>
    <x v="3"/>
    <x v="5"/>
    <s v="February"/>
    <x v="2"/>
  </r>
  <r>
    <s v="TX500889"/>
    <x v="0"/>
    <x v="1"/>
    <n v="11.6"/>
    <n v="23.2"/>
    <x v="36"/>
    <d v="2025-02-10T00:00:00"/>
    <x v="2"/>
    <x v="1"/>
    <x v="1"/>
    <s v="California"/>
    <s v="Sacramento County"/>
    <x v="5"/>
    <x v="5"/>
    <s v="February"/>
    <x v="2"/>
  </r>
  <r>
    <s v="TX500890"/>
    <x v="7"/>
    <x v="0"/>
    <n v="52.3"/>
    <n v="52.3"/>
    <x v="36"/>
    <d v="2025-02-07T00:00:00"/>
    <x v="2"/>
    <x v="1"/>
    <x v="0"/>
    <s v="California"/>
    <s v="San Diego County"/>
    <x v="3"/>
    <x v="5"/>
    <s v="February"/>
    <x v="2"/>
  </r>
  <r>
    <s v="TX500891"/>
    <x v="2"/>
    <x v="7"/>
    <n v="112.2"/>
    <n v="1122"/>
    <x v="36"/>
    <d v="2025-02-07T00:00:00"/>
    <x v="2"/>
    <x v="1"/>
    <x v="1"/>
    <s v="California"/>
    <s v="San Diego County"/>
    <x v="3"/>
    <x v="5"/>
    <s v="February"/>
    <x v="2"/>
  </r>
  <r>
    <s v="TX500892"/>
    <x v="4"/>
    <x v="9"/>
    <n v="34.6"/>
    <n v="173"/>
    <x v="36"/>
    <d v="2025-02-08T00:00:00"/>
    <x v="1"/>
    <x v="2"/>
    <x v="0"/>
    <s v="California"/>
    <s v="San Diego County"/>
    <x v="1"/>
    <x v="5"/>
    <s v="February"/>
    <x v="1"/>
  </r>
  <r>
    <s v="TX500893"/>
    <x v="14"/>
    <x v="12"/>
    <n v="20.100000000000001"/>
    <n v="80.400000000000006"/>
    <x v="36"/>
    <d v="2025-02-12T00:00:00"/>
    <x v="1"/>
    <x v="1"/>
    <x v="2"/>
    <s v="California"/>
    <s v="San Diego County"/>
    <x v="4"/>
    <x v="5"/>
    <s v="February"/>
    <x v="1"/>
  </r>
  <r>
    <s v="TX500894"/>
    <x v="2"/>
    <x v="12"/>
    <n v="56.4"/>
    <n v="225.6"/>
    <x v="36"/>
    <d v="2025-02-08T00:00:00"/>
    <x v="2"/>
    <x v="2"/>
    <x v="0"/>
    <s v="California"/>
    <s v="Santa Barbara County"/>
    <x v="1"/>
    <x v="5"/>
    <s v="February"/>
    <x v="2"/>
  </r>
  <r>
    <s v="TX500895"/>
    <x v="13"/>
    <x v="11"/>
    <n v="55.3"/>
    <n v="497.7"/>
    <x v="36"/>
    <d v="2025-02-08T00:00:00"/>
    <x v="2"/>
    <x v="1"/>
    <x v="4"/>
    <s v="California"/>
    <s v="Santa Clara County"/>
    <x v="1"/>
    <x v="5"/>
    <s v="February"/>
    <x v="2"/>
  </r>
  <r>
    <s v="TX500896"/>
    <x v="2"/>
    <x v="31"/>
    <n v="75.5"/>
    <n v="2114"/>
    <x v="36"/>
    <d v="2025-02-07T00:00:00"/>
    <x v="2"/>
    <x v="0"/>
    <x v="0"/>
    <s v="California"/>
    <s v="Santa Clara County"/>
    <x v="3"/>
    <x v="5"/>
    <s v="February"/>
    <x v="2"/>
  </r>
  <r>
    <s v="TX500897"/>
    <x v="8"/>
    <x v="0"/>
    <n v="23.6"/>
    <n v="23.6"/>
    <x v="36"/>
    <d v="2025-02-11T00:00:00"/>
    <x v="2"/>
    <x v="0"/>
    <x v="0"/>
    <s v="California"/>
    <s v="Stanislaus County"/>
    <x v="0"/>
    <x v="5"/>
    <s v="February"/>
    <x v="2"/>
  </r>
  <r>
    <s v="TX500898"/>
    <x v="9"/>
    <x v="1"/>
    <n v="70.7"/>
    <n v="141.4"/>
    <x v="36"/>
    <d v="2025-02-08T00:00:00"/>
    <x v="2"/>
    <x v="2"/>
    <x v="0"/>
    <s v="California"/>
    <s v="Stanislaus County"/>
    <x v="1"/>
    <x v="5"/>
    <s v="February"/>
    <x v="2"/>
  </r>
  <r>
    <s v="TX500899"/>
    <x v="12"/>
    <x v="1"/>
    <n v="43.2"/>
    <n v="86.4"/>
    <x v="36"/>
    <d v="2025-02-07T00:00:00"/>
    <x v="2"/>
    <x v="2"/>
    <x v="0"/>
    <s v="California"/>
    <s v="Sutter County"/>
    <x v="3"/>
    <x v="5"/>
    <s v="February"/>
    <x v="2"/>
  </r>
  <r>
    <s v="TX500900"/>
    <x v="9"/>
    <x v="11"/>
    <n v="70"/>
    <n v="630"/>
    <x v="36"/>
    <d v="2025-02-07T00:00:00"/>
    <x v="0"/>
    <x v="1"/>
    <x v="0"/>
    <s v="California"/>
    <s v="Tuolumne County"/>
    <x v="3"/>
    <x v="5"/>
    <s v="February"/>
    <x v="0"/>
  </r>
  <r>
    <s v="TX500901"/>
    <x v="0"/>
    <x v="1"/>
    <n v="20.5"/>
    <n v="41"/>
    <x v="36"/>
    <d v="2025-02-08T00:00:00"/>
    <x v="2"/>
    <x v="2"/>
    <x v="4"/>
    <s v="California"/>
    <s v="Ventura County"/>
    <x v="1"/>
    <x v="5"/>
    <s v="February"/>
    <x v="2"/>
  </r>
  <r>
    <s v="TX500902"/>
    <x v="0"/>
    <x v="12"/>
    <n v="29.1"/>
    <n v="116.4"/>
    <x v="36"/>
    <d v="2025-02-07T00:00:00"/>
    <x v="2"/>
    <x v="3"/>
    <x v="0"/>
    <s v="California"/>
    <s v="Yolo County"/>
    <x v="3"/>
    <x v="5"/>
    <s v="February"/>
    <x v="2"/>
  </r>
  <r>
    <s v="TX500903"/>
    <x v="6"/>
    <x v="11"/>
    <n v="53.6"/>
    <n v="482.40000000000003"/>
    <x v="36"/>
    <d v="2025-02-07T00:00:00"/>
    <x v="1"/>
    <x v="2"/>
    <x v="1"/>
    <s v="California"/>
    <s v="Los Angeles County"/>
    <x v="3"/>
    <x v="5"/>
    <s v="February"/>
    <x v="1"/>
  </r>
  <r>
    <s v="TX500904"/>
    <x v="6"/>
    <x v="9"/>
    <n v="72.3"/>
    <n v="361.5"/>
    <x v="36"/>
    <d v="2025-02-08T00:00:00"/>
    <x v="2"/>
    <x v="1"/>
    <x v="0"/>
    <s v="California"/>
    <s v="Los Angeles County"/>
    <x v="1"/>
    <x v="5"/>
    <s v="February"/>
    <x v="2"/>
  </r>
  <r>
    <s v="TX500905"/>
    <x v="13"/>
    <x v="12"/>
    <n v="22.6"/>
    <n v="90.4"/>
    <x v="36"/>
    <d v="2025-02-09T00:00:00"/>
    <x v="3"/>
    <x v="0"/>
    <x v="1"/>
    <s v="California"/>
    <s v="Los Angeles County"/>
    <x v="2"/>
    <x v="5"/>
    <s v="February"/>
    <x v="3"/>
  </r>
  <r>
    <s v="TX500906"/>
    <x v="9"/>
    <x v="1"/>
    <n v="44.2"/>
    <n v="88.4"/>
    <x v="36"/>
    <d v="2025-02-10T00:00:00"/>
    <x v="0"/>
    <x v="2"/>
    <x v="4"/>
    <s v="California"/>
    <s v="Los Angeles County"/>
    <x v="5"/>
    <x v="5"/>
    <s v="February"/>
    <x v="0"/>
  </r>
  <r>
    <s v="TX500907"/>
    <x v="9"/>
    <x v="2"/>
    <n v="94.1"/>
    <n v="282.29999999999995"/>
    <x v="36"/>
    <d v="2025-02-19T00:00:00"/>
    <x v="2"/>
    <x v="2"/>
    <x v="2"/>
    <s v="California"/>
    <s v="Los Angeles County"/>
    <x v="10"/>
    <x v="5"/>
    <s v="February"/>
    <x v="2"/>
  </r>
  <r>
    <s v="TX500908"/>
    <x v="8"/>
    <x v="2"/>
    <n v="17.899999999999999"/>
    <n v="53.699999999999996"/>
    <x v="36"/>
    <d v="2025-02-08T00:00:00"/>
    <x v="1"/>
    <x v="1"/>
    <x v="1"/>
    <s v="California"/>
    <s v="Los Angeles County"/>
    <x v="1"/>
    <x v="5"/>
    <s v="February"/>
    <x v="1"/>
  </r>
  <r>
    <s v="TX500909"/>
    <x v="12"/>
    <x v="3"/>
    <n v="52.7"/>
    <n v="368.90000000000003"/>
    <x v="36"/>
    <d v="2025-02-07T00:00:00"/>
    <x v="1"/>
    <x v="1"/>
    <x v="1"/>
    <s v="California"/>
    <s v="Los Angeles County"/>
    <x v="3"/>
    <x v="5"/>
    <s v="February"/>
    <x v="1"/>
  </r>
  <r>
    <s v="TX500910"/>
    <x v="8"/>
    <x v="0"/>
    <n v="36.799999999999997"/>
    <n v="36.799999999999997"/>
    <x v="36"/>
    <d v="2025-02-06T00:00:00"/>
    <x v="0"/>
    <x v="0"/>
    <x v="2"/>
    <s v="California"/>
    <s v="Los Angeles County"/>
    <x v="7"/>
    <x v="5"/>
    <s v="February"/>
    <x v="0"/>
  </r>
  <r>
    <s v="TX500911"/>
    <x v="4"/>
    <x v="0"/>
    <n v="52.5"/>
    <n v="52.5"/>
    <x v="36"/>
    <d v="2025-02-07T00:00:00"/>
    <x v="1"/>
    <x v="0"/>
    <x v="1"/>
    <s v="California"/>
    <s v="Sacramento County"/>
    <x v="3"/>
    <x v="5"/>
    <s v="February"/>
    <x v="1"/>
  </r>
  <r>
    <s v="TX500912"/>
    <x v="2"/>
    <x v="1"/>
    <n v="133.80000000000001"/>
    <n v="267.60000000000002"/>
    <x v="36"/>
    <d v="2025-02-08T00:00:00"/>
    <x v="1"/>
    <x v="0"/>
    <x v="1"/>
    <s v="California"/>
    <s v="San Bernardino County"/>
    <x v="1"/>
    <x v="5"/>
    <s v="February"/>
    <x v="1"/>
  </r>
  <r>
    <s v="TX500913"/>
    <x v="6"/>
    <x v="1"/>
    <n v="53.2"/>
    <n v="106.4"/>
    <x v="36"/>
    <d v="2025-02-08T00:00:00"/>
    <x v="1"/>
    <x v="0"/>
    <x v="0"/>
    <s v="California"/>
    <s v="San Francisco"/>
    <x v="1"/>
    <x v="5"/>
    <s v="February"/>
    <x v="1"/>
  </r>
  <r>
    <s v="TX500914"/>
    <x v="14"/>
    <x v="13"/>
    <n v="18.7"/>
    <n v="112.19999999999999"/>
    <x v="36"/>
    <d v="2025-02-08T00:00:00"/>
    <x v="0"/>
    <x v="0"/>
    <x v="1"/>
    <s v="California"/>
    <s v="Santa Barbara County"/>
    <x v="1"/>
    <x v="5"/>
    <s v="February"/>
    <x v="0"/>
  </r>
  <r>
    <s v="TX500915"/>
    <x v="6"/>
    <x v="12"/>
    <n v="108.8"/>
    <n v="435.2"/>
    <x v="36"/>
    <d v="2025-02-07T00:00:00"/>
    <x v="2"/>
    <x v="3"/>
    <x v="2"/>
    <s v="California"/>
    <s v="Santa Clara County"/>
    <x v="3"/>
    <x v="5"/>
    <s v="February"/>
    <x v="2"/>
  </r>
  <r>
    <s v="TX500916"/>
    <x v="15"/>
    <x v="9"/>
    <n v="38.5"/>
    <n v="192.5"/>
    <x v="36"/>
    <d v="2025-02-10T00:00:00"/>
    <x v="2"/>
    <x v="0"/>
    <x v="1"/>
    <s v="California"/>
    <s v="Calaveras County"/>
    <x v="5"/>
    <x v="5"/>
    <s v="February"/>
    <x v="2"/>
  </r>
  <r>
    <s v="TX500917"/>
    <x v="10"/>
    <x v="7"/>
    <n v="46.5"/>
    <n v="465"/>
    <x v="36"/>
    <d v="2025-02-08T00:00:00"/>
    <x v="1"/>
    <x v="2"/>
    <x v="1"/>
    <s v="California"/>
    <s v="Fresno County"/>
    <x v="1"/>
    <x v="5"/>
    <s v="February"/>
    <x v="1"/>
  </r>
  <r>
    <s v="TX500918"/>
    <x v="2"/>
    <x v="2"/>
    <n v="75.8"/>
    <n v="227.39999999999998"/>
    <x v="36"/>
    <d v="2025-02-10T00:00:00"/>
    <x v="2"/>
    <x v="1"/>
    <x v="4"/>
    <s v="California"/>
    <s v="Humboldt County"/>
    <x v="5"/>
    <x v="5"/>
    <s v="February"/>
    <x v="2"/>
  </r>
  <r>
    <s v="TX500919"/>
    <x v="8"/>
    <x v="0"/>
    <n v="20.9"/>
    <n v="20.9"/>
    <x v="36"/>
    <d v="2025-02-10T00:00:00"/>
    <x v="1"/>
    <x v="0"/>
    <x v="0"/>
    <s v="California"/>
    <s v="Kern County"/>
    <x v="5"/>
    <x v="5"/>
    <s v="February"/>
    <x v="1"/>
  </r>
  <r>
    <s v="TX500920"/>
    <x v="18"/>
    <x v="2"/>
    <n v="47.4"/>
    <n v="142.19999999999999"/>
    <x v="36"/>
    <d v="2025-02-09T00:00:00"/>
    <x v="2"/>
    <x v="0"/>
    <x v="0"/>
    <s v="California"/>
    <s v="Los Angeles County"/>
    <x v="2"/>
    <x v="5"/>
    <s v="February"/>
    <x v="2"/>
  </r>
  <r>
    <s v="TX500921"/>
    <x v="9"/>
    <x v="1"/>
    <n v="53.8"/>
    <n v="107.6"/>
    <x v="36"/>
    <d v="2025-02-07T00:00:00"/>
    <x v="0"/>
    <x v="0"/>
    <x v="1"/>
    <s v="California"/>
    <s v="Los Angeles County"/>
    <x v="3"/>
    <x v="5"/>
    <s v="February"/>
    <x v="0"/>
  </r>
  <r>
    <s v="TX500922"/>
    <x v="8"/>
    <x v="2"/>
    <n v="24.6"/>
    <n v="73.800000000000011"/>
    <x v="36"/>
    <d v="2025-02-08T00:00:00"/>
    <x v="3"/>
    <x v="1"/>
    <x v="2"/>
    <s v="California"/>
    <s v="Los Angeles County"/>
    <x v="1"/>
    <x v="5"/>
    <s v="February"/>
    <x v="3"/>
  </r>
  <r>
    <s v="TX500923"/>
    <x v="9"/>
    <x v="2"/>
    <n v="70.900000000000006"/>
    <n v="212.70000000000002"/>
    <x v="36"/>
    <d v="2025-02-11T00:00:00"/>
    <x v="2"/>
    <x v="2"/>
    <x v="2"/>
    <s v="California"/>
    <s v="Los Angeles County"/>
    <x v="0"/>
    <x v="5"/>
    <s v="February"/>
    <x v="2"/>
  </r>
  <r>
    <s v="TX500924"/>
    <x v="17"/>
    <x v="2"/>
    <n v="31.9"/>
    <n v="95.699999999999989"/>
    <x v="36"/>
    <d v="2025-02-08T00:00:00"/>
    <x v="2"/>
    <x v="2"/>
    <x v="2"/>
    <s v="California"/>
    <s v="Los Angeles County"/>
    <x v="1"/>
    <x v="5"/>
    <s v="February"/>
    <x v="2"/>
  </r>
  <r>
    <s v="TX500925"/>
    <x v="0"/>
    <x v="1"/>
    <n v="20.399999999999999"/>
    <n v="40.799999999999997"/>
    <x v="36"/>
    <d v="2025-02-10T00:00:00"/>
    <x v="1"/>
    <x v="3"/>
    <x v="2"/>
    <s v="California"/>
    <s v="Los Angeles County"/>
    <x v="5"/>
    <x v="5"/>
    <s v="February"/>
    <x v="1"/>
  </r>
  <r>
    <s v="TX500926"/>
    <x v="8"/>
    <x v="1"/>
    <n v="18.600000000000001"/>
    <n v="37.200000000000003"/>
    <x v="36"/>
    <d v="2025-02-08T00:00:00"/>
    <x v="0"/>
    <x v="0"/>
    <x v="1"/>
    <s v="California"/>
    <s v="Los Angeles County"/>
    <x v="1"/>
    <x v="5"/>
    <s v="February"/>
    <x v="0"/>
  </r>
  <r>
    <s v="TX500927"/>
    <x v="4"/>
    <x v="9"/>
    <n v="48.3"/>
    <n v="241.5"/>
    <x v="36"/>
    <d v="2025-02-08T00:00:00"/>
    <x v="2"/>
    <x v="1"/>
    <x v="0"/>
    <s v="California"/>
    <s v="Los Angeles County"/>
    <x v="1"/>
    <x v="5"/>
    <s v="February"/>
    <x v="2"/>
  </r>
  <r>
    <s v="TX500928"/>
    <x v="0"/>
    <x v="12"/>
    <n v="27.7"/>
    <n v="110.8"/>
    <x v="36"/>
    <d v="2025-02-08T00:00:00"/>
    <x v="2"/>
    <x v="0"/>
    <x v="0"/>
    <s v="California"/>
    <s v="Los Angeles County"/>
    <x v="1"/>
    <x v="5"/>
    <s v="February"/>
    <x v="2"/>
  </r>
  <r>
    <s v="TX500929"/>
    <x v="4"/>
    <x v="9"/>
    <n v="22.5"/>
    <n v="112.5"/>
    <x v="36"/>
    <d v="2025-02-08T00:00:00"/>
    <x v="2"/>
    <x v="4"/>
    <x v="2"/>
    <s v="California"/>
    <s v="Los Angeles County"/>
    <x v="1"/>
    <x v="5"/>
    <s v="February"/>
    <x v="2"/>
  </r>
  <r>
    <s v="TX500930"/>
    <x v="17"/>
    <x v="9"/>
    <n v="21.6"/>
    <n v="108"/>
    <x v="36"/>
    <d v="2025-02-14T00:00:00"/>
    <x v="2"/>
    <x v="0"/>
    <x v="1"/>
    <s v="California"/>
    <s v="Los Angeles County"/>
    <x v="9"/>
    <x v="5"/>
    <s v="February"/>
    <x v="2"/>
  </r>
  <r>
    <s v="TX500931"/>
    <x v="10"/>
    <x v="3"/>
    <n v="26.3"/>
    <n v="184.1"/>
    <x v="36"/>
    <d v="2025-02-06T00:00:00"/>
    <x v="2"/>
    <x v="2"/>
    <x v="1"/>
    <s v="California"/>
    <s v="Los Angeles County"/>
    <x v="7"/>
    <x v="5"/>
    <s v="February"/>
    <x v="2"/>
  </r>
  <r>
    <s v="TX500932"/>
    <x v="6"/>
    <x v="3"/>
    <n v="103"/>
    <n v="721"/>
    <x v="37"/>
    <d v="2025-02-08T00:00:00"/>
    <x v="1"/>
    <x v="0"/>
    <x v="2"/>
    <s v="California"/>
    <s v="Sacramento County"/>
    <x v="3"/>
    <x v="5"/>
    <s v="February"/>
    <x v="1"/>
  </r>
  <r>
    <s v="TX500933"/>
    <x v="5"/>
    <x v="20"/>
    <n v="46.6"/>
    <n v="699"/>
    <x v="37"/>
    <d v="2025-02-08T00:00:00"/>
    <x v="2"/>
    <x v="0"/>
    <x v="1"/>
    <s v="California"/>
    <s v="Sacramento County"/>
    <x v="3"/>
    <x v="5"/>
    <s v="February"/>
    <x v="2"/>
  </r>
  <r>
    <s v="TX500934"/>
    <x v="0"/>
    <x v="9"/>
    <n v="32.200000000000003"/>
    <n v="161"/>
    <x v="37"/>
    <d v="2025-02-10T00:00:00"/>
    <x v="2"/>
    <x v="0"/>
    <x v="2"/>
    <s v="California"/>
    <s v="San Benito County"/>
    <x v="2"/>
    <x v="5"/>
    <s v="February"/>
    <x v="2"/>
  </r>
  <r>
    <s v="TX500935"/>
    <x v="8"/>
    <x v="2"/>
    <n v="22"/>
    <n v="66"/>
    <x v="37"/>
    <d v="2025-02-14T00:00:00"/>
    <x v="1"/>
    <x v="1"/>
    <x v="0"/>
    <s v="California"/>
    <s v="San Bernardino County"/>
    <x v="6"/>
    <x v="5"/>
    <s v="February"/>
    <x v="1"/>
  </r>
  <r>
    <s v="TX500936"/>
    <x v="0"/>
    <x v="1"/>
    <n v="25.2"/>
    <n v="50.4"/>
    <x v="37"/>
    <d v="2025-02-11T00:00:00"/>
    <x v="2"/>
    <x v="0"/>
    <x v="0"/>
    <s v="California"/>
    <s v="San Bernardino County"/>
    <x v="5"/>
    <x v="5"/>
    <s v="February"/>
    <x v="2"/>
  </r>
  <r>
    <s v="TX500937"/>
    <x v="1"/>
    <x v="13"/>
    <n v="68.7"/>
    <n v="412.20000000000005"/>
    <x v="37"/>
    <d v="2025-02-09T00:00:00"/>
    <x v="1"/>
    <x v="4"/>
    <x v="0"/>
    <s v="California"/>
    <s v="San Diego County"/>
    <x v="1"/>
    <x v="5"/>
    <s v="February"/>
    <x v="1"/>
  </r>
  <r>
    <s v="TX500938"/>
    <x v="0"/>
    <x v="2"/>
    <n v="22.2"/>
    <n v="66.599999999999994"/>
    <x v="37"/>
    <d v="2025-02-10T00:00:00"/>
    <x v="1"/>
    <x v="2"/>
    <x v="2"/>
    <s v="California"/>
    <s v="San Diego County"/>
    <x v="2"/>
    <x v="5"/>
    <s v="February"/>
    <x v="1"/>
  </r>
  <r>
    <s v="TX500939"/>
    <x v="1"/>
    <x v="3"/>
    <n v="36"/>
    <n v="252"/>
    <x v="37"/>
    <d v="2025-02-08T00:00:00"/>
    <x v="2"/>
    <x v="1"/>
    <x v="0"/>
    <s v="California"/>
    <s v="San Diego County"/>
    <x v="3"/>
    <x v="5"/>
    <s v="February"/>
    <x v="2"/>
  </r>
  <r>
    <s v="TX500940"/>
    <x v="18"/>
    <x v="0"/>
    <n v="50.6"/>
    <n v="50.6"/>
    <x v="37"/>
    <d v="2025-02-09T00:00:00"/>
    <x v="2"/>
    <x v="0"/>
    <x v="1"/>
    <s v="California"/>
    <s v="San Diego County"/>
    <x v="1"/>
    <x v="5"/>
    <s v="February"/>
    <x v="2"/>
  </r>
  <r>
    <s v="TX500941"/>
    <x v="15"/>
    <x v="1"/>
    <n v="44.9"/>
    <n v="89.8"/>
    <x v="37"/>
    <d v="2025-02-09T00:00:00"/>
    <x v="1"/>
    <x v="0"/>
    <x v="1"/>
    <s v="California"/>
    <s v="San Diego County"/>
    <x v="1"/>
    <x v="5"/>
    <s v="February"/>
    <x v="1"/>
  </r>
  <r>
    <s v="TX500942"/>
    <x v="6"/>
    <x v="2"/>
    <n v="71.599999999999994"/>
    <n v="214.79999999999998"/>
    <x v="37"/>
    <d v="2025-02-11T00:00:00"/>
    <x v="1"/>
    <x v="1"/>
    <x v="2"/>
    <s v="California"/>
    <s v="Santa Barbara County"/>
    <x v="5"/>
    <x v="5"/>
    <s v="February"/>
    <x v="1"/>
  </r>
  <r>
    <s v="TX500943"/>
    <x v="6"/>
    <x v="13"/>
    <n v="51.5"/>
    <n v="309"/>
    <x v="37"/>
    <d v="2025-02-09T00:00:00"/>
    <x v="0"/>
    <x v="4"/>
    <x v="0"/>
    <s v="California"/>
    <s v="Santa Clara County"/>
    <x v="1"/>
    <x v="5"/>
    <s v="February"/>
    <x v="0"/>
  </r>
  <r>
    <s v="TX500944"/>
    <x v="7"/>
    <x v="9"/>
    <n v="55.5"/>
    <n v="277.5"/>
    <x v="37"/>
    <d v="2025-02-08T00:00:00"/>
    <x v="1"/>
    <x v="1"/>
    <x v="1"/>
    <s v="California"/>
    <s v="Santa Clara County"/>
    <x v="3"/>
    <x v="5"/>
    <s v="February"/>
    <x v="1"/>
  </r>
  <r>
    <s v="TX500945"/>
    <x v="6"/>
    <x v="0"/>
    <n v="51.7"/>
    <n v="51.7"/>
    <x v="37"/>
    <d v="2025-02-21T00:00:00"/>
    <x v="1"/>
    <x v="2"/>
    <x v="0"/>
    <s v="California"/>
    <s v="Stanislaus County"/>
    <x v="12"/>
    <x v="5"/>
    <s v="February"/>
    <x v="1"/>
  </r>
  <r>
    <s v="TX500946"/>
    <x v="8"/>
    <x v="38"/>
    <n v="45.5"/>
    <n v="955.5"/>
    <x v="37"/>
    <d v="2025-02-08T00:00:00"/>
    <x v="2"/>
    <x v="3"/>
    <x v="2"/>
    <s v="California"/>
    <s v="Stanislaus County"/>
    <x v="3"/>
    <x v="5"/>
    <s v="February"/>
    <x v="2"/>
  </r>
  <r>
    <s v="TX500947"/>
    <x v="8"/>
    <x v="1"/>
    <n v="33.799999999999997"/>
    <n v="67.599999999999994"/>
    <x v="37"/>
    <d v="2025-02-13T00:00:00"/>
    <x v="2"/>
    <x v="3"/>
    <x v="0"/>
    <s v="California"/>
    <s v="Tulare County"/>
    <x v="4"/>
    <x v="5"/>
    <s v="February"/>
    <x v="2"/>
  </r>
  <r>
    <s v="TX500948"/>
    <x v="3"/>
    <x v="2"/>
    <n v="76.5"/>
    <n v="229.5"/>
    <x v="37"/>
    <d v="2025-02-08T00:00:00"/>
    <x v="2"/>
    <x v="0"/>
    <x v="1"/>
    <s v="California"/>
    <s v="Alameda County"/>
    <x v="3"/>
    <x v="5"/>
    <s v="February"/>
    <x v="2"/>
  </r>
  <r>
    <s v="TX500949"/>
    <x v="9"/>
    <x v="2"/>
    <n v="42.6"/>
    <n v="127.80000000000001"/>
    <x v="37"/>
    <d v="2025-02-13T00:00:00"/>
    <x v="2"/>
    <x v="2"/>
    <x v="2"/>
    <s v="California"/>
    <s v="Fresno County"/>
    <x v="4"/>
    <x v="5"/>
    <s v="February"/>
    <x v="2"/>
  </r>
  <r>
    <s v="TX500950"/>
    <x v="6"/>
    <x v="2"/>
    <n v="44.1"/>
    <n v="132.30000000000001"/>
    <x v="37"/>
    <d v="2025-02-09T00:00:00"/>
    <x v="2"/>
    <x v="1"/>
    <x v="1"/>
    <s v="California"/>
    <s v="Kern County"/>
    <x v="1"/>
    <x v="5"/>
    <s v="February"/>
    <x v="2"/>
  </r>
  <r>
    <s v="TX500951"/>
    <x v="8"/>
    <x v="1"/>
    <n v="40.9"/>
    <n v="81.8"/>
    <x v="37"/>
    <d v="2025-02-11T00:00:00"/>
    <x v="1"/>
    <x v="0"/>
    <x v="0"/>
    <s v="California"/>
    <s v="Los Angeles County"/>
    <x v="5"/>
    <x v="5"/>
    <s v="February"/>
    <x v="1"/>
  </r>
  <r>
    <s v="TX500952"/>
    <x v="9"/>
    <x v="2"/>
    <n v="49.1"/>
    <n v="147.30000000000001"/>
    <x v="37"/>
    <d v="2025-02-11T00:00:00"/>
    <x v="2"/>
    <x v="3"/>
    <x v="1"/>
    <s v="California"/>
    <s v="Los Angeles County"/>
    <x v="5"/>
    <x v="5"/>
    <s v="February"/>
    <x v="2"/>
  </r>
  <r>
    <s v="TX500953"/>
    <x v="18"/>
    <x v="0"/>
    <n v="85.3"/>
    <n v="85.3"/>
    <x v="37"/>
    <d v="2025-02-11T00:00:00"/>
    <x v="1"/>
    <x v="1"/>
    <x v="1"/>
    <s v="California"/>
    <s v="Los Angeles County"/>
    <x v="5"/>
    <x v="5"/>
    <s v="February"/>
    <x v="1"/>
  </r>
  <r>
    <s v="TX500954"/>
    <x v="6"/>
    <x v="12"/>
    <n v="43.1"/>
    <n v="172.4"/>
    <x v="38"/>
    <d v="2025-02-11T00:00:00"/>
    <x v="1"/>
    <x v="0"/>
    <x v="0"/>
    <s v="California"/>
    <s v="Los Angeles County"/>
    <x v="2"/>
    <x v="5"/>
    <s v="February"/>
    <x v="1"/>
  </r>
  <r>
    <s v="TX500955"/>
    <x v="4"/>
    <x v="12"/>
    <n v="46.2"/>
    <n v="184.8"/>
    <x v="38"/>
    <d v="2025-02-09T00:00:00"/>
    <x v="1"/>
    <x v="2"/>
    <x v="0"/>
    <s v="California"/>
    <s v="Los Angeles County"/>
    <x v="3"/>
    <x v="5"/>
    <s v="February"/>
    <x v="1"/>
  </r>
  <r>
    <s v="TX500956"/>
    <x v="1"/>
    <x v="0"/>
    <n v="74.400000000000006"/>
    <n v="74.400000000000006"/>
    <x v="38"/>
    <d v="2025-02-10T00:00:00"/>
    <x v="1"/>
    <x v="4"/>
    <x v="2"/>
    <s v="California"/>
    <s v="Los Angeles County"/>
    <x v="1"/>
    <x v="5"/>
    <s v="February"/>
    <x v="1"/>
  </r>
  <r>
    <s v="TX500957"/>
    <x v="17"/>
    <x v="1"/>
    <n v="51.2"/>
    <n v="102.4"/>
    <x v="38"/>
    <d v="2025-02-09T00:00:00"/>
    <x v="1"/>
    <x v="1"/>
    <x v="0"/>
    <s v="California"/>
    <s v="Los Angeles County"/>
    <x v="3"/>
    <x v="5"/>
    <s v="February"/>
    <x v="1"/>
  </r>
  <r>
    <s v="TX500958"/>
    <x v="14"/>
    <x v="12"/>
    <n v="11.8"/>
    <n v="47.2"/>
    <x v="38"/>
    <d v="2025-02-08T00:00:00"/>
    <x v="1"/>
    <x v="2"/>
    <x v="0"/>
    <s v="California"/>
    <s v="Los Angeles County"/>
    <x v="7"/>
    <x v="5"/>
    <s v="February"/>
    <x v="1"/>
  </r>
  <r>
    <s v="TX500959"/>
    <x v="10"/>
    <x v="6"/>
    <n v="40.799999999999997"/>
    <n v="1101.5999999999999"/>
    <x v="38"/>
    <d v="2025-02-09T00:00:00"/>
    <x v="2"/>
    <x v="3"/>
    <x v="2"/>
    <s v="California"/>
    <s v="Los Angeles County"/>
    <x v="3"/>
    <x v="5"/>
    <s v="February"/>
    <x v="2"/>
  </r>
  <r>
    <s v="TX500960"/>
    <x v="8"/>
    <x v="0"/>
    <n v="24.7"/>
    <n v="24.7"/>
    <x v="38"/>
    <d v="2025-02-10T00:00:00"/>
    <x v="2"/>
    <x v="2"/>
    <x v="1"/>
    <s v="California"/>
    <s v="Los Angeles County"/>
    <x v="1"/>
    <x v="5"/>
    <s v="February"/>
    <x v="2"/>
  </r>
  <r>
    <s v="TX500961"/>
    <x v="8"/>
    <x v="3"/>
    <n v="22.1"/>
    <n v="154.70000000000002"/>
    <x v="38"/>
    <d v="2025-02-08T00:00:00"/>
    <x v="2"/>
    <x v="2"/>
    <x v="4"/>
    <s v="California"/>
    <s v="Los Angeles County"/>
    <x v="7"/>
    <x v="5"/>
    <s v="February"/>
    <x v="2"/>
  </r>
  <r>
    <s v="TX500962"/>
    <x v="8"/>
    <x v="0"/>
    <n v="18.100000000000001"/>
    <n v="18.100000000000001"/>
    <x v="38"/>
    <d v="2025-02-12T00:00:00"/>
    <x v="1"/>
    <x v="3"/>
    <x v="2"/>
    <s v="California"/>
    <s v="Los Angeles County"/>
    <x v="5"/>
    <x v="5"/>
    <s v="February"/>
    <x v="1"/>
  </r>
  <r>
    <s v="TX500963"/>
    <x v="17"/>
    <x v="1"/>
    <n v="58.8"/>
    <n v="117.6"/>
    <x v="38"/>
    <d v="2025-02-11T00:00:00"/>
    <x v="2"/>
    <x v="0"/>
    <x v="0"/>
    <s v="California"/>
    <s v="Orange County"/>
    <x v="2"/>
    <x v="5"/>
    <s v="February"/>
    <x v="2"/>
  </r>
  <r>
    <s v="TX500964"/>
    <x v="18"/>
    <x v="1"/>
    <n v="30.8"/>
    <n v="61.6"/>
    <x v="38"/>
    <d v="2025-02-09T00:00:00"/>
    <x v="2"/>
    <x v="0"/>
    <x v="0"/>
    <s v="California"/>
    <s v="Sacramento County"/>
    <x v="3"/>
    <x v="5"/>
    <s v="February"/>
    <x v="2"/>
  </r>
  <r>
    <s v="TX500965"/>
    <x v="0"/>
    <x v="1"/>
    <n v="12"/>
    <n v="24"/>
    <x v="38"/>
    <d v="2025-02-12T00:00:00"/>
    <x v="2"/>
    <x v="0"/>
    <x v="0"/>
    <s v="California"/>
    <s v="Sacramento County"/>
    <x v="5"/>
    <x v="5"/>
    <s v="February"/>
    <x v="2"/>
  </r>
  <r>
    <s v="TX500966"/>
    <x v="0"/>
    <x v="12"/>
    <n v="13.6"/>
    <n v="54.4"/>
    <x v="38"/>
    <d v="2025-02-11T00:00:00"/>
    <x v="1"/>
    <x v="2"/>
    <x v="0"/>
    <s v="California"/>
    <s v="Sacramento County"/>
    <x v="2"/>
    <x v="5"/>
    <s v="February"/>
    <x v="1"/>
  </r>
  <r>
    <s v="TX500967"/>
    <x v="0"/>
    <x v="0"/>
    <n v="17.899999999999999"/>
    <n v="17.899999999999999"/>
    <x v="38"/>
    <d v="2025-02-09T00:00:00"/>
    <x v="1"/>
    <x v="3"/>
    <x v="0"/>
    <s v="California"/>
    <s v="Sacramento County"/>
    <x v="3"/>
    <x v="5"/>
    <s v="February"/>
    <x v="1"/>
  </r>
  <r>
    <s v="TX500968"/>
    <x v="9"/>
    <x v="1"/>
    <n v="38.6"/>
    <n v="77.2"/>
    <x v="38"/>
    <d v="2025-02-12T00:00:00"/>
    <x v="2"/>
    <x v="4"/>
    <x v="0"/>
    <s v="California"/>
    <s v="San Bernardino County"/>
    <x v="5"/>
    <x v="5"/>
    <s v="February"/>
    <x v="2"/>
  </r>
  <r>
    <s v="TX500969"/>
    <x v="5"/>
    <x v="9"/>
    <n v="32.700000000000003"/>
    <n v="163.5"/>
    <x v="38"/>
    <d v="2025-02-09T00:00:00"/>
    <x v="1"/>
    <x v="2"/>
    <x v="2"/>
    <s v="California"/>
    <s v="San Diego County"/>
    <x v="3"/>
    <x v="5"/>
    <s v="February"/>
    <x v="1"/>
  </r>
  <r>
    <s v="TX500970"/>
    <x v="3"/>
    <x v="1"/>
    <n v="111.4"/>
    <n v="222.8"/>
    <x v="38"/>
    <d v="2025-02-09T00:00:00"/>
    <x v="2"/>
    <x v="1"/>
    <x v="0"/>
    <s v="California"/>
    <s v="San Diego County"/>
    <x v="3"/>
    <x v="5"/>
    <s v="February"/>
    <x v="2"/>
  </r>
  <r>
    <s v="TX500971"/>
    <x v="2"/>
    <x v="13"/>
    <n v="80.3"/>
    <n v="481.79999999999995"/>
    <x v="38"/>
    <d v="2025-02-10T00:00:00"/>
    <x v="2"/>
    <x v="1"/>
    <x v="0"/>
    <s v="California"/>
    <s v="San Diego County"/>
    <x v="1"/>
    <x v="5"/>
    <s v="February"/>
    <x v="2"/>
  </r>
  <r>
    <s v="TX500972"/>
    <x v="6"/>
    <x v="1"/>
    <n v="58.9"/>
    <n v="117.8"/>
    <x v="38"/>
    <d v="2025-02-09T00:00:00"/>
    <x v="1"/>
    <x v="1"/>
    <x v="0"/>
    <s v="California"/>
    <s v="San Diego County"/>
    <x v="3"/>
    <x v="5"/>
    <s v="February"/>
    <x v="1"/>
  </r>
  <r>
    <s v="TX500973"/>
    <x v="6"/>
    <x v="2"/>
    <n v="51.9"/>
    <n v="155.69999999999999"/>
    <x v="38"/>
    <d v="2025-02-10T00:00:00"/>
    <x v="2"/>
    <x v="1"/>
    <x v="4"/>
    <s v="California"/>
    <s v="San Diego County"/>
    <x v="1"/>
    <x v="5"/>
    <s v="February"/>
    <x v="2"/>
  </r>
  <r>
    <s v="TX500974"/>
    <x v="2"/>
    <x v="2"/>
    <n v="50.3"/>
    <n v="150.89999999999998"/>
    <x v="38"/>
    <d v="2025-02-09T00:00:00"/>
    <x v="1"/>
    <x v="2"/>
    <x v="0"/>
    <s v="California"/>
    <s v="San Francisco"/>
    <x v="3"/>
    <x v="5"/>
    <s v="February"/>
    <x v="1"/>
  </r>
  <r>
    <s v="TX500975"/>
    <x v="11"/>
    <x v="13"/>
    <n v="45"/>
    <n v="270"/>
    <x v="38"/>
    <d v="2025-02-14T00:00:00"/>
    <x v="2"/>
    <x v="3"/>
    <x v="0"/>
    <s v="California"/>
    <s v="San Mateo County"/>
    <x v="4"/>
    <x v="5"/>
    <s v="February"/>
    <x v="2"/>
  </r>
  <r>
    <s v="TX500976"/>
    <x v="10"/>
    <x v="13"/>
    <n v="44.7"/>
    <n v="268.20000000000005"/>
    <x v="38"/>
    <d v="2025-02-10T00:00:00"/>
    <x v="2"/>
    <x v="2"/>
    <x v="0"/>
    <s v="California"/>
    <s v="Santa Clara County"/>
    <x v="1"/>
    <x v="5"/>
    <s v="February"/>
    <x v="2"/>
  </r>
  <r>
    <s v="TX500977"/>
    <x v="18"/>
    <x v="20"/>
    <n v="33"/>
    <n v="495"/>
    <x v="38"/>
    <d v="2025-02-09T00:00:00"/>
    <x v="2"/>
    <x v="2"/>
    <x v="0"/>
    <s v="California"/>
    <s v="Santa Clara County"/>
    <x v="3"/>
    <x v="5"/>
    <s v="February"/>
    <x v="2"/>
  </r>
  <r>
    <s v="TX500978"/>
    <x v="1"/>
    <x v="9"/>
    <n v="44.9"/>
    <n v="224.5"/>
    <x v="38"/>
    <d v="2025-02-11T00:00:00"/>
    <x v="2"/>
    <x v="2"/>
    <x v="2"/>
    <s v="California"/>
    <s v="Sonoma County"/>
    <x v="2"/>
    <x v="5"/>
    <s v="February"/>
    <x v="2"/>
  </r>
  <r>
    <s v="TX500979"/>
    <x v="10"/>
    <x v="1"/>
    <n v="34.6"/>
    <n v="69.2"/>
    <x v="38"/>
    <d v="2025-02-12T00:00:00"/>
    <x v="2"/>
    <x v="0"/>
    <x v="1"/>
    <s v="California"/>
    <s v="Stanislaus County"/>
    <x v="5"/>
    <x v="5"/>
    <s v="February"/>
    <x v="2"/>
  </r>
  <r>
    <s v="TX500980"/>
    <x v="7"/>
    <x v="3"/>
    <n v="47.1"/>
    <n v="329.7"/>
    <x v="38"/>
    <d v="2025-02-13T00:00:00"/>
    <x v="2"/>
    <x v="0"/>
    <x v="0"/>
    <s v="California"/>
    <s v="Ventura County"/>
    <x v="0"/>
    <x v="5"/>
    <s v="February"/>
    <x v="2"/>
  </r>
  <r>
    <s v="TX500981"/>
    <x v="4"/>
    <x v="9"/>
    <n v="26.1"/>
    <n v="130.5"/>
    <x v="38"/>
    <d v="2025-02-13T00:00:00"/>
    <x v="1"/>
    <x v="0"/>
    <x v="2"/>
    <s v="California"/>
    <s v="Alameda County"/>
    <x v="0"/>
    <x v="5"/>
    <s v="February"/>
    <x v="1"/>
  </r>
  <r>
    <s v="TX500982"/>
    <x v="12"/>
    <x v="9"/>
    <n v="66.8"/>
    <n v="334"/>
    <x v="38"/>
    <d v="2025-02-11T00:00:00"/>
    <x v="2"/>
    <x v="0"/>
    <x v="0"/>
    <s v="California"/>
    <s v="Alameda County"/>
    <x v="2"/>
    <x v="5"/>
    <s v="February"/>
    <x v="2"/>
  </r>
  <r>
    <s v="TX500983"/>
    <x v="2"/>
    <x v="1"/>
    <n v="167.9"/>
    <n v="335.8"/>
    <x v="38"/>
    <d v="2025-02-09T00:00:00"/>
    <x v="2"/>
    <x v="3"/>
    <x v="2"/>
    <s v="California"/>
    <s v="Alameda County"/>
    <x v="3"/>
    <x v="5"/>
    <s v="February"/>
    <x v="2"/>
  </r>
  <r>
    <s v="TX500984"/>
    <x v="10"/>
    <x v="11"/>
    <n v="34.6"/>
    <n v="311.40000000000003"/>
    <x v="38"/>
    <d v="2025-02-09T00:00:00"/>
    <x v="2"/>
    <x v="2"/>
    <x v="1"/>
    <s v="California"/>
    <s v="Alameda County"/>
    <x v="3"/>
    <x v="5"/>
    <s v="February"/>
    <x v="2"/>
  </r>
  <r>
    <s v="TX500985"/>
    <x v="8"/>
    <x v="2"/>
    <n v="35.1"/>
    <n v="105.30000000000001"/>
    <x v="39"/>
    <d v="2025-02-13T00:00:00"/>
    <x v="1"/>
    <x v="4"/>
    <x v="2"/>
    <s v="California"/>
    <s v="Contra Costa County"/>
    <x v="5"/>
    <x v="6"/>
    <s v="February"/>
    <x v="1"/>
  </r>
  <r>
    <s v="TX500986"/>
    <x v="6"/>
    <x v="12"/>
    <n v="104.5"/>
    <n v="418"/>
    <x v="39"/>
    <d v="2025-02-10T00:00:00"/>
    <x v="1"/>
    <x v="1"/>
    <x v="1"/>
    <s v="California"/>
    <s v="Contra Costa County"/>
    <x v="3"/>
    <x v="6"/>
    <s v="February"/>
    <x v="1"/>
  </r>
  <r>
    <s v="TX500987"/>
    <x v="8"/>
    <x v="0"/>
    <n v="37.9"/>
    <n v="37.9"/>
    <x v="39"/>
    <d v="2025-02-11T00:00:00"/>
    <x v="0"/>
    <x v="1"/>
    <x v="2"/>
    <s v="California"/>
    <s v="Fresno County"/>
    <x v="1"/>
    <x v="6"/>
    <s v="February"/>
    <x v="0"/>
  </r>
  <r>
    <s v="TX500988"/>
    <x v="4"/>
    <x v="2"/>
    <n v="25.5"/>
    <n v="76.5"/>
    <x v="39"/>
    <d v="2025-02-12T00:00:00"/>
    <x v="1"/>
    <x v="3"/>
    <x v="0"/>
    <s v="California"/>
    <s v="Fresno County"/>
    <x v="2"/>
    <x v="6"/>
    <s v="February"/>
    <x v="1"/>
  </r>
  <r>
    <s v="TX500989"/>
    <x v="0"/>
    <x v="2"/>
    <n v="32"/>
    <n v="96"/>
    <x v="39"/>
    <d v="2025-02-13T00:00:00"/>
    <x v="2"/>
    <x v="1"/>
    <x v="0"/>
    <s v="California"/>
    <s v="Kern County"/>
    <x v="5"/>
    <x v="6"/>
    <s v="February"/>
    <x v="2"/>
  </r>
  <r>
    <s v="TX500990"/>
    <x v="1"/>
    <x v="0"/>
    <n v="47.1"/>
    <n v="47.1"/>
    <x v="39"/>
    <d v="2025-02-10T00:00:00"/>
    <x v="2"/>
    <x v="0"/>
    <x v="0"/>
    <s v="California"/>
    <s v="Kings County"/>
    <x v="3"/>
    <x v="6"/>
    <s v="February"/>
    <x v="2"/>
  </r>
  <r>
    <s v="TX500991"/>
    <x v="6"/>
    <x v="1"/>
    <n v="50.6"/>
    <n v="101.2"/>
    <x v="39"/>
    <d v="2025-02-15T00:00:00"/>
    <x v="0"/>
    <x v="0"/>
    <x v="0"/>
    <s v="California"/>
    <s v="Los Angeles County"/>
    <x v="4"/>
    <x v="6"/>
    <s v="February"/>
    <x v="0"/>
  </r>
  <r>
    <s v="TX500992"/>
    <x v="6"/>
    <x v="9"/>
    <n v="81.7"/>
    <n v="408.5"/>
    <x v="39"/>
    <d v="2025-02-10T00:00:00"/>
    <x v="2"/>
    <x v="1"/>
    <x v="2"/>
    <s v="California"/>
    <s v="Los Angeles County"/>
    <x v="3"/>
    <x v="6"/>
    <s v="February"/>
    <x v="2"/>
  </r>
  <r>
    <s v="TX500993"/>
    <x v="5"/>
    <x v="1"/>
    <n v="50.7"/>
    <n v="101.4"/>
    <x v="39"/>
    <d v="2025-02-10T00:00:00"/>
    <x v="3"/>
    <x v="2"/>
    <x v="2"/>
    <s v="California"/>
    <s v="Los Angeles County"/>
    <x v="3"/>
    <x v="6"/>
    <s v="February"/>
    <x v="3"/>
  </r>
  <r>
    <s v="TX500994"/>
    <x v="2"/>
    <x v="10"/>
    <n v="67.3"/>
    <n v="1278.7"/>
    <x v="39"/>
    <d v="2025-02-13T00:00:00"/>
    <x v="2"/>
    <x v="2"/>
    <x v="0"/>
    <s v="California"/>
    <s v="Los Angeles County"/>
    <x v="5"/>
    <x v="6"/>
    <s v="February"/>
    <x v="2"/>
  </r>
  <r>
    <s v="TX500995"/>
    <x v="2"/>
    <x v="12"/>
    <n v="64.8"/>
    <n v="259.2"/>
    <x v="39"/>
    <d v="2025-02-12T00:00:00"/>
    <x v="2"/>
    <x v="3"/>
    <x v="0"/>
    <s v="California"/>
    <s v="Los Angeles County"/>
    <x v="2"/>
    <x v="6"/>
    <s v="February"/>
    <x v="2"/>
  </r>
  <r>
    <s v="TX500996"/>
    <x v="5"/>
    <x v="32"/>
    <n v="61.3"/>
    <n v="1348.6"/>
    <x v="39"/>
    <d v="2025-02-10T00:00:00"/>
    <x v="2"/>
    <x v="0"/>
    <x v="2"/>
    <s v="California"/>
    <s v="Los Angeles County"/>
    <x v="3"/>
    <x v="6"/>
    <s v="February"/>
    <x v="2"/>
  </r>
  <r>
    <s v="TX500997"/>
    <x v="14"/>
    <x v="0"/>
    <n v="32.9"/>
    <n v="32.9"/>
    <x v="39"/>
    <d v="2025-02-12T00:00:00"/>
    <x v="2"/>
    <x v="4"/>
    <x v="0"/>
    <s v="California"/>
    <s v="Los Angeles County"/>
    <x v="2"/>
    <x v="6"/>
    <s v="February"/>
    <x v="2"/>
  </r>
  <r>
    <s v="TX500998"/>
    <x v="6"/>
    <x v="1"/>
    <n v="100.8"/>
    <n v="201.6"/>
    <x v="39"/>
    <d v="2025-02-12T00:00:00"/>
    <x v="2"/>
    <x v="0"/>
    <x v="0"/>
    <s v="California"/>
    <s v="Los Angeles County"/>
    <x v="2"/>
    <x v="6"/>
    <s v="February"/>
    <x v="2"/>
  </r>
  <r>
    <s v="TX500999"/>
    <x v="8"/>
    <x v="12"/>
    <n v="25.1"/>
    <n v="100.4"/>
    <x v="39"/>
    <d v="2025-02-11T00:00:00"/>
    <x v="2"/>
    <x v="1"/>
    <x v="0"/>
    <s v="California"/>
    <s v="Los Angeles County"/>
    <x v="1"/>
    <x v="6"/>
    <s v="February"/>
    <x v="2"/>
  </r>
  <r>
    <s v="TX501000"/>
    <x v="17"/>
    <x v="0"/>
    <n v="48.5"/>
    <n v="48.5"/>
    <x v="39"/>
    <d v="2025-02-10T00:00:00"/>
    <x v="2"/>
    <x v="0"/>
    <x v="1"/>
    <s v="California"/>
    <s v="Los Angeles County"/>
    <x v="3"/>
    <x v="6"/>
    <s v="February"/>
    <x v="2"/>
  </r>
  <r>
    <s v="TX501001"/>
    <x v="7"/>
    <x v="1"/>
    <n v="33.6"/>
    <n v="67.2"/>
    <x v="39"/>
    <d v="2025-02-13T00:00:00"/>
    <x v="2"/>
    <x v="2"/>
    <x v="2"/>
    <s v="California"/>
    <s v="Los Angeles County"/>
    <x v="5"/>
    <x v="6"/>
    <s v="February"/>
    <x v="2"/>
  </r>
  <r>
    <s v="TX501002"/>
    <x v="8"/>
    <x v="0"/>
    <n v="39.299999999999997"/>
    <n v="39.299999999999997"/>
    <x v="39"/>
    <d v="2025-02-20T00:00:00"/>
    <x v="2"/>
    <x v="1"/>
    <x v="1"/>
    <s v="California"/>
    <s v="Monterey County"/>
    <x v="11"/>
    <x v="6"/>
    <s v="February"/>
    <x v="2"/>
  </r>
  <r>
    <s v="TX501003"/>
    <x v="4"/>
    <x v="7"/>
    <n v="48.8"/>
    <n v="488"/>
    <x v="39"/>
    <d v="2025-02-11T00:00:00"/>
    <x v="2"/>
    <x v="3"/>
    <x v="1"/>
    <s v="California"/>
    <s v="Orange County"/>
    <x v="1"/>
    <x v="6"/>
    <s v="February"/>
    <x v="2"/>
  </r>
  <r>
    <s v="TX501004"/>
    <x v="6"/>
    <x v="8"/>
    <n v="72.8"/>
    <n v="582.4"/>
    <x v="39"/>
    <d v="2025-02-11T00:00:00"/>
    <x v="1"/>
    <x v="1"/>
    <x v="2"/>
    <s v="California"/>
    <s v="Placer County"/>
    <x v="1"/>
    <x v="6"/>
    <s v="February"/>
    <x v="1"/>
  </r>
  <r>
    <s v="TX501005"/>
    <x v="10"/>
    <x v="8"/>
    <n v="46.2"/>
    <n v="369.6"/>
    <x v="39"/>
    <d v="2025-02-10T00:00:00"/>
    <x v="1"/>
    <x v="3"/>
    <x v="4"/>
    <s v="California"/>
    <s v="Placer County"/>
    <x v="3"/>
    <x v="6"/>
    <s v="February"/>
    <x v="1"/>
  </r>
  <r>
    <s v="TX501006"/>
    <x v="4"/>
    <x v="1"/>
    <n v="20.7"/>
    <n v="41.4"/>
    <x v="39"/>
    <d v="2025-02-10T00:00:00"/>
    <x v="2"/>
    <x v="2"/>
    <x v="3"/>
    <s v="California"/>
    <s v="Sacramento County"/>
    <x v="3"/>
    <x v="6"/>
    <s v="February"/>
    <x v="2"/>
  </r>
  <r>
    <s v="TX501007"/>
    <x v="0"/>
    <x v="0"/>
    <n v="35.700000000000003"/>
    <n v="35.700000000000003"/>
    <x v="39"/>
    <d v="2025-02-11T00:00:00"/>
    <x v="2"/>
    <x v="3"/>
    <x v="0"/>
    <s v="California"/>
    <s v="Sacramento County"/>
    <x v="1"/>
    <x v="6"/>
    <s v="February"/>
    <x v="2"/>
  </r>
  <r>
    <s v="TX501008"/>
    <x v="2"/>
    <x v="27"/>
    <n v="166.2"/>
    <n v="2659.2"/>
    <x v="39"/>
    <d v="2025-02-11T00:00:00"/>
    <x v="0"/>
    <x v="2"/>
    <x v="0"/>
    <s v="California"/>
    <s v="San Bernardino County"/>
    <x v="1"/>
    <x v="6"/>
    <s v="February"/>
    <x v="0"/>
  </r>
  <r>
    <s v="TX501009"/>
    <x v="6"/>
    <x v="12"/>
    <n v="85.8"/>
    <n v="343.2"/>
    <x v="39"/>
    <d v="2025-02-10T00:00:00"/>
    <x v="2"/>
    <x v="1"/>
    <x v="1"/>
    <s v="California"/>
    <s v="San Bernardino County"/>
    <x v="3"/>
    <x v="6"/>
    <s v="February"/>
    <x v="2"/>
  </r>
  <r>
    <s v="TX501010"/>
    <x v="8"/>
    <x v="2"/>
    <n v="26"/>
    <n v="78"/>
    <x v="39"/>
    <d v="2025-02-11T00:00:00"/>
    <x v="3"/>
    <x v="1"/>
    <x v="0"/>
    <s v="California"/>
    <s v="San Bernardino County"/>
    <x v="1"/>
    <x v="6"/>
    <s v="February"/>
    <x v="3"/>
  </r>
  <r>
    <s v="TX501011"/>
    <x v="2"/>
    <x v="15"/>
    <n v="116.6"/>
    <n v="1515.8"/>
    <x v="39"/>
    <d v="2025-02-12T00:00:00"/>
    <x v="2"/>
    <x v="0"/>
    <x v="0"/>
    <s v="California"/>
    <s v="San Diego County"/>
    <x v="2"/>
    <x v="6"/>
    <s v="February"/>
    <x v="2"/>
  </r>
  <r>
    <s v="TX501012"/>
    <x v="9"/>
    <x v="3"/>
    <n v="53.9"/>
    <n v="377.3"/>
    <x v="39"/>
    <d v="2025-02-12T00:00:00"/>
    <x v="3"/>
    <x v="0"/>
    <x v="2"/>
    <s v="California"/>
    <s v="San Diego County"/>
    <x v="2"/>
    <x v="6"/>
    <s v="February"/>
    <x v="3"/>
  </r>
  <r>
    <s v="TX501013"/>
    <x v="12"/>
    <x v="9"/>
    <n v="72.3"/>
    <n v="361.5"/>
    <x v="39"/>
    <d v="2025-02-11T00:00:00"/>
    <x v="0"/>
    <x v="2"/>
    <x v="2"/>
    <s v="California"/>
    <s v="San Diego County"/>
    <x v="1"/>
    <x v="6"/>
    <s v="February"/>
    <x v="0"/>
  </r>
  <r>
    <s v="TX501014"/>
    <x v="5"/>
    <x v="1"/>
    <n v="31.4"/>
    <n v="62.8"/>
    <x v="39"/>
    <d v="2025-02-11T00:00:00"/>
    <x v="2"/>
    <x v="0"/>
    <x v="0"/>
    <s v="California"/>
    <s v="San Diego County"/>
    <x v="1"/>
    <x v="6"/>
    <s v="February"/>
    <x v="2"/>
  </r>
  <r>
    <s v="TX501015"/>
    <x v="13"/>
    <x v="1"/>
    <n v="53.1"/>
    <n v="106.2"/>
    <x v="39"/>
    <d v="2025-02-12T00:00:00"/>
    <x v="1"/>
    <x v="1"/>
    <x v="0"/>
    <s v="California"/>
    <s v="San Diego County"/>
    <x v="2"/>
    <x v="6"/>
    <s v="February"/>
    <x v="1"/>
  </r>
  <r>
    <s v="TX501016"/>
    <x v="2"/>
    <x v="12"/>
    <n v="56.2"/>
    <n v="224.8"/>
    <x v="39"/>
    <d v="2025-02-10T00:00:00"/>
    <x v="2"/>
    <x v="0"/>
    <x v="0"/>
    <s v="California"/>
    <s v="San Diego County"/>
    <x v="3"/>
    <x v="6"/>
    <s v="February"/>
    <x v="2"/>
  </r>
  <r>
    <s v="TX501017"/>
    <x v="1"/>
    <x v="7"/>
    <n v="77.3"/>
    <n v="773"/>
    <x v="39"/>
    <d v="2025-02-10T00:00:00"/>
    <x v="2"/>
    <x v="2"/>
    <x v="0"/>
    <s v="California"/>
    <s v="Santa Clara County"/>
    <x v="3"/>
    <x v="6"/>
    <s v="February"/>
    <x v="2"/>
  </r>
  <r>
    <s v="TX501018"/>
    <x v="6"/>
    <x v="15"/>
    <n v="57.8"/>
    <n v="751.4"/>
    <x v="39"/>
    <d v="2025-02-10T00:00:00"/>
    <x v="0"/>
    <x v="0"/>
    <x v="0"/>
    <s v="California"/>
    <s v="Shasta County"/>
    <x v="3"/>
    <x v="6"/>
    <s v="February"/>
    <x v="0"/>
  </r>
  <r>
    <s v="TX501019"/>
    <x v="12"/>
    <x v="20"/>
    <n v="42.1"/>
    <n v="631.5"/>
    <x v="39"/>
    <d v="2025-02-11T00:00:00"/>
    <x v="2"/>
    <x v="1"/>
    <x v="1"/>
    <s v="California"/>
    <s v="Shasta County"/>
    <x v="1"/>
    <x v="6"/>
    <s v="February"/>
    <x v="2"/>
  </r>
  <r>
    <s v="TX501020"/>
    <x v="8"/>
    <x v="11"/>
    <n v="22.8"/>
    <n v="205.20000000000002"/>
    <x v="39"/>
    <d v="2025-02-13T00:00:00"/>
    <x v="1"/>
    <x v="2"/>
    <x v="2"/>
    <s v="California"/>
    <s v="Stanislaus County"/>
    <x v="5"/>
    <x v="6"/>
    <s v="February"/>
    <x v="1"/>
  </r>
  <r>
    <s v="TX501021"/>
    <x v="2"/>
    <x v="2"/>
    <n v="171.1"/>
    <n v="513.29999999999995"/>
    <x v="40"/>
    <d v="2025-02-17T00:00:00"/>
    <x v="2"/>
    <x v="2"/>
    <x v="1"/>
    <s v="California"/>
    <s v="Stanislaus County"/>
    <x v="6"/>
    <x v="6"/>
    <s v="February"/>
    <x v="2"/>
  </r>
  <r>
    <s v="TX501022"/>
    <x v="8"/>
    <x v="0"/>
    <n v="28"/>
    <n v="28"/>
    <x v="40"/>
    <d v="2025-02-12T00:00:00"/>
    <x v="1"/>
    <x v="2"/>
    <x v="2"/>
    <s v="California"/>
    <s v="Alameda County"/>
    <x v="1"/>
    <x v="6"/>
    <s v="February"/>
    <x v="1"/>
  </r>
  <r>
    <s v="TX501023"/>
    <x v="6"/>
    <x v="3"/>
    <n v="50.2"/>
    <n v="351.40000000000003"/>
    <x v="40"/>
    <d v="2025-02-12T00:00:00"/>
    <x v="1"/>
    <x v="2"/>
    <x v="0"/>
    <s v="California"/>
    <s v="Alameda County"/>
    <x v="1"/>
    <x v="6"/>
    <s v="February"/>
    <x v="1"/>
  </r>
  <r>
    <s v="TX501024"/>
    <x v="6"/>
    <x v="1"/>
    <n v="56"/>
    <n v="112"/>
    <x v="40"/>
    <d v="2025-02-10T00:00:00"/>
    <x v="1"/>
    <x v="0"/>
    <x v="2"/>
    <s v="California"/>
    <s v="Kern County"/>
    <x v="7"/>
    <x v="6"/>
    <s v="February"/>
    <x v="1"/>
  </r>
  <r>
    <s v="TX501025"/>
    <x v="1"/>
    <x v="1"/>
    <n v="38.299999999999997"/>
    <n v="76.599999999999994"/>
    <x v="40"/>
    <d v="2025-02-11T00:00:00"/>
    <x v="2"/>
    <x v="1"/>
    <x v="0"/>
    <s v="California"/>
    <s v="Los Angeles County"/>
    <x v="3"/>
    <x v="6"/>
    <s v="February"/>
    <x v="2"/>
  </r>
  <r>
    <s v="TX501026"/>
    <x v="0"/>
    <x v="9"/>
    <n v="22.3"/>
    <n v="111.5"/>
    <x v="40"/>
    <d v="2025-02-14T00:00:00"/>
    <x v="2"/>
    <x v="2"/>
    <x v="1"/>
    <s v="California"/>
    <s v="Los Angeles County"/>
    <x v="5"/>
    <x v="6"/>
    <s v="February"/>
    <x v="2"/>
  </r>
  <r>
    <s v="TX501027"/>
    <x v="0"/>
    <x v="2"/>
    <n v="22.3"/>
    <n v="66.900000000000006"/>
    <x v="40"/>
    <d v="2025-02-13T00:00:00"/>
    <x v="2"/>
    <x v="2"/>
    <x v="0"/>
    <s v="California"/>
    <s v="Los Angeles County"/>
    <x v="2"/>
    <x v="6"/>
    <s v="February"/>
    <x v="2"/>
  </r>
  <r>
    <s v="TX501028"/>
    <x v="1"/>
    <x v="0"/>
    <n v="32.9"/>
    <n v="32.9"/>
    <x v="40"/>
    <d v="2025-02-15T00:00:00"/>
    <x v="2"/>
    <x v="0"/>
    <x v="0"/>
    <s v="California"/>
    <s v="Los Angeles County"/>
    <x v="0"/>
    <x v="6"/>
    <s v="February"/>
    <x v="2"/>
  </r>
  <r>
    <s v="TX501029"/>
    <x v="10"/>
    <x v="2"/>
    <n v="31.9"/>
    <n v="95.699999999999989"/>
    <x v="40"/>
    <d v="2025-02-15T00:00:00"/>
    <x v="2"/>
    <x v="0"/>
    <x v="0"/>
    <s v="California"/>
    <s v="Los Angeles County"/>
    <x v="0"/>
    <x v="6"/>
    <s v="February"/>
    <x v="2"/>
  </r>
  <r>
    <s v="TX501030"/>
    <x v="6"/>
    <x v="1"/>
    <n v="94"/>
    <n v="188"/>
    <x v="40"/>
    <d v="2025-02-11T00:00:00"/>
    <x v="1"/>
    <x v="2"/>
    <x v="2"/>
    <s v="California"/>
    <s v="Los Angeles County"/>
    <x v="3"/>
    <x v="6"/>
    <s v="February"/>
    <x v="1"/>
  </r>
  <r>
    <s v="TX501031"/>
    <x v="10"/>
    <x v="1"/>
    <n v="30.7"/>
    <n v="61.4"/>
    <x v="40"/>
    <d v="2025-02-11T00:00:00"/>
    <x v="2"/>
    <x v="0"/>
    <x v="1"/>
    <s v="California"/>
    <s v="Los Angeles County"/>
    <x v="3"/>
    <x v="6"/>
    <s v="February"/>
    <x v="2"/>
  </r>
  <r>
    <s v="TX501032"/>
    <x v="5"/>
    <x v="9"/>
    <n v="90.5"/>
    <n v="452.5"/>
    <x v="40"/>
    <d v="2025-02-17T00:00:00"/>
    <x v="1"/>
    <x v="0"/>
    <x v="2"/>
    <s v="California"/>
    <s v="Los Angeles County"/>
    <x v="6"/>
    <x v="6"/>
    <s v="February"/>
    <x v="1"/>
  </r>
  <r>
    <s v="TX501033"/>
    <x v="8"/>
    <x v="9"/>
    <n v="25.3"/>
    <n v="126.5"/>
    <x v="40"/>
    <d v="2025-02-14T00:00:00"/>
    <x v="2"/>
    <x v="0"/>
    <x v="2"/>
    <s v="California"/>
    <s v="Los Angeles County"/>
    <x v="5"/>
    <x v="6"/>
    <s v="February"/>
    <x v="2"/>
  </r>
  <r>
    <s v="TX501034"/>
    <x v="6"/>
    <x v="2"/>
    <n v="58.1"/>
    <n v="174.3"/>
    <x v="40"/>
    <d v="2025-02-14T00:00:00"/>
    <x v="0"/>
    <x v="0"/>
    <x v="2"/>
    <s v="California"/>
    <s v="Los Angeles County"/>
    <x v="5"/>
    <x v="6"/>
    <s v="February"/>
    <x v="0"/>
  </r>
  <r>
    <s v="TX501035"/>
    <x v="2"/>
    <x v="2"/>
    <n v="74.900000000000006"/>
    <n v="224.70000000000002"/>
    <x v="40"/>
    <d v="2025-02-11T00:00:00"/>
    <x v="2"/>
    <x v="4"/>
    <x v="0"/>
    <s v="California"/>
    <s v="Los Angeles County"/>
    <x v="3"/>
    <x v="6"/>
    <s v="February"/>
    <x v="2"/>
  </r>
  <r>
    <s v="TX501036"/>
    <x v="4"/>
    <x v="1"/>
    <n v="32.5"/>
    <n v="65"/>
    <x v="40"/>
    <d v="2025-02-11T00:00:00"/>
    <x v="1"/>
    <x v="2"/>
    <x v="2"/>
    <s v="California"/>
    <s v="Marin County"/>
    <x v="3"/>
    <x v="6"/>
    <s v="February"/>
    <x v="1"/>
  </r>
  <r>
    <s v="TX501037"/>
    <x v="4"/>
    <x v="9"/>
    <n v="62"/>
    <n v="310"/>
    <x v="40"/>
    <d v="2025-02-11T00:00:00"/>
    <x v="1"/>
    <x v="4"/>
    <x v="2"/>
    <s v="California"/>
    <s v="Orange County"/>
    <x v="3"/>
    <x v="6"/>
    <s v="February"/>
    <x v="1"/>
  </r>
  <r>
    <s v="TX501038"/>
    <x v="13"/>
    <x v="13"/>
    <n v="28.9"/>
    <n v="173.39999999999998"/>
    <x v="40"/>
    <d v="2025-02-13T00:00:00"/>
    <x v="2"/>
    <x v="0"/>
    <x v="1"/>
    <s v="California"/>
    <s v="Sacramento County"/>
    <x v="2"/>
    <x v="6"/>
    <s v="February"/>
    <x v="2"/>
  </r>
  <r>
    <s v="TX501039"/>
    <x v="6"/>
    <x v="8"/>
    <n v="42.8"/>
    <n v="342.4"/>
    <x v="40"/>
    <d v="2025-02-12T00:00:00"/>
    <x v="2"/>
    <x v="0"/>
    <x v="2"/>
    <s v="California"/>
    <s v="Sacramento County"/>
    <x v="1"/>
    <x v="6"/>
    <s v="February"/>
    <x v="2"/>
  </r>
  <r>
    <s v="TX501040"/>
    <x v="8"/>
    <x v="8"/>
    <n v="39.4"/>
    <n v="315.2"/>
    <x v="40"/>
    <d v="2025-02-12T00:00:00"/>
    <x v="1"/>
    <x v="0"/>
    <x v="0"/>
    <s v="California"/>
    <s v="San Benito County"/>
    <x v="1"/>
    <x v="6"/>
    <s v="February"/>
    <x v="1"/>
  </r>
  <r>
    <s v="TX501041"/>
    <x v="18"/>
    <x v="2"/>
    <n v="66.400000000000006"/>
    <n v="199.20000000000002"/>
    <x v="40"/>
    <d v="2025-02-11T00:00:00"/>
    <x v="0"/>
    <x v="2"/>
    <x v="1"/>
    <s v="California"/>
    <s v="San Bernardino County"/>
    <x v="3"/>
    <x v="6"/>
    <s v="February"/>
    <x v="0"/>
  </r>
  <r>
    <s v="TX501042"/>
    <x v="17"/>
    <x v="12"/>
    <n v="35.9"/>
    <n v="143.6"/>
    <x v="40"/>
    <d v="2025-02-17T00:00:00"/>
    <x v="2"/>
    <x v="1"/>
    <x v="0"/>
    <s v="California"/>
    <s v="San Bernardino County"/>
    <x v="6"/>
    <x v="6"/>
    <s v="February"/>
    <x v="2"/>
  </r>
  <r>
    <s v="TX501043"/>
    <x v="0"/>
    <x v="12"/>
    <n v="26.9"/>
    <n v="107.6"/>
    <x v="40"/>
    <d v="2025-02-11T00:00:00"/>
    <x v="1"/>
    <x v="1"/>
    <x v="0"/>
    <s v="California"/>
    <s v="San Bernardino County"/>
    <x v="3"/>
    <x v="6"/>
    <s v="February"/>
    <x v="1"/>
  </r>
  <r>
    <s v="TX501044"/>
    <x v="2"/>
    <x v="0"/>
    <n v="55.1"/>
    <n v="55.1"/>
    <x v="40"/>
    <d v="2025-02-11T00:00:00"/>
    <x v="2"/>
    <x v="0"/>
    <x v="0"/>
    <s v="California"/>
    <s v="San Bernardino County"/>
    <x v="3"/>
    <x v="6"/>
    <s v="February"/>
    <x v="2"/>
  </r>
  <r>
    <s v="TX501045"/>
    <x v="4"/>
    <x v="1"/>
    <n v="23.9"/>
    <n v="47.8"/>
    <x v="40"/>
    <d v="2025-02-11T00:00:00"/>
    <x v="1"/>
    <x v="0"/>
    <x v="2"/>
    <s v="California"/>
    <s v="San Diego County"/>
    <x v="3"/>
    <x v="6"/>
    <s v="February"/>
    <x v="1"/>
  </r>
  <r>
    <s v="TX501046"/>
    <x v="9"/>
    <x v="15"/>
    <n v="21.1"/>
    <n v="274.3"/>
    <x v="40"/>
    <d v="2025-02-18T00:00:00"/>
    <x v="2"/>
    <x v="0"/>
    <x v="1"/>
    <s v="California"/>
    <s v="San Diego County"/>
    <x v="9"/>
    <x v="6"/>
    <s v="February"/>
    <x v="2"/>
  </r>
  <r>
    <s v="TX501047"/>
    <x v="8"/>
    <x v="9"/>
    <n v="33.799999999999997"/>
    <n v="169"/>
    <x v="40"/>
    <d v="2025-02-12T00:00:00"/>
    <x v="2"/>
    <x v="0"/>
    <x v="0"/>
    <s v="California"/>
    <s v="San Diego County"/>
    <x v="1"/>
    <x v="6"/>
    <s v="February"/>
    <x v="2"/>
  </r>
  <r>
    <s v="TX501048"/>
    <x v="2"/>
    <x v="12"/>
    <n v="56.1"/>
    <n v="224.4"/>
    <x v="40"/>
    <d v="2025-02-10T00:00:00"/>
    <x v="2"/>
    <x v="3"/>
    <x v="2"/>
    <s v="California"/>
    <s v="San Mateo County"/>
    <x v="7"/>
    <x v="6"/>
    <s v="February"/>
    <x v="2"/>
  </r>
  <r>
    <s v="TX501049"/>
    <x v="3"/>
    <x v="0"/>
    <n v="58.5"/>
    <n v="58.5"/>
    <x v="41"/>
    <d v="2025-02-15T00:00:00"/>
    <x v="2"/>
    <x v="1"/>
    <x v="2"/>
    <s v="California"/>
    <s v="San Mateo County"/>
    <x v="5"/>
    <x v="6"/>
    <s v="February"/>
    <x v="2"/>
  </r>
  <r>
    <s v="TX501050"/>
    <x v="6"/>
    <x v="0"/>
    <n v="84.2"/>
    <n v="84.2"/>
    <x v="41"/>
    <d v="2025-02-13T00:00:00"/>
    <x v="1"/>
    <x v="3"/>
    <x v="0"/>
    <s v="California"/>
    <s v="Santa Clara County"/>
    <x v="1"/>
    <x v="6"/>
    <s v="February"/>
    <x v="1"/>
  </r>
  <r>
    <s v="TX501051"/>
    <x v="11"/>
    <x v="12"/>
    <n v="52"/>
    <n v="208"/>
    <x v="41"/>
    <d v="2025-02-14T00:00:00"/>
    <x v="1"/>
    <x v="0"/>
    <x v="0"/>
    <s v="California"/>
    <s v="Santa Clara County"/>
    <x v="2"/>
    <x v="6"/>
    <s v="February"/>
    <x v="1"/>
  </r>
  <r>
    <s v="TX501052"/>
    <x v="4"/>
    <x v="9"/>
    <n v="31.5"/>
    <n v="157.5"/>
    <x v="41"/>
    <d v="2025-02-12T00:00:00"/>
    <x v="2"/>
    <x v="0"/>
    <x v="2"/>
    <s v="California"/>
    <s v="Santa Clara County"/>
    <x v="3"/>
    <x v="6"/>
    <s v="February"/>
    <x v="2"/>
  </r>
  <r>
    <s v="TX501053"/>
    <x v="16"/>
    <x v="2"/>
    <n v="46.2"/>
    <n v="138.60000000000002"/>
    <x v="41"/>
    <d v="2025-02-12T00:00:00"/>
    <x v="1"/>
    <x v="0"/>
    <x v="0"/>
    <s v="California"/>
    <s v="Shasta County"/>
    <x v="3"/>
    <x v="6"/>
    <s v="February"/>
    <x v="1"/>
  </r>
  <r>
    <s v="TX501054"/>
    <x v="2"/>
    <x v="13"/>
    <n v="135"/>
    <n v="810"/>
    <x v="41"/>
    <d v="2025-02-12T00:00:00"/>
    <x v="2"/>
    <x v="1"/>
    <x v="2"/>
    <s v="California"/>
    <s v="Sonoma County"/>
    <x v="3"/>
    <x v="6"/>
    <s v="February"/>
    <x v="2"/>
  </r>
  <r>
    <s v="TX501055"/>
    <x v="12"/>
    <x v="2"/>
    <n v="92.2"/>
    <n v="276.60000000000002"/>
    <x v="41"/>
    <d v="2025-02-15T00:00:00"/>
    <x v="1"/>
    <x v="0"/>
    <x v="0"/>
    <s v="California"/>
    <s v="Alameda County"/>
    <x v="5"/>
    <x v="6"/>
    <s v="February"/>
    <x v="1"/>
  </r>
  <r>
    <s v="TX501056"/>
    <x v="8"/>
    <x v="0"/>
    <n v="36.6"/>
    <n v="36.6"/>
    <x v="41"/>
    <d v="2025-02-13T00:00:00"/>
    <x v="1"/>
    <x v="2"/>
    <x v="2"/>
    <s v="California"/>
    <s v="Alameda County"/>
    <x v="1"/>
    <x v="6"/>
    <s v="February"/>
    <x v="1"/>
  </r>
  <r>
    <s v="TX501057"/>
    <x v="9"/>
    <x v="1"/>
    <n v="50.6"/>
    <n v="101.2"/>
    <x v="41"/>
    <d v="2025-02-14T00:00:00"/>
    <x v="2"/>
    <x v="0"/>
    <x v="0"/>
    <s v="California"/>
    <s v="Fresno County"/>
    <x v="2"/>
    <x v="6"/>
    <s v="February"/>
    <x v="2"/>
  </r>
  <r>
    <s v="TX501058"/>
    <x v="18"/>
    <x v="3"/>
    <n v="56.7"/>
    <n v="396.90000000000003"/>
    <x v="41"/>
    <d v="2025-02-14T00:00:00"/>
    <x v="2"/>
    <x v="0"/>
    <x v="0"/>
    <s v="California"/>
    <s v="Fresno County"/>
    <x v="2"/>
    <x v="6"/>
    <s v="February"/>
    <x v="2"/>
  </r>
  <r>
    <s v="TX501059"/>
    <x v="9"/>
    <x v="15"/>
    <n v="22.9"/>
    <n v="297.7"/>
    <x v="41"/>
    <d v="2025-02-12T00:00:00"/>
    <x v="2"/>
    <x v="0"/>
    <x v="1"/>
    <s v="California"/>
    <s v="Humboldt County"/>
    <x v="3"/>
    <x v="6"/>
    <s v="February"/>
    <x v="2"/>
  </r>
  <r>
    <s v="TX501060"/>
    <x v="15"/>
    <x v="10"/>
    <n v="53.6"/>
    <n v="1018.4"/>
    <x v="41"/>
    <d v="2025-02-12T00:00:00"/>
    <x v="1"/>
    <x v="0"/>
    <x v="0"/>
    <s v="California"/>
    <s v="Kern County"/>
    <x v="3"/>
    <x v="6"/>
    <s v="February"/>
    <x v="1"/>
  </r>
  <r>
    <s v="TX501061"/>
    <x v="18"/>
    <x v="1"/>
    <n v="30.2"/>
    <n v="60.4"/>
    <x v="41"/>
    <d v="2025-02-13T00:00:00"/>
    <x v="0"/>
    <x v="2"/>
    <x v="2"/>
    <s v="California"/>
    <s v="Los Angeles County"/>
    <x v="1"/>
    <x v="6"/>
    <s v="February"/>
    <x v="0"/>
  </r>
  <r>
    <s v="TX501062"/>
    <x v="15"/>
    <x v="13"/>
    <n v="83.4"/>
    <n v="500.40000000000003"/>
    <x v="41"/>
    <d v="2025-02-12T00:00:00"/>
    <x v="1"/>
    <x v="1"/>
    <x v="2"/>
    <s v="California"/>
    <s v="Los Angeles County"/>
    <x v="3"/>
    <x v="6"/>
    <s v="February"/>
    <x v="1"/>
  </r>
  <r>
    <s v="TX501063"/>
    <x v="13"/>
    <x v="4"/>
    <n v="16.600000000000001"/>
    <n v="199.20000000000002"/>
    <x v="41"/>
    <d v="2025-02-13T00:00:00"/>
    <x v="1"/>
    <x v="1"/>
    <x v="0"/>
    <s v="California"/>
    <s v="Los Angeles County"/>
    <x v="1"/>
    <x v="6"/>
    <s v="February"/>
    <x v="1"/>
  </r>
  <r>
    <s v="TX501064"/>
    <x v="8"/>
    <x v="14"/>
    <n v="21.9"/>
    <n v="372.29999999999995"/>
    <x v="41"/>
    <d v="2025-02-13T00:00:00"/>
    <x v="2"/>
    <x v="4"/>
    <x v="1"/>
    <s v="California"/>
    <s v="Los Angeles County"/>
    <x v="1"/>
    <x v="6"/>
    <s v="February"/>
    <x v="2"/>
  </r>
  <r>
    <s v="TX501065"/>
    <x v="8"/>
    <x v="31"/>
    <n v="33.799999999999997"/>
    <n v="946.39999999999986"/>
    <x v="41"/>
    <d v="2025-02-13T00:00:00"/>
    <x v="1"/>
    <x v="2"/>
    <x v="4"/>
    <s v="California"/>
    <s v="Los Angeles County"/>
    <x v="1"/>
    <x v="6"/>
    <s v="February"/>
    <x v="1"/>
  </r>
  <r>
    <s v="TX501066"/>
    <x v="18"/>
    <x v="1"/>
    <n v="53.2"/>
    <n v="106.4"/>
    <x v="41"/>
    <d v="2025-02-11T00:00:00"/>
    <x v="1"/>
    <x v="1"/>
    <x v="0"/>
    <s v="California"/>
    <s v="Los Angeles County"/>
    <x v="7"/>
    <x v="6"/>
    <s v="February"/>
    <x v="1"/>
  </r>
  <r>
    <s v="TX501067"/>
    <x v="2"/>
    <x v="1"/>
    <n v="176.7"/>
    <n v="353.4"/>
    <x v="41"/>
    <d v="2025-02-14T00:00:00"/>
    <x v="2"/>
    <x v="2"/>
    <x v="0"/>
    <s v="California"/>
    <s v="Los Angeles County"/>
    <x v="2"/>
    <x v="6"/>
    <s v="February"/>
    <x v="2"/>
  </r>
  <r>
    <s v="TX501068"/>
    <x v="12"/>
    <x v="2"/>
    <n v="54"/>
    <n v="162"/>
    <x v="41"/>
    <d v="2025-02-14T00:00:00"/>
    <x v="1"/>
    <x v="0"/>
    <x v="1"/>
    <s v="California"/>
    <s v="Los Angeles County"/>
    <x v="2"/>
    <x v="6"/>
    <s v="February"/>
    <x v="1"/>
  </r>
  <r>
    <s v="TX501069"/>
    <x v="9"/>
    <x v="1"/>
    <n v="70.099999999999994"/>
    <n v="140.19999999999999"/>
    <x v="41"/>
    <d v="2025-02-19T00:00:00"/>
    <x v="2"/>
    <x v="3"/>
    <x v="2"/>
    <s v="California"/>
    <s v="Los Angeles County"/>
    <x v="9"/>
    <x v="6"/>
    <s v="February"/>
    <x v="2"/>
  </r>
  <r>
    <s v="TX501070"/>
    <x v="8"/>
    <x v="0"/>
    <n v="26.5"/>
    <n v="26.5"/>
    <x v="41"/>
    <d v="2025-02-13T00:00:00"/>
    <x v="2"/>
    <x v="1"/>
    <x v="0"/>
    <s v="California"/>
    <s v="Los Angeles County"/>
    <x v="1"/>
    <x v="6"/>
    <s v="February"/>
    <x v="2"/>
  </r>
  <r>
    <s v="TX501071"/>
    <x v="7"/>
    <x v="9"/>
    <n v="89"/>
    <n v="445"/>
    <x v="41"/>
    <d v="2025-02-13T00:00:00"/>
    <x v="1"/>
    <x v="2"/>
    <x v="4"/>
    <s v="California"/>
    <s v="Los Angeles County"/>
    <x v="1"/>
    <x v="6"/>
    <s v="February"/>
    <x v="1"/>
  </r>
  <r>
    <s v="TX501072"/>
    <x v="1"/>
    <x v="13"/>
    <n v="47"/>
    <n v="282"/>
    <x v="41"/>
    <d v="2025-02-14T00:00:00"/>
    <x v="2"/>
    <x v="3"/>
    <x v="0"/>
    <s v="California"/>
    <s v="Merced County"/>
    <x v="2"/>
    <x v="6"/>
    <s v="February"/>
    <x v="2"/>
  </r>
  <r>
    <s v="TX501073"/>
    <x v="3"/>
    <x v="1"/>
    <n v="55.2"/>
    <n v="110.4"/>
    <x v="41"/>
    <d v="2025-02-14T00:00:00"/>
    <x v="1"/>
    <x v="1"/>
    <x v="1"/>
    <s v="California"/>
    <s v="Sacramento County"/>
    <x v="2"/>
    <x v="6"/>
    <s v="February"/>
    <x v="1"/>
  </r>
  <r>
    <s v="TX501074"/>
    <x v="8"/>
    <x v="39"/>
    <n v="33.299999999999997"/>
    <n v="1398.6"/>
    <x v="41"/>
    <d v="2025-02-25T00:00:00"/>
    <x v="1"/>
    <x v="1"/>
    <x v="2"/>
    <s v="California"/>
    <s v="Sacramento County"/>
    <x v="12"/>
    <x v="6"/>
    <s v="February"/>
    <x v="1"/>
  </r>
  <r>
    <s v="TX501075"/>
    <x v="2"/>
    <x v="12"/>
    <n v="110.9"/>
    <n v="443.6"/>
    <x v="42"/>
    <d v="2025-02-12T00:00:00"/>
    <x v="1"/>
    <x v="2"/>
    <x v="4"/>
    <s v="California"/>
    <s v="Sacramento County"/>
    <x v="7"/>
    <x v="6"/>
    <s v="February"/>
    <x v="1"/>
  </r>
  <r>
    <s v="TX501076"/>
    <x v="2"/>
    <x v="13"/>
    <n v="67.3"/>
    <n v="403.79999999999995"/>
    <x v="42"/>
    <d v="2025-02-13T00:00:00"/>
    <x v="1"/>
    <x v="0"/>
    <x v="0"/>
    <s v="California"/>
    <s v="San Diego County"/>
    <x v="3"/>
    <x v="6"/>
    <s v="February"/>
    <x v="1"/>
  </r>
  <r>
    <s v="TX501077"/>
    <x v="6"/>
    <x v="2"/>
    <n v="69.7"/>
    <n v="209.10000000000002"/>
    <x v="42"/>
    <d v="2025-02-13T00:00:00"/>
    <x v="1"/>
    <x v="2"/>
    <x v="1"/>
    <s v="California"/>
    <s v="San Diego County"/>
    <x v="3"/>
    <x v="6"/>
    <s v="February"/>
    <x v="1"/>
  </r>
  <r>
    <s v="TX501078"/>
    <x v="5"/>
    <x v="0"/>
    <n v="39.1"/>
    <n v="39.1"/>
    <x v="42"/>
    <d v="2025-02-17T00:00:00"/>
    <x v="1"/>
    <x v="0"/>
    <x v="1"/>
    <s v="California"/>
    <s v="San Francisco"/>
    <x v="0"/>
    <x v="6"/>
    <s v="February"/>
    <x v="1"/>
  </r>
  <r>
    <s v="TX501079"/>
    <x v="2"/>
    <x v="2"/>
    <n v="208.6"/>
    <n v="625.79999999999995"/>
    <x v="42"/>
    <d v="2025-02-12T00:00:00"/>
    <x v="1"/>
    <x v="4"/>
    <x v="2"/>
    <s v="California"/>
    <s v="San Francisco"/>
    <x v="7"/>
    <x v="6"/>
    <s v="February"/>
    <x v="1"/>
  </r>
  <r>
    <s v="TX501080"/>
    <x v="15"/>
    <x v="2"/>
    <n v="27.8"/>
    <n v="83.4"/>
    <x v="42"/>
    <d v="2025-02-13T00:00:00"/>
    <x v="1"/>
    <x v="3"/>
    <x v="1"/>
    <s v="California"/>
    <s v="Santa Clara County"/>
    <x v="3"/>
    <x v="6"/>
    <s v="February"/>
    <x v="1"/>
  </r>
  <r>
    <s v="TX501081"/>
    <x v="10"/>
    <x v="9"/>
    <n v="29.4"/>
    <n v="147"/>
    <x v="42"/>
    <d v="2025-02-14T00:00:00"/>
    <x v="2"/>
    <x v="0"/>
    <x v="0"/>
    <s v="California"/>
    <s v="Santa Clara County"/>
    <x v="1"/>
    <x v="6"/>
    <s v="February"/>
    <x v="2"/>
  </r>
  <r>
    <s v="TX501082"/>
    <x v="9"/>
    <x v="1"/>
    <n v="29.2"/>
    <n v="58.4"/>
    <x v="42"/>
    <d v="2025-02-14T00:00:00"/>
    <x v="2"/>
    <x v="1"/>
    <x v="2"/>
    <s v="California"/>
    <s v="Tulare County"/>
    <x v="1"/>
    <x v="6"/>
    <s v="February"/>
    <x v="2"/>
  </r>
  <r>
    <s v="TX501083"/>
    <x v="10"/>
    <x v="9"/>
    <n v="26.5"/>
    <n v="132.5"/>
    <x v="42"/>
    <d v="2025-02-14T00:00:00"/>
    <x v="2"/>
    <x v="0"/>
    <x v="0"/>
    <s v="California"/>
    <s v="Tuolumne County"/>
    <x v="1"/>
    <x v="6"/>
    <s v="February"/>
    <x v="2"/>
  </r>
  <r>
    <s v="TX501084"/>
    <x v="5"/>
    <x v="0"/>
    <n v="30.3"/>
    <n v="30.3"/>
    <x v="42"/>
    <d v="2025-02-13T00:00:00"/>
    <x v="2"/>
    <x v="4"/>
    <x v="1"/>
    <s v="California"/>
    <s v="Ventura County"/>
    <x v="3"/>
    <x v="6"/>
    <s v="February"/>
    <x v="2"/>
  </r>
  <r>
    <s v="TX501085"/>
    <x v="16"/>
    <x v="4"/>
    <n v="39.700000000000003"/>
    <n v="476.40000000000003"/>
    <x v="42"/>
    <d v="2025-02-13T00:00:00"/>
    <x v="2"/>
    <x v="0"/>
    <x v="0"/>
    <s v="California"/>
    <s v="Alameda County"/>
    <x v="3"/>
    <x v="6"/>
    <s v="February"/>
    <x v="2"/>
  </r>
  <r>
    <s v="TX501086"/>
    <x v="7"/>
    <x v="7"/>
    <n v="58.9"/>
    <n v="589"/>
    <x v="42"/>
    <d v="2025-02-14T00:00:00"/>
    <x v="2"/>
    <x v="1"/>
    <x v="4"/>
    <s v="California"/>
    <s v="Alameda County"/>
    <x v="1"/>
    <x v="6"/>
    <s v="February"/>
    <x v="2"/>
  </r>
  <r>
    <s v="TX501087"/>
    <x v="2"/>
    <x v="1"/>
    <n v="174.1"/>
    <n v="348.2"/>
    <x v="42"/>
    <d v="2025-02-14T00:00:00"/>
    <x v="2"/>
    <x v="0"/>
    <x v="1"/>
    <s v="California"/>
    <s v="Amador County"/>
    <x v="1"/>
    <x v="6"/>
    <s v="February"/>
    <x v="2"/>
  </r>
  <r>
    <s v="TX501088"/>
    <x v="6"/>
    <x v="1"/>
    <n v="70.8"/>
    <n v="141.6"/>
    <x v="42"/>
    <d v="2025-02-15T00:00:00"/>
    <x v="1"/>
    <x v="2"/>
    <x v="0"/>
    <s v="California"/>
    <s v="Kern County"/>
    <x v="2"/>
    <x v="6"/>
    <s v="February"/>
    <x v="1"/>
  </r>
  <r>
    <s v="TX501089"/>
    <x v="7"/>
    <x v="1"/>
    <n v="57.4"/>
    <n v="114.8"/>
    <x v="42"/>
    <d v="2025-02-14T00:00:00"/>
    <x v="2"/>
    <x v="1"/>
    <x v="1"/>
    <s v="California"/>
    <s v="Kings County"/>
    <x v="1"/>
    <x v="6"/>
    <s v="February"/>
    <x v="2"/>
  </r>
  <r>
    <s v="TX501090"/>
    <x v="0"/>
    <x v="1"/>
    <n v="28.5"/>
    <n v="57"/>
    <x v="42"/>
    <d v="2025-02-14T00:00:00"/>
    <x v="1"/>
    <x v="3"/>
    <x v="1"/>
    <s v="California"/>
    <s v="Los Angeles County"/>
    <x v="1"/>
    <x v="6"/>
    <s v="February"/>
    <x v="1"/>
  </r>
  <r>
    <s v="TX501091"/>
    <x v="2"/>
    <x v="28"/>
    <n v="106.6"/>
    <n v="2132"/>
    <x v="42"/>
    <d v="2025-02-13T00:00:00"/>
    <x v="0"/>
    <x v="1"/>
    <x v="4"/>
    <s v="California"/>
    <s v="Los Angeles County"/>
    <x v="3"/>
    <x v="6"/>
    <s v="February"/>
    <x v="0"/>
  </r>
  <r>
    <s v="TX501092"/>
    <x v="2"/>
    <x v="2"/>
    <n v="119.7"/>
    <n v="359.1"/>
    <x v="42"/>
    <d v="2025-02-13T00:00:00"/>
    <x v="2"/>
    <x v="1"/>
    <x v="4"/>
    <s v="California"/>
    <s v="Los Angeles County"/>
    <x v="3"/>
    <x v="6"/>
    <s v="February"/>
    <x v="2"/>
  </r>
  <r>
    <s v="TX501093"/>
    <x v="18"/>
    <x v="0"/>
    <n v="73.3"/>
    <n v="73.3"/>
    <x v="42"/>
    <d v="2025-02-17T00:00:00"/>
    <x v="2"/>
    <x v="0"/>
    <x v="2"/>
    <s v="California"/>
    <s v="Los Angeles County"/>
    <x v="0"/>
    <x v="6"/>
    <s v="February"/>
    <x v="2"/>
  </r>
  <r>
    <s v="TX501094"/>
    <x v="0"/>
    <x v="1"/>
    <n v="25.8"/>
    <n v="51.6"/>
    <x v="42"/>
    <d v="2025-02-26T00:00:00"/>
    <x v="1"/>
    <x v="2"/>
    <x v="0"/>
    <s v="California"/>
    <s v="Los Angeles County"/>
    <x v="12"/>
    <x v="6"/>
    <s v="February"/>
    <x v="1"/>
  </r>
  <r>
    <s v="TX501095"/>
    <x v="17"/>
    <x v="2"/>
    <n v="49.1"/>
    <n v="147.30000000000001"/>
    <x v="42"/>
    <d v="2025-02-14T00:00:00"/>
    <x v="2"/>
    <x v="0"/>
    <x v="0"/>
    <s v="California"/>
    <s v="Merced County"/>
    <x v="1"/>
    <x v="6"/>
    <s v="February"/>
    <x v="2"/>
  </r>
  <r>
    <s v="TX501096"/>
    <x v="1"/>
    <x v="0"/>
    <n v="44.9"/>
    <n v="44.9"/>
    <x v="42"/>
    <d v="2025-02-15T00:00:00"/>
    <x v="2"/>
    <x v="3"/>
    <x v="2"/>
    <s v="California"/>
    <s v="Sacramento County"/>
    <x v="2"/>
    <x v="6"/>
    <s v="February"/>
    <x v="2"/>
  </r>
  <r>
    <s v="TX501097"/>
    <x v="15"/>
    <x v="3"/>
    <n v="29.9"/>
    <n v="209.29999999999998"/>
    <x v="42"/>
    <d v="2025-02-13T00:00:00"/>
    <x v="2"/>
    <x v="0"/>
    <x v="0"/>
    <s v="California"/>
    <s v="Sacramento County"/>
    <x v="3"/>
    <x v="6"/>
    <s v="February"/>
    <x v="2"/>
  </r>
  <r>
    <s v="TX501098"/>
    <x v="7"/>
    <x v="1"/>
    <n v="54.3"/>
    <n v="108.6"/>
    <x v="43"/>
    <d v="2025-02-14T00:00:00"/>
    <x v="1"/>
    <x v="3"/>
    <x v="0"/>
    <s v="California"/>
    <s v="San Benito County"/>
    <x v="3"/>
    <x v="6"/>
    <s v="February"/>
    <x v="1"/>
  </r>
  <r>
    <s v="TX501099"/>
    <x v="9"/>
    <x v="12"/>
    <n v="57"/>
    <n v="228"/>
    <x v="43"/>
    <d v="2025-02-15T00:00:00"/>
    <x v="2"/>
    <x v="0"/>
    <x v="0"/>
    <s v="California"/>
    <s v="San Diego County"/>
    <x v="1"/>
    <x v="6"/>
    <s v="February"/>
    <x v="2"/>
  </r>
  <r>
    <s v="TX501100"/>
    <x v="2"/>
    <x v="0"/>
    <n v="139.19999999999999"/>
    <n v="139.19999999999999"/>
    <x v="43"/>
    <d v="2025-02-14T00:00:00"/>
    <x v="2"/>
    <x v="3"/>
    <x v="2"/>
    <s v="California"/>
    <s v="San Diego County"/>
    <x v="3"/>
    <x v="6"/>
    <s v="February"/>
    <x v="2"/>
  </r>
  <r>
    <s v="TX501101"/>
    <x v="10"/>
    <x v="0"/>
    <n v="33"/>
    <n v="33"/>
    <x v="43"/>
    <d v="2025-02-16T00:00:00"/>
    <x v="2"/>
    <x v="0"/>
    <x v="2"/>
    <s v="California"/>
    <s v="San Diego County"/>
    <x v="2"/>
    <x v="6"/>
    <s v="February"/>
    <x v="2"/>
  </r>
  <r>
    <s v="TX501102"/>
    <x v="11"/>
    <x v="13"/>
    <n v="80.2"/>
    <n v="481.20000000000005"/>
    <x v="43"/>
    <d v="2025-02-15T00:00:00"/>
    <x v="1"/>
    <x v="1"/>
    <x v="4"/>
    <s v="California"/>
    <s v="San Diego County"/>
    <x v="1"/>
    <x v="6"/>
    <s v="February"/>
    <x v="1"/>
  </r>
  <r>
    <s v="TX501103"/>
    <x v="18"/>
    <x v="8"/>
    <n v="49"/>
    <n v="392"/>
    <x v="43"/>
    <d v="2025-02-14T00:00:00"/>
    <x v="0"/>
    <x v="2"/>
    <x v="1"/>
    <s v="California"/>
    <s v="San Mateo County"/>
    <x v="3"/>
    <x v="6"/>
    <s v="February"/>
    <x v="0"/>
  </r>
  <r>
    <s v="TX501104"/>
    <x v="1"/>
    <x v="12"/>
    <n v="104.4"/>
    <n v="417.6"/>
    <x v="43"/>
    <d v="2025-02-13T00:00:00"/>
    <x v="2"/>
    <x v="0"/>
    <x v="0"/>
    <s v="California"/>
    <s v="San Mateo County"/>
    <x v="7"/>
    <x v="6"/>
    <s v="February"/>
    <x v="2"/>
  </r>
  <r>
    <s v="TX501105"/>
    <x v="3"/>
    <x v="0"/>
    <n v="41.6"/>
    <n v="41.6"/>
    <x v="43"/>
    <d v="2025-02-16T00:00:00"/>
    <x v="1"/>
    <x v="3"/>
    <x v="0"/>
    <s v="California"/>
    <s v="Santa Clara County"/>
    <x v="2"/>
    <x v="6"/>
    <s v="February"/>
    <x v="1"/>
  </r>
  <r>
    <s v="TX501106"/>
    <x v="19"/>
    <x v="1"/>
    <n v="16.399999999999999"/>
    <n v="32.799999999999997"/>
    <x v="43"/>
    <d v="2025-02-14T00:00:00"/>
    <x v="3"/>
    <x v="0"/>
    <x v="2"/>
    <s v="California"/>
    <s v="Santa Clara County"/>
    <x v="3"/>
    <x v="6"/>
    <s v="February"/>
    <x v="3"/>
  </r>
  <r>
    <s v="TX501107"/>
    <x v="8"/>
    <x v="1"/>
    <n v="22"/>
    <n v="44"/>
    <x v="43"/>
    <d v="2025-02-14T00:00:00"/>
    <x v="1"/>
    <x v="2"/>
    <x v="2"/>
    <s v="California"/>
    <s v="Shasta County"/>
    <x v="3"/>
    <x v="6"/>
    <s v="February"/>
    <x v="1"/>
  </r>
  <r>
    <s v="TX501108"/>
    <x v="15"/>
    <x v="1"/>
    <n v="33.6"/>
    <n v="67.2"/>
    <x v="43"/>
    <d v="2025-02-18T00:00:00"/>
    <x v="2"/>
    <x v="0"/>
    <x v="0"/>
    <s v="California"/>
    <s v="Alameda County"/>
    <x v="0"/>
    <x v="6"/>
    <s v="February"/>
    <x v="2"/>
  </r>
  <r>
    <s v="TX501109"/>
    <x v="11"/>
    <x v="13"/>
    <n v="43"/>
    <n v="258"/>
    <x v="43"/>
    <d v="2025-02-14T00:00:00"/>
    <x v="2"/>
    <x v="2"/>
    <x v="0"/>
    <s v="California"/>
    <s v="Alameda County"/>
    <x v="3"/>
    <x v="6"/>
    <s v="February"/>
    <x v="2"/>
  </r>
  <r>
    <s v="TX501110"/>
    <x v="6"/>
    <x v="9"/>
    <n v="108.8"/>
    <n v="544"/>
    <x v="43"/>
    <d v="2025-02-16T00:00:00"/>
    <x v="2"/>
    <x v="4"/>
    <x v="2"/>
    <s v="California"/>
    <s v="Alameda County"/>
    <x v="2"/>
    <x v="6"/>
    <s v="February"/>
    <x v="2"/>
  </r>
  <r>
    <s v="TX501111"/>
    <x v="0"/>
    <x v="11"/>
    <n v="29.3"/>
    <n v="263.7"/>
    <x v="43"/>
    <d v="2025-02-15T00:00:00"/>
    <x v="1"/>
    <x v="4"/>
    <x v="2"/>
    <s v="California"/>
    <s v="Alameda County"/>
    <x v="1"/>
    <x v="6"/>
    <s v="February"/>
    <x v="1"/>
  </r>
  <r>
    <s v="TX501112"/>
    <x v="2"/>
    <x v="0"/>
    <n v="122.7"/>
    <n v="122.7"/>
    <x v="43"/>
    <d v="2025-02-16T00:00:00"/>
    <x v="3"/>
    <x v="0"/>
    <x v="2"/>
    <s v="California"/>
    <s v="Contra Costa County"/>
    <x v="2"/>
    <x v="6"/>
    <s v="February"/>
    <x v="3"/>
  </r>
  <r>
    <s v="TX501113"/>
    <x v="4"/>
    <x v="3"/>
    <n v="22.9"/>
    <n v="160.29999999999998"/>
    <x v="43"/>
    <d v="2025-02-14T00:00:00"/>
    <x v="2"/>
    <x v="0"/>
    <x v="0"/>
    <s v="California"/>
    <s v="El Dorado County"/>
    <x v="3"/>
    <x v="6"/>
    <s v="February"/>
    <x v="2"/>
  </r>
  <r>
    <s v="TX501114"/>
    <x v="8"/>
    <x v="7"/>
    <n v="25.5"/>
    <n v="255"/>
    <x v="43"/>
    <d v="2025-02-20T00:00:00"/>
    <x v="2"/>
    <x v="0"/>
    <x v="0"/>
    <s v="California"/>
    <s v="Imperial County"/>
    <x v="6"/>
    <x v="6"/>
    <s v="February"/>
    <x v="2"/>
  </r>
  <r>
    <s v="TX501115"/>
    <x v="17"/>
    <x v="2"/>
    <n v="23.4"/>
    <n v="70.199999999999989"/>
    <x v="43"/>
    <d v="2025-02-17T00:00:00"/>
    <x v="2"/>
    <x v="0"/>
    <x v="2"/>
    <s v="California"/>
    <s v="Los Angeles County"/>
    <x v="5"/>
    <x v="6"/>
    <s v="February"/>
    <x v="2"/>
  </r>
  <r>
    <s v="TX501116"/>
    <x v="5"/>
    <x v="8"/>
    <n v="27.4"/>
    <n v="219.2"/>
    <x v="43"/>
    <d v="2025-02-16T00:00:00"/>
    <x v="2"/>
    <x v="2"/>
    <x v="0"/>
    <s v="California"/>
    <s v="Los Angeles County"/>
    <x v="2"/>
    <x v="6"/>
    <s v="February"/>
    <x v="2"/>
  </r>
  <r>
    <s v="TX501117"/>
    <x v="5"/>
    <x v="9"/>
    <n v="68.400000000000006"/>
    <n v="342"/>
    <x v="43"/>
    <d v="2025-02-14T00:00:00"/>
    <x v="2"/>
    <x v="0"/>
    <x v="0"/>
    <s v="California"/>
    <s v="Los Angeles County"/>
    <x v="3"/>
    <x v="6"/>
    <s v="February"/>
    <x v="2"/>
  </r>
  <r>
    <s v="TX501118"/>
    <x v="6"/>
    <x v="0"/>
    <n v="51.9"/>
    <n v="51.9"/>
    <x v="43"/>
    <d v="2025-02-13T00:00:00"/>
    <x v="2"/>
    <x v="0"/>
    <x v="0"/>
    <s v="California"/>
    <s v="Los Angeles County"/>
    <x v="7"/>
    <x v="6"/>
    <s v="February"/>
    <x v="2"/>
  </r>
  <r>
    <s v="TX501119"/>
    <x v="0"/>
    <x v="9"/>
    <n v="26.4"/>
    <n v="132"/>
    <x v="43"/>
    <d v="2025-02-16T00:00:00"/>
    <x v="2"/>
    <x v="0"/>
    <x v="2"/>
    <s v="California"/>
    <s v="Los Angeles County"/>
    <x v="2"/>
    <x v="6"/>
    <s v="February"/>
    <x v="2"/>
  </r>
  <r>
    <s v="TX501120"/>
    <x v="12"/>
    <x v="1"/>
    <n v="117"/>
    <n v="234"/>
    <x v="43"/>
    <d v="2025-02-14T00:00:00"/>
    <x v="2"/>
    <x v="1"/>
    <x v="1"/>
    <s v="California"/>
    <s v="Los Angeles County"/>
    <x v="3"/>
    <x v="6"/>
    <s v="February"/>
    <x v="2"/>
  </r>
  <r>
    <s v="TX501121"/>
    <x v="7"/>
    <x v="2"/>
    <n v="49.6"/>
    <n v="148.80000000000001"/>
    <x v="44"/>
    <d v="2025-02-16T00:00:00"/>
    <x v="2"/>
    <x v="0"/>
    <x v="0"/>
    <s v="California"/>
    <s v="Los Angeles County"/>
    <x v="1"/>
    <x v="6"/>
    <s v="February"/>
    <x v="2"/>
  </r>
  <r>
    <s v="TX501122"/>
    <x v="4"/>
    <x v="2"/>
    <n v="38"/>
    <n v="114"/>
    <x v="44"/>
    <d v="2025-02-17T00:00:00"/>
    <x v="1"/>
    <x v="2"/>
    <x v="4"/>
    <s v="California"/>
    <s v="Los Angeles County"/>
    <x v="2"/>
    <x v="6"/>
    <s v="February"/>
    <x v="1"/>
  </r>
  <r>
    <s v="TX501123"/>
    <x v="0"/>
    <x v="2"/>
    <n v="20.6"/>
    <n v="61.800000000000004"/>
    <x v="44"/>
    <d v="2025-02-16T00:00:00"/>
    <x v="2"/>
    <x v="4"/>
    <x v="2"/>
    <s v="California"/>
    <s v="Los Angeles County"/>
    <x v="1"/>
    <x v="6"/>
    <s v="February"/>
    <x v="2"/>
  </r>
  <r>
    <s v="TX501124"/>
    <x v="0"/>
    <x v="1"/>
    <n v="16"/>
    <n v="32"/>
    <x v="44"/>
    <d v="2025-02-15T00:00:00"/>
    <x v="1"/>
    <x v="1"/>
    <x v="1"/>
    <s v="California"/>
    <s v="Monterey County"/>
    <x v="3"/>
    <x v="6"/>
    <s v="February"/>
    <x v="1"/>
  </r>
  <r>
    <s v="TX501125"/>
    <x v="15"/>
    <x v="12"/>
    <n v="49.3"/>
    <n v="197.2"/>
    <x v="44"/>
    <d v="2025-02-15T00:00:00"/>
    <x v="2"/>
    <x v="2"/>
    <x v="0"/>
    <s v="California"/>
    <s v="Riverside County"/>
    <x v="3"/>
    <x v="6"/>
    <s v="February"/>
    <x v="2"/>
  </r>
  <r>
    <s v="TX501126"/>
    <x v="9"/>
    <x v="1"/>
    <n v="24.1"/>
    <n v="48.2"/>
    <x v="44"/>
    <d v="2025-02-18T00:00:00"/>
    <x v="2"/>
    <x v="0"/>
    <x v="0"/>
    <s v="California"/>
    <s v="Sacramento County"/>
    <x v="5"/>
    <x v="6"/>
    <s v="February"/>
    <x v="2"/>
  </r>
  <r>
    <s v="TX501127"/>
    <x v="15"/>
    <x v="8"/>
    <n v="32.700000000000003"/>
    <n v="261.60000000000002"/>
    <x v="44"/>
    <d v="2025-02-15T00:00:00"/>
    <x v="2"/>
    <x v="1"/>
    <x v="0"/>
    <s v="California"/>
    <s v="Sacramento County"/>
    <x v="3"/>
    <x v="6"/>
    <s v="February"/>
    <x v="2"/>
  </r>
  <r>
    <s v="TX501128"/>
    <x v="6"/>
    <x v="2"/>
    <n v="74.400000000000006"/>
    <n v="223.20000000000002"/>
    <x v="44"/>
    <d v="2025-02-15T00:00:00"/>
    <x v="2"/>
    <x v="3"/>
    <x v="2"/>
    <s v="California"/>
    <s v="San Diego County"/>
    <x v="3"/>
    <x v="6"/>
    <s v="February"/>
    <x v="2"/>
  </r>
  <r>
    <s v="TX501129"/>
    <x v="12"/>
    <x v="0"/>
    <n v="45.6"/>
    <n v="45.6"/>
    <x v="44"/>
    <d v="2025-02-18T00:00:00"/>
    <x v="2"/>
    <x v="4"/>
    <x v="0"/>
    <s v="California"/>
    <s v="San Diego County"/>
    <x v="5"/>
    <x v="6"/>
    <s v="February"/>
    <x v="2"/>
  </r>
  <r>
    <s v="TX501130"/>
    <x v="8"/>
    <x v="8"/>
    <n v="19.600000000000001"/>
    <n v="156.80000000000001"/>
    <x v="44"/>
    <d v="2025-02-27T00:00:00"/>
    <x v="2"/>
    <x v="0"/>
    <x v="0"/>
    <s v="California"/>
    <s v="San Diego County"/>
    <x v="10"/>
    <x v="6"/>
    <s v="February"/>
    <x v="2"/>
  </r>
  <r>
    <s v="TX501131"/>
    <x v="9"/>
    <x v="0"/>
    <n v="51.8"/>
    <n v="51.8"/>
    <x v="44"/>
    <d v="2025-02-15T00:00:00"/>
    <x v="2"/>
    <x v="1"/>
    <x v="0"/>
    <s v="California"/>
    <s v="San Diego County"/>
    <x v="3"/>
    <x v="6"/>
    <s v="February"/>
    <x v="2"/>
  </r>
  <r>
    <s v="TX501132"/>
    <x v="6"/>
    <x v="0"/>
    <n v="74.7"/>
    <n v="74.7"/>
    <x v="44"/>
    <d v="2025-02-15T00:00:00"/>
    <x v="1"/>
    <x v="0"/>
    <x v="1"/>
    <s v="California"/>
    <s v="San Diego County"/>
    <x v="3"/>
    <x v="6"/>
    <s v="February"/>
    <x v="1"/>
  </r>
  <r>
    <s v="TX501133"/>
    <x v="19"/>
    <x v="2"/>
    <n v="22.4"/>
    <n v="67.199999999999989"/>
    <x v="44"/>
    <d v="2025-02-15T00:00:00"/>
    <x v="2"/>
    <x v="1"/>
    <x v="2"/>
    <s v="California"/>
    <s v="San Mateo County"/>
    <x v="3"/>
    <x v="6"/>
    <s v="February"/>
    <x v="2"/>
  </r>
  <r>
    <s v="TX501134"/>
    <x v="1"/>
    <x v="12"/>
    <n v="31.4"/>
    <n v="125.6"/>
    <x v="44"/>
    <d v="2025-02-15T00:00:00"/>
    <x v="2"/>
    <x v="1"/>
    <x v="0"/>
    <s v="California"/>
    <s v="San Mateo County"/>
    <x v="3"/>
    <x v="6"/>
    <s v="February"/>
    <x v="2"/>
  </r>
  <r>
    <s v="TX501135"/>
    <x v="6"/>
    <x v="0"/>
    <n v="94"/>
    <n v="94"/>
    <x v="44"/>
    <d v="2025-02-14T00:00:00"/>
    <x v="2"/>
    <x v="1"/>
    <x v="2"/>
    <s v="California"/>
    <s v="Santa Barbara County"/>
    <x v="7"/>
    <x v="6"/>
    <s v="February"/>
    <x v="2"/>
  </r>
  <r>
    <s v="TX501136"/>
    <x v="10"/>
    <x v="0"/>
    <n v="22.3"/>
    <n v="22.3"/>
    <x v="44"/>
    <d v="2025-02-15T00:00:00"/>
    <x v="1"/>
    <x v="4"/>
    <x v="0"/>
    <s v="California"/>
    <s v="Tulare County"/>
    <x v="3"/>
    <x v="6"/>
    <s v="February"/>
    <x v="1"/>
  </r>
  <r>
    <s v="TX501137"/>
    <x v="0"/>
    <x v="0"/>
    <n v="21.9"/>
    <n v="21.9"/>
    <x v="44"/>
    <d v="2025-02-17T00:00:00"/>
    <x v="2"/>
    <x v="2"/>
    <x v="0"/>
    <s v="California"/>
    <s v="Alameda County"/>
    <x v="2"/>
    <x v="6"/>
    <s v="February"/>
    <x v="2"/>
  </r>
  <r>
    <s v="TX501138"/>
    <x v="17"/>
    <x v="2"/>
    <n v="27"/>
    <n v="81"/>
    <x v="44"/>
    <d v="2025-02-16T00:00:00"/>
    <x v="2"/>
    <x v="4"/>
    <x v="2"/>
    <s v="California"/>
    <s v="Fresno County"/>
    <x v="1"/>
    <x v="6"/>
    <s v="February"/>
    <x v="2"/>
  </r>
  <r>
    <s v="TX501139"/>
    <x v="2"/>
    <x v="12"/>
    <n v="149.6"/>
    <n v="598.4"/>
    <x v="44"/>
    <d v="2025-02-14T00:00:00"/>
    <x v="2"/>
    <x v="4"/>
    <x v="0"/>
    <s v="California"/>
    <s v="Kern County"/>
    <x v="7"/>
    <x v="6"/>
    <s v="February"/>
    <x v="2"/>
  </r>
  <r>
    <s v="TX501140"/>
    <x v="2"/>
    <x v="12"/>
    <n v="129.1"/>
    <n v="516.4"/>
    <x v="44"/>
    <d v="2025-02-24T00:00:00"/>
    <x v="1"/>
    <x v="0"/>
    <x v="1"/>
    <s v="California"/>
    <s v="Los Angeles County"/>
    <x v="14"/>
    <x v="6"/>
    <s v="February"/>
    <x v="1"/>
  </r>
  <r>
    <s v="TX501141"/>
    <x v="1"/>
    <x v="4"/>
    <n v="40.4"/>
    <n v="484.79999999999995"/>
    <x v="44"/>
    <d v="2025-02-15T00:00:00"/>
    <x v="1"/>
    <x v="1"/>
    <x v="1"/>
    <s v="California"/>
    <s v="Los Angeles County"/>
    <x v="3"/>
    <x v="6"/>
    <s v="February"/>
    <x v="1"/>
  </r>
  <r>
    <s v="TX501142"/>
    <x v="4"/>
    <x v="2"/>
    <n v="48.5"/>
    <n v="145.5"/>
    <x v="44"/>
    <d v="2025-02-16T00:00:00"/>
    <x v="2"/>
    <x v="0"/>
    <x v="4"/>
    <s v="California"/>
    <s v="Los Angeles County"/>
    <x v="1"/>
    <x v="6"/>
    <s v="February"/>
    <x v="2"/>
  </r>
  <r>
    <s v="TX501143"/>
    <x v="9"/>
    <x v="1"/>
    <n v="37.6"/>
    <n v="75.2"/>
    <x v="44"/>
    <d v="2025-02-16T00:00:00"/>
    <x v="2"/>
    <x v="1"/>
    <x v="2"/>
    <s v="California"/>
    <s v="Los Angeles County"/>
    <x v="1"/>
    <x v="6"/>
    <s v="February"/>
    <x v="2"/>
  </r>
  <r>
    <s v="TX501144"/>
    <x v="8"/>
    <x v="1"/>
    <n v="19.600000000000001"/>
    <n v="39.200000000000003"/>
    <x v="44"/>
    <d v="2025-02-15T00:00:00"/>
    <x v="1"/>
    <x v="3"/>
    <x v="4"/>
    <s v="California"/>
    <s v="Marin County"/>
    <x v="3"/>
    <x v="6"/>
    <s v="February"/>
    <x v="1"/>
  </r>
  <r>
    <s v="TX501145"/>
    <x v="8"/>
    <x v="9"/>
    <n v="18.5"/>
    <n v="92.5"/>
    <x v="44"/>
    <d v="2025-02-15T00:00:00"/>
    <x v="2"/>
    <x v="2"/>
    <x v="1"/>
    <s v="California"/>
    <s v="Sacramento County"/>
    <x v="3"/>
    <x v="6"/>
    <s v="February"/>
    <x v="2"/>
  </r>
  <r>
    <s v="TX501146"/>
    <x v="5"/>
    <x v="2"/>
    <n v="25.5"/>
    <n v="76.5"/>
    <x v="44"/>
    <d v="2025-02-16T00:00:00"/>
    <x v="2"/>
    <x v="4"/>
    <x v="1"/>
    <s v="California"/>
    <s v="Sacramento County"/>
    <x v="1"/>
    <x v="6"/>
    <s v="February"/>
    <x v="2"/>
  </r>
  <r>
    <s v="TX501147"/>
    <x v="2"/>
    <x v="1"/>
    <n v="94.7"/>
    <n v="189.4"/>
    <x v="44"/>
    <d v="2025-02-15T00:00:00"/>
    <x v="2"/>
    <x v="2"/>
    <x v="0"/>
    <s v="California"/>
    <s v="San Benito County"/>
    <x v="3"/>
    <x v="6"/>
    <s v="February"/>
    <x v="2"/>
  </r>
  <r>
    <s v="TX501148"/>
    <x v="1"/>
    <x v="13"/>
    <n v="38.799999999999997"/>
    <n v="232.79999999999998"/>
    <x v="44"/>
    <d v="2025-02-19T00:00:00"/>
    <x v="2"/>
    <x v="2"/>
    <x v="2"/>
    <s v="California"/>
    <s v="San Diego County"/>
    <x v="0"/>
    <x v="6"/>
    <s v="February"/>
    <x v="2"/>
  </r>
  <r>
    <s v="TX501149"/>
    <x v="9"/>
    <x v="1"/>
    <n v="49.4"/>
    <n v="98.8"/>
    <x v="45"/>
    <d v="2025-02-23T00:00:00"/>
    <x v="1"/>
    <x v="4"/>
    <x v="1"/>
    <s v="California"/>
    <s v="San Diego County"/>
    <x v="9"/>
    <x v="6"/>
    <s v="February"/>
    <x v="1"/>
  </r>
  <r>
    <s v="TX501150"/>
    <x v="7"/>
    <x v="2"/>
    <n v="68"/>
    <n v="204"/>
    <x v="45"/>
    <d v="2025-02-18T00:00:00"/>
    <x v="1"/>
    <x v="0"/>
    <x v="2"/>
    <s v="California"/>
    <s v="San Diego County"/>
    <x v="2"/>
    <x v="6"/>
    <s v="February"/>
    <x v="1"/>
  </r>
  <r>
    <s v="TX501151"/>
    <x v="15"/>
    <x v="3"/>
    <n v="63.7"/>
    <n v="445.90000000000003"/>
    <x v="45"/>
    <d v="2025-02-16T00:00:00"/>
    <x v="2"/>
    <x v="2"/>
    <x v="2"/>
    <s v="California"/>
    <s v="San Diego County"/>
    <x v="3"/>
    <x v="6"/>
    <s v="February"/>
    <x v="2"/>
  </r>
  <r>
    <s v="TX501152"/>
    <x v="10"/>
    <x v="1"/>
    <n v="66.2"/>
    <n v="132.4"/>
    <x v="45"/>
    <d v="2025-02-16T00:00:00"/>
    <x v="2"/>
    <x v="4"/>
    <x v="2"/>
    <s v="California"/>
    <s v="San Francisco"/>
    <x v="3"/>
    <x v="6"/>
    <s v="February"/>
    <x v="2"/>
  </r>
  <r>
    <s v="TX501153"/>
    <x v="12"/>
    <x v="2"/>
    <n v="32.299999999999997"/>
    <n v="96.899999999999991"/>
    <x v="45"/>
    <d v="2025-02-16T00:00:00"/>
    <x v="3"/>
    <x v="2"/>
    <x v="1"/>
    <s v="California"/>
    <s v="San Mateo County"/>
    <x v="3"/>
    <x v="6"/>
    <s v="February"/>
    <x v="3"/>
  </r>
  <r>
    <s v="TX501154"/>
    <x v="4"/>
    <x v="1"/>
    <n v="66.900000000000006"/>
    <n v="133.80000000000001"/>
    <x v="45"/>
    <d v="2025-02-18T00:00:00"/>
    <x v="1"/>
    <x v="1"/>
    <x v="0"/>
    <s v="California"/>
    <s v="Santa Clara County"/>
    <x v="2"/>
    <x v="6"/>
    <s v="February"/>
    <x v="1"/>
  </r>
  <r>
    <s v="TX501155"/>
    <x v="4"/>
    <x v="4"/>
    <n v="25.2"/>
    <n v="302.39999999999998"/>
    <x v="45"/>
    <d v="2025-02-19T00:00:00"/>
    <x v="2"/>
    <x v="0"/>
    <x v="1"/>
    <s v="California"/>
    <s v="Santa Clara County"/>
    <x v="5"/>
    <x v="6"/>
    <s v="February"/>
    <x v="2"/>
  </r>
  <r>
    <s v="TX501156"/>
    <x v="10"/>
    <x v="13"/>
    <n v="29.5"/>
    <n v="177"/>
    <x v="45"/>
    <d v="2025-02-16T00:00:00"/>
    <x v="1"/>
    <x v="2"/>
    <x v="0"/>
    <s v="California"/>
    <s v="Santa Clara County"/>
    <x v="3"/>
    <x v="6"/>
    <s v="February"/>
    <x v="1"/>
  </r>
  <r>
    <s v="TX501157"/>
    <x v="8"/>
    <x v="9"/>
    <n v="21.6"/>
    <n v="108"/>
    <x v="45"/>
    <d v="2025-02-17T00:00:00"/>
    <x v="2"/>
    <x v="0"/>
    <x v="2"/>
    <s v="California"/>
    <s v="Santa Cruz County"/>
    <x v="1"/>
    <x v="6"/>
    <s v="February"/>
    <x v="2"/>
  </r>
  <r>
    <s v="TX501158"/>
    <x v="12"/>
    <x v="2"/>
    <n v="69"/>
    <n v="207"/>
    <x v="45"/>
    <d v="2025-02-16T00:00:00"/>
    <x v="2"/>
    <x v="0"/>
    <x v="0"/>
    <s v="California"/>
    <s v="Sonoma County"/>
    <x v="3"/>
    <x v="6"/>
    <s v="February"/>
    <x v="2"/>
  </r>
  <r>
    <s v="TX501159"/>
    <x v="7"/>
    <x v="1"/>
    <n v="115"/>
    <n v="230"/>
    <x v="45"/>
    <d v="2025-02-19T00:00:00"/>
    <x v="1"/>
    <x v="0"/>
    <x v="2"/>
    <s v="California"/>
    <s v="Sonoma County"/>
    <x v="5"/>
    <x v="6"/>
    <s v="February"/>
    <x v="1"/>
  </r>
  <r>
    <s v="TX501160"/>
    <x v="2"/>
    <x v="1"/>
    <n v="109.3"/>
    <n v="218.6"/>
    <x v="45"/>
    <d v="2025-02-17T00:00:00"/>
    <x v="0"/>
    <x v="3"/>
    <x v="1"/>
    <s v="California"/>
    <s v="Stanislaus County"/>
    <x v="1"/>
    <x v="6"/>
    <s v="February"/>
    <x v="0"/>
  </r>
  <r>
    <s v="TX501161"/>
    <x v="9"/>
    <x v="1"/>
    <n v="66.599999999999994"/>
    <n v="133.19999999999999"/>
    <x v="45"/>
    <d v="2025-02-18T00:00:00"/>
    <x v="0"/>
    <x v="4"/>
    <x v="1"/>
    <s v="California"/>
    <s v="Stanislaus County"/>
    <x v="2"/>
    <x v="6"/>
    <s v="February"/>
    <x v="0"/>
  </r>
  <r>
    <s v="TX501162"/>
    <x v="12"/>
    <x v="9"/>
    <n v="47.7"/>
    <n v="238.5"/>
    <x v="45"/>
    <d v="2025-02-16T00:00:00"/>
    <x v="1"/>
    <x v="3"/>
    <x v="2"/>
    <s v="California"/>
    <s v="Alameda County"/>
    <x v="3"/>
    <x v="6"/>
    <s v="February"/>
    <x v="1"/>
  </r>
  <r>
    <s v="TX501163"/>
    <x v="8"/>
    <x v="1"/>
    <n v="46"/>
    <n v="92"/>
    <x v="45"/>
    <d v="2025-02-16T00:00:00"/>
    <x v="2"/>
    <x v="4"/>
    <x v="4"/>
    <s v="California"/>
    <s v="Kern County"/>
    <x v="3"/>
    <x v="6"/>
    <s v="February"/>
    <x v="2"/>
  </r>
  <r>
    <s v="TX501164"/>
    <x v="1"/>
    <x v="13"/>
    <n v="39.299999999999997"/>
    <n v="235.79999999999998"/>
    <x v="45"/>
    <d v="2025-02-17T00:00:00"/>
    <x v="1"/>
    <x v="3"/>
    <x v="2"/>
    <s v="California"/>
    <s v="Los Angeles County"/>
    <x v="1"/>
    <x v="6"/>
    <s v="February"/>
    <x v="1"/>
  </r>
  <r>
    <s v="TX501165"/>
    <x v="9"/>
    <x v="0"/>
    <n v="70.2"/>
    <n v="70.2"/>
    <x v="45"/>
    <d v="2025-02-16T00:00:00"/>
    <x v="2"/>
    <x v="0"/>
    <x v="4"/>
    <s v="California"/>
    <s v="Los Angeles County"/>
    <x v="3"/>
    <x v="6"/>
    <s v="February"/>
    <x v="2"/>
  </r>
  <r>
    <s v="TX501166"/>
    <x v="3"/>
    <x v="12"/>
    <n v="71.5"/>
    <n v="286"/>
    <x v="45"/>
    <d v="2025-02-15T00:00:00"/>
    <x v="2"/>
    <x v="1"/>
    <x v="2"/>
    <s v="California"/>
    <s v="Los Angeles County"/>
    <x v="7"/>
    <x v="6"/>
    <s v="February"/>
    <x v="2"/>
  </r>
  <r>
    <s v="TX501167"/>
    <x v="10"/>
    <x v="3"/>
    <n v="31"/>
    <n v="217"/>
    <x v="45"/>
    <d v="2025-02-22T00:00:00"/>
    <x v="2"/>
    <x v="3"/>
    <x v="2"/>
    <s v="California"/>
    <s v="Los Angeles County"/>
    <x v="6"/>
    <x v="6"/>
    <s v="February"/>
    <x v="2"/>
  </r>
  <r>
    <s v="TX501168"/>
    <x v="2"/>
    <x v="9"/>
    <n v="68.2"/>
    <n v="341"/>
    <x v="45"/>
    <d v="2025-02-20T00:00:00"/>
    <x v="2"/>
    <x v="0"/>
    <x v="2"/>
    <s v="California"/>
    <s v="Los Angeles County"/>
    <x v="0"/>
    <x v="6"/>
    <s v="February"/>
    <x v="2"/>
  </r>
  <r>
    <s v="TX501169"/>
    <x v="2"/>
    <x v="0"/>
    <n v="91.4"/>
    <n v="91.4"/>
    <x v="45"/>
    <d v="2025-02-19T00:00:00"/>
    <x v="2"/>
    <x v="1"/>
    <x v="2"/>
    <s v="California"/>
    <s v="Sacramento County"/>
    <x v="5"/>
    <x v="6"/>
    <s v="February"/>
    <x v="2"/>
  </r>
  <r>
    <s v="TX501170"/>
    <x v="6"/>
    <x v="7"/>
    <n v="112.9"/>
    <n v="1129"/>
    <x v="45"/>
    <d v="2025-02-16T00:00:00"/>
    <x v="2"/>
    <x v="0"/>
    <x v="0"/>
    <s v="California"/>
    <s v="Sacramento County"/>
    <x v="3"/>
    <x v="6"/>
    <s v="February"/>
    <x v="2"/>
  </r>
  <r>
    <s v="TX501171"/>
    <x v="17"/>
    <x v="11"/>
    <n v="33.700000000000003"/>
    <n v="303.3"/>
    <x v="45"/>
    <d v="2025-02-16T00:00:00"/>
    <x v="2"/>
    <x v="1"/>
    <x v="2"/>
    <s v="California"/>
    <s v="San Diego County"/>
    <x v="3"/>
    <x v="6"/>
    <s v="February"/>
    <x v="2"/>
  </r>
  <r>
    <s v="TX501172"/>
    <x v="15"/>
    <x v="7"/>
    <n v="35.299999999999997"/>
    <n v="353"/>
    <x v="45"/>
    <d v="2025-02-17T00:00:00"/>
    <x v="1"/>
    <x v="2"/>
    <x v="0"/>
    <s v="California"/>
    <s v="San Diego County"/>
    <x v="1"/>
    <x v="6"/>
    <s v="February"/>
    <x v="1"/>
  </r>
  <r>
    <s v="TX501173"/>
    <x v="18"/>
    <x v="2"/>
    <n v="45.6"/>
    <n v="136.80000000000001"/>
    <x v="45"/>
    <d v="2025-02-19T00:00:00"/>
    <x v="1"/>
    <x v="3"/>
    <x v="0"/>
    <s v="California"/>
    <s v="San Diego County"/>
    <x v="5"/>
    <x v="6"/>
    <s v="February"/>
    <x v="1"/>
  </r>
  <r>
    <s v="TX501174"/>
    <x v="7"/>
    <x v="3"/>
    <n v="47.1"/>
    <n v="329.7"/>
    <x v="45"/>
    <d v="2025-02-16T00:00:00"/>
    <x v="2"/>
    <x v="4"/>
    <x v="2"/>
    <s v="California"/>
    <s v="San Mateo County"/>
    <x v="3"/>
    <x v="6"/>
    <s v="February"/>
    <x v="2"/>
  </r>
  <r>
    <s v="TX501175"/>
    <x v="8"/>
    <x v="9"/>
    <n v="16.2"/>
    <n v="81"/>
    <x v="45"/>
    <d v="2025-02-17T00:00:00"/>
    <x v="2"/>
    <x v="3"/>
    <x v="2"/>
    <s v="California"/>
    <s v="Stanislaus County"/>
    <x v="1"/>
    <x v="6"/>
    <s v="February"/>
    <x v="2"/>
  </r>
  <r>
    <s v="TX501176"/>
    <x v="1"/>
    <x v="1"/>
    <n v="159.69999999999999"/>
    <n v="319.39999999999998"/>
    <x v="46"/>
    <d v="2025-02-17T00:00:00"/>
    <x v="1"/>
    <x v="4"/>
    <x v="0"/>
    <s v="California"/>
    <s v="Ventura County"/>
    <x v="3"/>
    <x v="7"/>
    <s v="February"/>
    <x v="1"/>
  </r>
  <r>
    <s v="TX501177"/>
    <x v="8"/>
    <x v="12"/>
    <n v="19"/>
    <n v="76"/>
    <x v="46"/>
    <d v="2025-02-23T00:00:00"/>
    <x v="2"/>
    <x v="2"/>
    <x v="2"/>
    <s v="California"/>
    <s v="Alameda County"/>
    <x v="6"/>
    <x v="7"/>
    <s v="February"/>
    <x v="2"/>
  </r>
  <r>
    <s v="TX501178"/>
    <x v="6"/>
    <x v="13"/>
    <n v="91.1"/>
    <n v="546.59999999999991"/>
    <x v="46"/>
    <d v="2025-02-25T00:00:00"/>
    <x v="2"/>
    <x v="4"/>
    <x v="0"/>
    <s v="California"/>
    <s v="Alameda County"/>
    <x v="8"/>
    <x v="7"/>
    <s v="February"/>
    <x v="2"/>
  </r>
  <r>
    <s v="TX501179"/>
    <x v="2"/>
    <x v="9"/>
    <n v="94.1"/>
    <n v="470.5"/>
    <x v="46"/>
    <d v="2025-02-19T00:00:00"/>
    <x v="0"/>
    <x v="1"/>
    <x v="1"/>
    <s v="California"/>
    <s v="Alameda County"/>
    <x v="2"/>
    <x v="7"/>
    <s v="February"/>
    <x v="0"/>
  </r>
  <r>
    <s v="TX501180"/>
    <x v="9"/>
    <x v="11"/>
    <n v="21.1"/>
    <n v="189.9"/>
    <x v="46"/>
    <d v="2025-02-17T00:00:00"/>
    <x v="2"/>
    <x v="4"/>
    <x v="2"/>
    <s v="California"/>
    <s v="Butte County"/>
    <x v="3"/>
    <x v="7"/>
    <s v="February"/>
    <x v="2"/>
  </r>
  <r>
    <s v="TX501181"/>
    <x v="8"/>
    <x v="3"/>
    <n v="15.3"/>
    <n v="107.10000000000001"/>
    <x v="46"/>
    <d v="2025-02-24T00:00:00"/>
    <x v="2"/>
    <x v="2"/>
    <x v="0"/>
    <s v="California"/>
    <s v="Contra Costa County"/>
    <x v="9"/>
    <x v="7"/>
    <s v="February"/>
    <x v="2"/>
  </r>
  <r>
    <s v="TX501182"/>
    <x v="15"/>
    <x v="12"/>
    <n v="21.3"/>
    <n v="85.2"/>
    <x v="46"/>
    <d v="2025-02-19T00:00:00"/>
    <x v="1"/>
    <x v="1"/>
    <x v="0"/>
    <s v="California"/>
    <s v="Los Angeles County"/>
    <x v="2"/>
    <x v="7"/>
    <s v="February"/>
    <x v="1"/>
  </r>
  <r>
    <s v="TX501183"/>
    <x v="0"/>
    <x v="1"/>
    <n v="23.2"/>
    <n v="46.4"/>
    <x v="46"/>
    <d v="2025-02-16T00:00:00"/>
    <x v="0"/>
    <x v="3"/>
    <x v="1"/>
    <s v="California"/>
    <s v="Los Angeles County"/>
    <x v="7"/>
    <x v="7"/>
    <s v="February"/>
    <x v="0"/>
  </r>
  <r>
    <s v="TX501184"/>
    <x v="4"/>
    <x v="2"/>
    <n v="25.7"/>
    <n v="77.099999999999994"/>
    <x v="46"/>
    <d v="2025-02-17T00:00:00"/>
    <x v="1"/>
    <x v="4"/>
    <x v="0"/>
    <s v="California"/>
    <s v="Los Angeles County"/>
    <x v="3"/>
    <x v="7"/>
    <s v="February"/>
    <x v="1"/>
  </r>
  <r>
    <s v="TX501185"/>
    <x v="0"/>
    <x v="11"/>
    <n v="31.6"/>
    <n v="284.40000000000003"/>
    <x v="46"/>
    <d v="2025-02-18T00:00:00"/>
    <x v="2"/>
    <x v="0"/>
    <x v="0"/>
    <s v="California"/>
    <s v="Los Angeles County"/>
    <x v="1"/>
    <x v="7"/>
    <s v="February"/>
    <x v="2"/>
  </r>
  <r>
    <s v="TX501186"/>
    <x v="6"/>
    <x v="0"/>
    <n v="64.2"/>
    <n v="64.2"/>
    <x v="46"/>
    <d v="2025-02-21T00:00:00"/>
    <x v="1"/>
    <x v="0"/>
    <x v="0"/>
    <s v="California"/>
    <s v="Los Angeles County"/>
    <x v="0"/>
    <x v="7"/>
    <s v="February"/>
    <x v="1"/>
  </r>
  <r>
    <s v="TX501187"/>
    <x v="8"/>
    <x v="1"/>
    <n v="55.8"/>
    <n v="111.6"/>
    <x v="46"/>
    <d v="2025-02-18T00:00:00"/>
    <x v="0"/>
    <x v="0"/>
    <x v="0"/>
    <s v="California"/>
    <s v="Los Angeles County"/>
    <x v="1"/>
    <x v="7"/>
    <s v="February"/>
    <x v="0"/>
  </r>
  <r>
    <s v="TX501188"/>
    <x v="8"/>
    <x v="1"/>
    <n v="28.1"/>
    <n v="56.2"/>
    <x v="46"/>
    <d v="2025-02-17T00:00:00"/>
    <x v="2"/>
    <x v="4"/>
    <x v="1"/>
    <s v="California"/>
    <s v="Los Angeles County"/>
    <x v="3"/>
    <x v="7"/>
    <s v="February"/>
    <x v="2"/>
  </r>
  <r>
    <s v="TX501189"/>
    <x v="0"/>
    <x v="1"/>
    <n v="11.6"/>
    <n v="23.2"/>
    <x v="46"/>
    <d v="2025-02-18T00:00:00"/>
    <x v="2"/>
    <x v="1"/>
    <x v="0"/>
    <s v="California"/>
    <s v="Merced County"/>
    <x v="1"/>
    <x v="7"/>
    <s v="February"/>
    <x v="2"/>
  </r>
  <r>
    <s v="TX501190"/>
    <x v="5"/>
    <x v="2"/>
    <n v="50.4"/>
    <n v="151.19999999999999"/>
    <x v="46"/>
    <d v="2025-02-17T00:00:00"/>
    <x v="1"/>
    <x v="4"/>
    <x v="2"/>
    <s v="California"/>
    <s v="Orange County"/>
    <x v="3"/>
    <x v="7"/>
    <s v="February"/>
    <x v="1"/>
  </r>
  <r>
    <s v="TX501191"/>
    <x v="6"/>
    <x v="13"/>
    <n v="48.3"/>
    <n v="289.79999999999995"/>
    <x v="46"/>
    <d v="2025-02-20T00:00:00"/>
    <x v="2"/>
    <x v="0"/>
    <x v="0"/>
    <s v="California"/>
    <s v="Orange County"/>
    <x v="5"/>
    <x v="7"/>
    <s v="February"/>
    <x v="2"/>
  </r>
  <r>
    <s v="TX501192"/>
    <x v="17"/>
    <x v="3"/>
    <n v="32.200000000000003"/>
    <n v="225.40000000000003"/>
    <x v="46"/>
    <d v="2025-02-18T00:00:00"/>
    <x v="2"/>
    <x v="2"/>
    <x v="0"/>
    <s v="California"/>
    <s v="Orange County"/>
    <x v="1"/>
    <x v="7"/>
    <s v="February"/>
    <x v="2"/>
  </r>
  <r>
    <s v="TX501193"/>
    <x v="7"/>
    <x v="31"/>
    <n v="48.5"/>
    <n v="1358"/>
    <x v="46"/>
    <d v="2025-02-17T00:00:00"/>
    <x v="1"/>
    <x v="0"/>
    <x v="0"/>
    <s v="California"/>
    <s v="Placer County"/>
    <x v="3"/>
    <x v="7"/>
    <s v="February"/>
    <x v="1"/>
  </r>
  <r>
    <s v="TX501194"/>
    <x v="2"/>
    <x v="9"/>
    <n v="62"/>
    <n v="310"/>
    <x v="46"/>
    <d v="2025-02-19T00:00:00"/>
    <x v="2"/>
    <x v="1"/>
    <x v="0"/>
    <s v="California"/>
    <s v="Sacramento County"/>
    <x v="2"/>
    <x v="7"/>
    <s v="February"/>
    <x v="2"/>
  </r>
  <r>
    <s v="TX501195"/>
    <x v="8"/>
    <x v="2"/>
    <n v="32.1"/>
    <n v="96.300000000000011"/>
    <x v="47"/>
    <d v="2025-02-19T00:00:00"/>
    <x v="1"/>
    <x v="0"/>
    <x v="0"/>
    <s v="California"/>
    <s v="Sacramento County"/>
    <x v="1"/>
    <x v="7"/>
    <s v="February"/>
    <x v="1"/>
  </r>
  <r>
    <s v="TX501196"/>
    <x v="12"/>
    <x v="2"/>
    <n v="106.1"/>
    <n v="318.29999999999995"/>
    <x v="47"/>
    <d v="2025-02-19T00:00:00"/>
    <x v="1"/>
    <x v="0"/>
    <x v="1"/>
    <s v="California"/>
    <s v="San Bernardino County"/>
    <x v="1"/>
    <x v="7"/>
    <s v="February"/>
    <x v="1"/>
  </r>
  <r>
    <s v="TX501197"/>
    <x v="10"/>
    <x v="2"/>
    <n v="23.5"/>
    <n v="70.5"/>
    <x v="47"/>
    <d v="2025-02-20T00:00:00"/>
    <x v="1"/>
    <x v="0"/>
    <x v="4"/>
    <s v="California"/>
    <s v="San Bernardino County"/>
    <x v="2"/>
    <x v="7"/>
    <s v="February"/>
    <x v="1"/>
  </r>
  <r>
    <s v="TX501198"/>
    <x v="1"/>
    <x v="1"/>
    <n v="35.6"/>
    <n v="71.2"/>
    <x v="47"/>
    <d v="2025-02-22T00:00:00"/>
    <x v="1"/>
    <x v="4"/>
    <x v="0"/>
    <s v="California"/>
    <s v="San Diego County"/>
    <x v="0"/>
    <x v="7"/>
    <s v="February"/>
    <x v="1"/>
  </r>
  <r>
    <s v="TX501199"/>
    <x v="1"/>
    <x v="1"/>
    <n v="63.5"/>
    <n v="127"/>
    <x v="47"/>
    <d v="2025-02-17T00:00:00"/>
    <x v="2"/>
    <x v="1"/>
    <x v="2"/>
    <s v="California"/>
    <s v="San Diego County"/>
    <x v="7"/>
    <x v="7"/>
    <s v="February"/>
    <x v="2"/>
  </r>
  <r>
    <s v="TX501200"/>
    <x v="6"/>
    <x v="3"/>
    <n v="82.9"/>
    <n v="580.30000000000007"/>
    <x v="47"/>
    <d v="2025-02-22T00:00:00"/>
    <x v="2"/>
    <x v="4"/>
    <x v="0"/>
    <s v="California"/>
    <s v="San Mateo County"/>
    <x v="0"/>
    <x v="7"/>
    <s v="February"/>
    <x v="2"/>
  </r>
  <r>
    <s v="TX501201"/>
    <x v="6"/>
    <x v="1"/>
    <n v="83.6"/>
    <n v="167.2"/>
    <x v="47"/>
    <d v="2025-02-22T00:00:00"/>
    <x v="2"/>
    <x v="0"/>
    <x v="0"/>
    <s v="California"/>
    <s v="Santa Clara County"/>
    <x v="0"/>
    <x v="7"/>
    <s v="February"/>
    <x v="2"/>
  </r>
  <r>
    <s v="TX501202"/>
    <x v="4"/>
    <x v="1"/>
    <n v="29.4"/>
    <n v="58.8"/>
    <x v="47"/>
    <d v="2025-02-17T00:00:00"/>
    <x v="2"/>
    <x v="0"/>
    <x v="1"/>
    <s v="California"/>
    <s v="Siskiyou County"/>
    <x v="7"/>
    <x v="7"/>
    <s v="February"/>
    <x v="2"/>
  </r>
  <r>
    <s v="TX501203"/>
    <x v="2"/>
    <x v="2"/>
    <n v="107.1"/>
    <n v="321.29999999999995"/>
    <x v="47"/>
    <d v="2025-02-21T00:00:00"/>
    <x v="2"/>
    <x v="2"/>
    <x v="0"/>
    <s v="California"/>
    <s v="Tulare County"/>
    <x v="5"/>
    <x v="7"/>
    <s v="February"/>
    <x v="2"/>
  </r>
  <r>
    <s v="TX501204"/>
    <x v="2"/>
    <x v="0"/>
    <n v="62.7"/>
    <n v="62.7"/>
    <x v="47"/>
    <d v="2025-02-21T00:00:00"/>
    <x v="1"/>
    <x v="1"/>
    <x v="0"/>
    <s v="California"/>
    <s v="Alameda County"/>
    <x v="5"/>
    <x v="7"/>
    <s v="February"/>
    <x v="1"/>
  </r>
  <r>
    <s v="TX501205"/>
    <x v="11"/>
    <x v="0"/>
    <n v="41.6"/>
    <n v="41.6"/>
    <x v="47"/>
    <d v="2025-02-18T00:00:00"/>
    <x v="1"/>
    <x v="0"/>
    <x v="1"/>
    <s v="California"/>
    <s v="Contra Costa County"/>
    <x v="3"/>
    <x v="7"/>
    <s v="February"/>
    <x v="1"/>
  </r>
  <r>
    <s v="TX501206"/>
    <x v="6"/>
    <x v="0"/>
    <n v="44.2"/>
    <n v="44.2"/>
    <x v="47"/>
    <d v="2025-02-18T00:00:00"/>
    <x v="3"/>
    <x v="0"/>
    <x v="1"/>
    <s v="California"/>
    <s v="Contra Costa County"/>
    <x v="3"/>
    <x v="7"/>
    <s v="February"/>
    <x v="3"/>
  </r>
  <r>
    <s v="TX501207"/>
    <x v="4"/>
    <x v="13"/>
    <n v="40.4"/>
    <n v="242.39999999999998"/>
    <x v="47"/>
    <d v="2025-03-02T00:00:00"/>
    <x v="2"/>
    <x v="2"/>
    <x v="0"/>
    <s v="California"/>
    <s v="Kern County"/>
    <x v="10"/>
    <x v="7"/>
    <s v="February"/>
    <x v="2"/>
  </r>
  <r>
    <s v="TX501208"/>
    <x v="15"/>
    <x v="13"/>
    <n v="59.6"/>
    <n v="357.6"/>
    <x v="47"/>
    <d v="2025-02-18T00:00:00"/>
    <x v="2"/>
    <x v="4"/>
    <x v="0"/>
    <s v="California"/>
    <s v="Kings County"/>
    <x v="3"/>
    <x v="7"/>
    <s v="February"/>
    <x v="2"/>
  </r>
  <r>
    <s v="TX501209"/>
    <x v="17"/>
    <x v="4"/>
    <n v="63.8"/>
    <n v="765.59999999999991"/>
    <x v="47"/>
    <d v="2025-02-18T00:00:00"/>
    <x v="1"/>
    <x v="1"/>
    <x v="0"/>
    <s v="California"/>
    <s v="Los Angeles County"/>
    <x v="3"/>
    <x v="7"/>
    <s v="February"/>
    <x v="1"/>
  </r>
  <r>
    <s v="TX501210"/>
    <x v="9"/>
    <x v="13"/>
    <n v="30.8"/>
    <n v="184.8"/>
    <x v="47"/>
    <d v="2025-02-19T00:00:00"/>
    <x v="1"/>
    <x v="4"/>
    <x v="0"/>
    <s v="California"/>
    <s v="Los Angeles County"/>
    <x v="1"/>
    <x v="7"/>
    <s v="February"/>
    <x v="1"/>
  </r>
  <r>
    <s v="TX501211"/>
    <x v="1"/>
    <x v="1"/>
    <n v="41.5"/>
    <n v="83"/>
    <x v="47"/>
    <d v="2025-02-20T00:00:00"/>
    <x v="3"/>
    <x v="0"/>
    <x v="0"/>
    <s v="California"/>
    <s v="Los Angeles County"/>
    <x v="2"/>
    <x v="7"/>
    <s v="February"/>
    <x v="3"/>
  </r>
  <r>
    <s v="TX501212"/>
    <x v="10"/>
    <x v="12"/>
    <n v="44.7"/>
    <n v="178.8"/>
    <x v="47"/>
    <d v="2025-02-19T00:00:00"/>
    <x v="2"/>
    <x v="2"/>
    <x v="1"/>
    <s v="California"/>
    <s v="Los Angeles County"/>
    <x v="1"/>
    <x v="7"/>
    <s v="February"/>
    <x v="2"/>
  </r>
  <r>
    <s v="TX501213"/>
    <x v="12"/>
    <x v="1"/>
    <n v="64.099999999999994"/>
    <n v="128.19999999999999"/>
    <x v="47"/>
    <d v="2025-02-21T00:00:00"/>
    <x v="2"/>
    <x v="1"/>
    <x v="4"/>
    <s v="California"/>
    <s v="Los Angeles County"/>
    <x v="5"/>
    <x v="7"/>
    <s v="February"/>
    <x v="2"/>
  </r>
  <r>
    <s v="TX501214"/>
    <x v="8"/>
    <x v="0"/>
    <n v="15.9"/>
    <n v="15.9"/>
    <x v="47"/>
    <d v="2025-02-20T00:00:00"/>
    <x v="0"/>
    <x v="1"/>
    <x v="0"/>
    <s v="California"/>
    <s v="Los Angeles County"/>
    <x v="2"/>
    <x v="7"/>
    <s v="February"/>
    <x v="0"/>
  </r>
  <r>
    <s v="TX501215"/>
    <x v="6"/>
    <x v="1"/>
    <n v="78.7"/>
    <n v="157.4"/>
    <x v="47"/>
    <d v="2025-02-17T00:00:00"/>
    <x v="2"/>
    <x v="2"/>
    <x v="1"/>
    <s v="California"/>
    <s v="Los Angeles County"/>
    <x v="7"/>
    <x v="7"/>
    <s v="February"/>
    <x v="2"/>
  </r>
  <r>
    <s v="TX501216"/>
    <x v="5"/>
    <x v="4"/>
    <n v="29.6"/>
    <n v="355.20000000000005"/>
    <x v="47"/>
    <d v="2025-02-21T00:00:00"/>
    <x v="1"/>
    <x v="2"/>
    <x v="4"/>
    <s v="California"/>
    <s v="Los Angeles County"/>
    <x v="5"/>
    <x v="7"/>
    <s v="February"/>
    <x v="1"/>
  </r>
  <r>
    <s v="TX501217"/>
    <x v="8"/>
    <x v="12"/>
    <n v="21.5"/>
    <n v="86"/>
    <x v="47"/>
    <d v="2025-02-20T00:00:00"/>
    <x v="1"/>
    <x v="1"/>
    <x v="0"/>
    <s v="California"/>
    <s v="Los Angeles County"/>
    <x v="2"/>
    <x v="7"/>
    <s v="February"/>
    <x v="1"/>
  </r>
  <r>
    <s v="TX501218"/>
    <x v="9"/>
    <x v="2"/>
    <n v="74.900000000000006"/>
    <n v="224.70000000000002"/>
    <x v="47"/>
    <d v="2025-02-26T00:00:00"/>
    <x v="1"/>
    <x v="3"/>
    <x v="1"/>
    <s v="California"/>
    <s v="Los Angeles County"/>
    <x v="8"/>
    <x v="7"/>
    <s v="February"/>
    <x v="1"/>
  </r>
  <r>
    <s v="TX501219"/>
    <x v="10"/>
    <x v="13"/>
    <n v="45"/>
    <n v="270"/>
    <x v="47"/>
    <d v="2025-02-22T00:00:00"/>
    <x v="2"/>
    <x v="2"/>
    <x v="0"/>
    <s v="California"/>
    <s v="Los Angeles County"/>
    <x v="0"/>
    <x v="7"/>
    <s v="February"/>
    <x v="2"/>
  </r>
  <r>
    <s v="TX501220"/>
    <x v="7"/>
    <x v="33"/>
    <n v="37.9"/>
    <n v="1288.5999999999999"/>
    <x v="47"/>
    <d v="2025-02-18T00:00:00"/>
    <x v="1"/>
    <x v="0"/>
    <x v="0"/>
    <s v="California"/>
    <s v="Los Angeles County"/>
    <x v="3"/>
    <x v="7"/>
    <s v="February"/>
    <x v="1"/>
  </r>
  <r>
    <s v="TX501221"/>
    <x v="6"/>
    <x v="2"/>
    <n v="56.6"/>
    <n v="169.8"/>
    <x v="47"/>
    <d v="2025-02-18T00:00:00"/>
    <x v="1"/>
    <x v="3"/>
    <x v="0"/>
    <s v="California"/>
    <s v="Los Angeles County"/>
    <x v="3"/>
    <x v="7"/>
    <s v="February"/>
    <x v="1"/>
  </r>
  <r>
    <s v="TX501222"/>
    <x v="3"/>
    <x v="15"/>
    <n v="84.5"/>
    <n v="1098.5"/>
    <x v="47"/>
    <d v="2025-02-20T00:00:00"/>
    <x v="2"/>
    <x v="1"/>
    <x v="4"/>
    <s v="California"/>
    <s v="Los Angeles County"/>
    <x v="2"/>
    <x v="7"/>
    <s v="February"/>
    <x v="2"/>
  </r>
  <r>
    <s v="TX501223"/>
    <x v="2"/>
    <x v="9"/>
    <n v="105.4"/>
    <n v="527"/>
    <x v="47"/>
    <d v="2025-02-19T00:00:00"/>
    <x v="2"/>
    <x v="1"/>
    <x v="1"/>
    <s v="California"/>
    <s v="Los Angeles County"/>
    <x v="1"/>
    <x v="7"/>
    <s v="February"/>
    <x v="2"/>
  </r>
  <r>
    <s v="TX501224"/>
    <x v="18"/>
    <x v="3"/>
    <n v="39.4"/>
    <n v="275.8"/>
    <x v="48"/>
    <d v="2025-02-18T00:00:00"/>
    <x v="1"/>
    <x v="1"/>
    <x v="0"/>
    <s v="California"/>
    <s v="Madera County"/>
    <x v="7"/>
    <x v="7"/>
    <s v="February"/>
    <x v="1"/>
  </r>
  <r>
    <s v="TX501225"/>
    <x v="19"/>
    <x v="2"/>
    <n v="38"/>
    <n v="114"/>
    <x v="48"/>
    <d v="2025-02-21T00:00:00"/>
    <x v="1"/>
    <x v="4"/>
    <x v="1"/>
    <s v="California"/>
    <s v="Sacramento County"/>
    <x v="2"/>
    <x v="7"/>
    <s v="February"/>
    <x v="1"/>
  </r>
  <r>
    <s v="TX501226"/>
    <x v="17"/>
    <x v="12"/>
    <n v="42.5"/>
    <n v="170"/>
    <x v="48"/>
    <d v="2025-02-20T00:00:00"/>
    <x v="0"/>
    <x v="0"/>
    <x v="0"/>
    <s v="California"/>
    <s v="Sacramento County"/>
    <x v="1"/>
    <x v="7"/>
    <s v="February"/>
    <x v="0"/>
  </r>
  <r>
    <s v="TX501227"/>
    <x v="15"/>
    <x v="0"/>
    <n v="62.3"/>
    <n v="62.3"/>
    <x v="48"/>
    <d v="2025-02-27T00:00:00"/>
    <x v="1"/>
    <x v="0"/>
    <x v="2"/>
    <s v="California"/>
    <s v="Sacramento County"/>
    <x v="8"/>
    <x v="7"/>
    <s v="February"/>
    <x v="1"/>
  </r>
  <r>
    <s v="TX501228"/>
    <x v="6"/>
    <x v="9"/>
    <n v="49.1"/>
    <n v="245.5"/>
    <x v="48"/>
    <d v="2025-02-20T00:00:00"/>
    <x v="2"/>
    <x v="1"/>
    <x v="2"/>
    <s v="California"/>
    <s v="San Bernardino County"/>
    <x v="1"/>
    <x v="7"/>
    <s v="February"/>
    <x v="2"/>
  </r>
  <r>
    <s v="TX501229"/>
    <x v="3"/>
    <x v="1"/>
    <n v="30.5"/>
    <n v="61"/>
    <x v="48"/>
    <d v="2025-02-21T00:00:00"/>
    <x v="1"/>
    <x v="0"/>
    <x v="2"/>
    <s v="California"/>
    <s v="San Diego County"/>
    <x v="2"/>
    <x v="7"/>
    <s v="February"/>
    <x v="1"/>
  </r>
  <r>
    <s v="TX501230"/>
    <x v="2"/>
    <x v="1"/>
    <n v="154.80000000000001"/>
    <n v="309.60000000000002"/>
    <x v="48"/>
    <d v="2025-02-21T00:00:00"/>
    <x v="2"/>
    <x v="1"/>
    <x v="4"/>
    <s v="California"/>
    <s v="San Diego County"/>
    <x v="2"/>
    <x v="7"/>
    <s v="February"/>
    <x v="2"/>
  </r>
  <r>
    <s v="TX501231"/>
    <x v="6"/>
    <x v="0"/>
    <n v="45"/>
    <n v="45"/>
    <x v="48"/>
    <d v="2025-02-22T00:00:00"/>
    <x v="1"/>
    <x v="3"/>
    <x v="1"/>
    <s v="California"/>
    <s v="San Diego County"/>
    <x v="5"/>
    <x v="7"/>
    <s v="February"/>
    <x v="1"/>
  </r>
  <r>
    <s v="TX501232"/>
    <x v="0"/>
    <x v="3"/>
    <n v="15.3"/>
    <n v="107.10000000000001"/>
    <x v="48"/>
    <d v="2025-02-19T00:00:00"/>
    <x v="1"/>
    <x v="0"/>
    <x v="2"/>
    <s v="California"/>
    <s v="San Diego County"/>
    <x v="3"/>
    <x v="7"/>
    <s v="February"/>
    <x v="1"/>
  </r>
  <r>
    <s v="TX501233"/>
    <x v="2"/>
    <x v="5"/>
    <n v="88.6"/>
    <n v="974.59999999999991"/>
    <x v="48"/>
    <d v="2025-02-21T00:00:00"/>
    <x v="2"/>
    <x v="0"/>
    <x v="4"/>
    <s v="California"/>
    <s v="San Francisco"/>
    <x v="2"/>
    <x v="7"/>
    <s v="February"/>
    <x v="2"/>
  </r>
  <r>
    <s v="TX501234"/>
    <x v="9"/>
    <x v="1"/>
    <n v="49.7"/>
    <n v="99.4"/>
    <x v="48"/>
    <d v="2025-02-20T00:00:00"/>
    <x v="3"/>
    <x v="4"/>
    <x v="0"/>
    <s v="California"/>
    <s v="Santa Barbara County"/>
    <x v="1"/>
    <x v="7"/>
    <s v="February"/>
    <x v="3"/>
  </r>
  <r>
    <s v="TX501235"/>
    <x v="10"/>
    <x v="0"/>
    <n v="29"/>
    <n v="29"/>
    <x v="48"/>
    <d v="2025-02-19T00:00:00"/>
    <x v="1"/>
    <x v="0"/>
    <x v="0"/>
    <s v="California"/>
    <s v="Santa Clara County"/>
    <x v="3"/>
    <x v="7"/>
    <s v="February"/>
    <x v="1"/>
  </r>
  <r>
    <s v="TX501236"/>
    <x v="1"/>
    <x v="0"/>
    <n v="60.7"/>
    <n v="60.7"/>
    <x v="48"/>
    <d v="2025-02-19T00:00:00"/>
    <x v="3"/>
    <x v="0"/>
    <x v="1"/>
    <s v="California"/>
    <s v="Santa Clara County"/>
    <x v="3"/>
    <x v="7"/>
    <s v="February"/>
    <x v="3"/>
  </r>
  <r>
    <s v="TX501237"/>
    <x v="17"/>
    <x v="12"/>
    <n v="87.4"/>
    <n v="349.6"/>
    <x v="48"/>
    <d v="2025-02-20T00:00:00"/>
    <x v="0"/>
    <x v="0"/>
    <x v="0"/>
    <s v="California"/>
    <s v="Santa Clara County"/>
    <x v="1"/>
    <x v="7"/>
    <s v="February"/>
    <x v="0"/>
  </r>
  <r>
    <s v="TX501238"/>
    <x v="4"/>
    <x v="3"/>
    <n v="44.5"/>
    <n v="311.5"/>
    <x v="48"/>
    <d v="2025-02-22T00:00:00"/>
    <x v="2"/>
    <x v="2"/>
    <x v="2"/>
    <s v="California"/>
    <s v="Stanislaus County"/>
    <x v="5"/>
    <x v="7"/>
    <s v="February"/>
    <x v="2"/>
  </r>
  <r>
    <s v="TX501239"/>
    <x v="2"/>
    <x v="0"/>
    <n v="141"/>
    <n v="141"/>
    <x v="48"/>
    <d v="2025-02-19T00:00:00"/>
    <x v="1"/>
    <x v="4"/>
    <x v="2"/>
    <s v="California"/>
    <s v="Stanislaus County"/>
    <x v="3"/>
    <x v="7"/>
    <s v="February"/>
    <x v="1"/>
  </r>
  <r>
    <s v="TX501240"/>
    <x v="0"/>
    <x v="2"/>
    <n v="16.7"/>
    <n v="50.099999999999994"/>
    <x v="48"/>
    <d v="2025-02-26T00:00:00"/>
    <x v="2"/>
    <x v="0"/>
    <x v="0"/>
    <s v="California"/>
    <s v="Tulare County"/>
    <x v="9"/>
    <x v="7"/>
    <s v="February"/>
    <x v="2"/>
  </r>
  <r>
    <s v="TX501241"/>
    <x v="1"/>
    <x v="1"/>
    <n v="77.5"/>
    <n v="155"/>
    <x v="48"/>
    <d v="2025-02-19T00:00:00"/>
    <x v="0"/>
    <x v="2"/>
    <x v="2"/>
    <s v="California"/>
    <s v="Ventura County"/>
    <x v="3"/>
    <x v="7"/>
    <s v="February"/>
    <x v="0"/>
  </r>
  <r>
    <s v="TX501242"/>
    <x v="2"/>
    <x v="1"/>
    <n v="163"/>
    <n v="326"/>
    <x v="48"/>
    <d v="2025-02-24T00:00:00"/>
    <x v="2"/>
    <x v="4"/>
    <x v="0"/>
    <s v="California"/>
    <s v="Alameda County"/>
    <x v="4"/>
    <x v="7"/>
    <s v="February"/>
    <x v="2"/>
  </r>
  <r>
    <s v="TX501243"/>
    <x v="4"/>
    <x v="11"/>
    <n v="21.4"/>
    <n v="192.6"/>
    <x v="48"/>
    <d v="2025-02-21T00:00:00"/>
    <x v="2"/>
    <x v="0"/>
    <x v="0"/>
    <s v="California"/>
    <s v="Butte County"/>
    <x v="2"/>
    <x v="7"/>
    <s v="February"/>
    <x v="2"/>
  </r>
  <r>
    <s v="TX501244"/>
    <x v="10"/>
    <x v="5"/>
    <n v="31"/>
    <n v="341"/>
    <x v="48"/>
    <d v="2025-02-20T00:00:00"/>
    <x v="2"/>
    <x v="3"/>
    <x v="2"/>
    <s v="California"/>
    <s v="Contra Costa County"/>
    <x v="1"/>
    <x v="7"/>
    <s v="February"/>
    <x v="2"/>
  </r>
  <r>
    <s v="TX501245"/>
    <x v="7"/>
    <x v="1"/>
    <n v="34.299999999999997"/>
    <n v="68.599999999999994"/>
    <x v="48"/>
    <d v="2025-02-20T00:00:00"/>
    <x v="2"/>
    <x v="0"/>
    <x v="3"/>
    <s v="California"/>
    <s v="Contra Costa County"/>
    <x v="1"/>
    <x v="7"/>
    <s v="February"/>
    <x v="2"/>
  </r>
  <r>
    <s v="TX501246"/>
    <x v="17"/>
    <x v="9"/>
    <n v="48.2"/>
    <n v="241"/>
    <x v="48"/>
    <d v="2025-02-19T00:00:00"/>
    <x v="1"/>
    <x v="1"/>
    <x v="1"/>
    <s v="California"/>
    <s v="Fresno County"/>
    <x v="3"/>
    <x v="7"/>
    <s v="February"/>
    <x v="1"/>
  </r>
  <r>
    <s v="TX501247"/>
    <x v="10"/>
    <x v="0"/>
    <n v="51.4"/>
    <n v="51.4"/>
    <x v="48"/>
    <d v="2025-02-19T00:00:00"/>
    <x v="1"/>
    <x v="0"/>
    <x v="0"/>
    <s v="California"/>
    <s v="Los Angeles County"/>
    <x v="3"/>
    <x v="7"/>
    <s v="February"/>
    <x v="1"/>
  </r>
  <r>
    <s v="TX501248"/>
    <x v="2"/>
    <x v="9"/>
    <n v="117.2"/>
    <n v="586"/>
    <x v="48"/>
    <d v="2025-02-21T00:00:00"/>
    <x v="2"/>
    <x v="4"/>
    <x v="4"/>
    <s v="California"/>
    <s v="Los Angeles County"/>
    <x v="2"/>
    <x v="7"/>
    <s v="February"/>
    <x v="2"/>
  </r>
  <r>
    <s v="TX501249"/>
    <x v="8"/>
    <x v="0"/>
    <n v="38.1"/>
    <n v="38.1"/>
    <x v="48"/>
    <d v="2025-02-18T00:00:00"/>
    <x v="1"/>
    <x v="4"/>
    <x v="1"/>
    <s v="California"/>
    <s v="Los Angeles County"/>
    <x v="7"/>
    <x v="7"/>
    <s v="February"/>
    <x v="1"/>
  </r>
  <r>
    <s v="TX501250"/>
    <x v="0"/>
    <x v="1"/>
    <n v="44.1"/>
    <n v="88.2"/>
    <x v="48"/>
    <d v="2025-02-20T00:00:00"/>
    <x v="2"/>
    <x v="2"/>
    <x v="0"/>
    <s v="California"/>
    <s v="Los Angeles County"/>
    <x v="1"/>
    <x v="7"/>
    <s v="February"/>
    <x v="2"/>
  </r>
  <r>
    <s v="TX501251"/>
    <x v="15"/>
    <x v="12"/>
    <n v="80.5"/>
    <n v="322"/>
    <x v="48"/>
    <d v="2025-02-23T00:00:00"/>
    <x v="1"/>
    <x v="0"/>
    <x v="0"/>
    <s v="California"/>
    <s v="Los Angeles County"/>
    <x v="0"/>
    <x v="7"/>
    <s v="February"/>
    <x v="1"/>
  </r>
  <r>
    <s v="TX501252"/>
    <x v="18"/>
    <x v="12"/>
    <n v="33.6"/>
    <n v="134.4"/>
    <x v="48"/>
    <d v="2025-02-23T00:00:00"/>
    <x v="0"/>
    <x v="0"/>
    <x v="2"/>
    <s v="California"/>
    <s v="Los Angeles County"/>
    <x v="0"/>
    <x v="7"/>
    <s v="February"/>
    <x v="0"/>
  </r>
  <r>
    <s v="TX501253"/>
    <x v="9"/>
    <x v="11"/>
    <n v="41.8"/>
    <n v="376.2"/>
    <x v="48"/>
    <d v="2025-02-19T00:00:00"/>
    <x v="2"/>
    <x v="0"/>
    <x v="1"/>
    <s v="California"/>
    <s v="Los Angeles County"/>
    <x v="3"/>
    <x v="7"/>
    <s v="February"/>
    <x v="2"/>
  </r>
  <r>
    <s v="TX501254"/>
    <x v="1"/>
    <x v="1"/>
    <n v="106.2"/>
    <n v="212.4"/>
    <x v="48"/>
    <d v="2025-02-18T00:00:00"/>
    <x v="2"/>
    <x v="4"/>
    <x v="2"/>
    <s v="California"/>
    <s v="Los Angeles County"/>
    <x v="7"/>
    <x v="7"/>
    <s v="February"/>
    <x v="2"/>
  </r>
  <r>
    <s v="TX501255"/>
    <x v="1"/>
    <x v="1"/>
    <n v="52.6"/>
    <n v="105.2"/>
    <x v="48"/>
    <d v="2025-02-19T00:00:00"/>
    <x v="2"/>
    <x v="0"/>
    <x v="2"/>
    <s v="California"/>
    <s v="Placer County"/>
    <x v="3"/>
    <x v="7"/>
    <s v="February"/>
    <x v="2"/>
  </r>
  <r>
    <s v="TX501256"/>
    <x v="11"/>
    <x v="3"/>
    <n v="68.5"/>
    <n v="479.5"/>
    <x v="48"/>
    <d v="2025-02-19T00:00:00"/>
    <x v="2"/>
    <x v="1"/>
    <x v="0"/>
    <s v="California"/>
    <s v="Placer County"/>
    <x v="3"/>
    <x v="7"/>
    <s v="February"/>
    <x v="2"/>
  </r>
  <r>
    <s v="TX501257"/>
    <x v="1"/>
    <x v="1"/>
    <n v="55.6"/>
    <n v="111.2"/>
    <x v="48"/>
    <d v="2025-02-20T00:00:00"/>
    <x v="1"/>
    <x v="1"/>
    <x v="2"/>
    <s v="California"/>
    <s v="Sacramento County"/>
    <x v="1"/>
    <x v="7"/>
    <s v="February"/>
    <x v="1"/>
  </r>
  <r>
    <s v="TX501258"/>
    <x v="2"/>
    <x v="2"/>
    <n v="134.9"/>
    <n v="404.70000000000005"/>
    <x v="48"/>
    <d v="2025-02-19T00:00:00"/>
    <x v="1"/>
    <x v="1"/>
    <x v="1"/>
    <s v="California"/>
    <s v="Sacramento County"/>
    <x v="3"/>
    <x v="7"/>
    <s v="February"/>
    <x v="1"/>
  </r>
  <r>
    <s v="TX501259"/>
    <x v="10"/>
    <x v="9"/>
    <n v="42.6"/>
    <n v="213"/>
    <x v="48"/>
    <d v="2025-02-19T00:00:00"/>
    <x v="1"/>
    <x v="0"/>
    <x v="0"/>
    <s v="California"/>
    <s v="Sacramento County"/>
    <x v="3"/>
    <x v="7"/>
    <s v="February"/>
    <x v="1"/>
  </r>
  <r>
    <s v="TX501260"/>
    <x v="7"/>
    <x v="9"/>
    <n v="60.6"/>
    <n v="303"/>
    <x v="48"/>
    <d v="2025-02-20T00:00:00"/>
    <x v="1"/>
    <x v="4"/>
    <x v="0"/>
    <s v="California"/>
    <s v="Sacramento County"/>
    <x v="1"/>
    <x v="7"/>
    <s v="February"/>
    <x v="1"/>
  </r>
  <r>
    <s v="TX501261"/>
    <x v="8"/>
    <x v="1"/>
    <n v="43.5"/>
    <n v="87"/>
    <x v="48"/>
    <d v="2025-02-19T00:00:00"/>
    <x v="1"/>
    <x v="4"/>
    <x v="0"/>
    <s v="California"/>
    <s v="San Bernardino County"/>
    <x v="3"/>
    <x v="7"/>
    <s v="February"/>
    <x v="1"/>
  </r>
  <r>
    <s v="TX501262"/>
    <x v="2"/>
    <x v="1"/>
    <n v="187.1"/>
    <n v="374.2"/>
    <x v="48"/>
    <d v="2025-02-19T00:00:00"/>
    <x v="1"/>
    <x v="1"/>
    <x v="2"/>
    <s v="California"/>
    <s v="San Diego County"/>
    <x v="3"/>
    <x v="7"/>
    <s v="February"/>
    <x v="1"/>
  </r>
  <r>
    <s v="TX501263"/>
    <x v="9"/>
    <x v="2"/>
    <n v="32"/>
    <n v="96"/>
    <x v="48"/>
    <d v="2025-02-20T00:00:00"/>
    <x v="1"/>
    <x v="0"/>
    <x v="0"/>
    <s v="California"/>
    <s v="San Diego County"/>
    <x v="1"/>
    <x v="7"/>
    <s v="February"/>
    <x v="1"/>
  </r>
  <r>
    <s v="TX501264"/>
    <x v="9"/>
    <x v="1"/>
    <n v="110.8"/>
    <n v="221.6"/>
    <x v="48"/>
    <d v="2025-02-18T00:00:00"/>
    <x v="1"/>
    <x v="0"/>
    <x v="2"/>
    <s v="California"/>
    <s v="San Diego County"/>
    <x v="7"/>
    <x v="7"/>
    <s v="February"/>
    <x v="1"/>
  </r>
  <r>
    <s v="TX501265"/>
    <x v="10"/>
    <x v="15"/>
    <n v="36.1"/>
    <n v="469.3"/>
    <x v="48"/>
    <d v="2025-02-21T00:00:00"/>
    <x v="2"/>
    <x v="0"/>
    <x v="1"/>
    <s v="California"/>
    <s v="San Diego County"/>
    <x v="2"/>
    <x v="7"/>
    <s v="February"/>
    <x v="2"/>
  </r>
  <r>
    <s v="TX501266"/>
    <x v="0"/>
    <x v="0"/>
    <n v="24.1"/>
    <n v="24.1"/>
    <x v="48"/>
    <d v="2025-02-20T00:00:00"/>
    <x v="2"/>
    <x v="4"/>
    <x v="2"/>
    <s v="California"/>
    <s v="San Diego County"/>
    <x v="1"/>
    <x v="7"/>
    <s v="February"/>
    <x v="2"/>
  </r>
  <r>
    <s v="TX501267"/>
    <x v="19"/>
    <x v="2"/>
    <n v="30.5"/>
    <n v="91.5"/>
    <x v="48"/>
    <d v="2025-02-20T00:00:00"/>
    <x v="1"/>
    <x v="1"/>
    <x v="0"/>
    <s v="California"/>
    <s v="San Diego County"/>
    <x v="1"/>
    <x v="7"/>
    <s v="February"/>
    <x v="1"/>
  </r>
  <r>
    <s v="TX501268"/>
    <x v="18"/>
    <x v="13"/>
    <n v="68.3"/>
    <n v="409.79999999999995"/>
    <x v="48"/>
    <d v="2025-02-21T00:00:00"/>
    <x v="1"/>
    <x v="0"/>
    <x v="0"/>
    <s v="California"/>
    <s v="San Diego County"/>
    <x v="2"/>
    <x v="7"/>
    <s v="February"/>
    <x v="1"/>
  </r>
  <r>
    <s v="TX501269"/>
    <x v="7"/>
    <x v="2"/>
    <n v="43.3"/>
    <n v="129.89999999999998"/>
    <x v="48"/>
    <d v="2025-02-22T00:00:00"/>
    <x v="2"/>
    <x v="0"/>
    <x v="0"/>
    <s v="California"/>
    <s v="San Francisco"/>
    <x v="5"/>
    <x v="7"/>
    <s v="February"/>
    <x v="2"/>
  </r>
  <r>
    <s v="TX501270"/>
    <x v="3"/>
    <x v="0"/>
    <n v="101.7"/>
    <n v="101.7"/>
    <x v="48"/>
    <d v="2025-02-21T00:00:00"/>
    <x v="2"/>
    <x v="0"/>
    <x v="1"/>
    <s v="California"/>
    <s v="San Francisco"/>
    <x v="2"/>
    <x v="7"/>
    <s v="February"/>
    <x v="2"/>
  </r>
  <r>
    <s v="TX501271"/>
    <x v="11"/>
    <x v="1"/>
    <n v="54.2"/>
    <n v="108.4"/>
    <x v="48"/>
    <d v="2025-02-19T00:00:00"/>
    <x v="2"/>
    <x v="0"/>
    <x v="1"/>
    <s v="California"/>
    <s v="San Francisco"/>
    <x v="3"/>
    <x v="7"/>
    <s v="February"/>
    <x v="2"/>
  </r>
  <r>
    <s v="TX501272"/>
    <x v="16"/>
    <x v="1"/>
    <n v="51"/>
    <n v="102"/>
    <x v="48"/>
    <d v="2025-02-18T00:00:00"/>
    <x v="1"/>
    <x v="1"/>
    <x v="0"/>
    <s v="California"/>
    <s v="San Joaquin County"/>
    <x v="7"/>
    <x v="7"/>
    <s v="February"/>
    <x v="1"/>
  </r>
  <r>
    <s v="TX501273"/>
    <x v="4"/>
    <x v="1"/>
    <n v="23.1"/>
    <n v="46.2"/>
    <x v="48"/>
    <d v="2025-02-21T00:00:00"/>
    <x v="1"/>
    <x v="1"/>
    <x v="0"/>
    <s v="California"/>
    <s v="Santa Barbara County"/>
    <x v="2"/>
    <x v="7"/>
    <s v="February"/>
    <x v="1"/>
  </r>
  <r>
    <s v="TX501274"/>
    <x v="12"/>
    <x v="13"/>
    <n v="60.1"/>
    <n v="360.6"/>
    <x v="48"/>
    <d v="2025-02-18T00:00:00"/>
    <x v="2"/>
    <x v="3"/>
    <x v="0"/>
    <s v="California"/>
    <s v="Santa Clara County"/>
    <x v="7"/>
    <x v="7"/>
    <s v="February"/>
    <x v="2"/>
  </r>
  <r>
    <s v="TX501275"/>
    <x v="2"/>
    <x v="3"/>
    <n v="87.5"/>
    <n v="612.5"/>
    <x v="48"/>
    <d v="2025-02-20T00:00:00"/>
    <x v="2"/>
    <x v="0"/>
    <x v="1"/>
    <s v="California"/>
    <s v="Santa Clara County"/>
    <x v="1"/>
    <x v="7"/>
    <s v="February"/>
    <x v="2"/>
  </r>
  <r>
    <s v="TX501276"/>
    <x v="1"/>
    <x v="2"/>
    <n v="51"/>
    <n v="153"/>
    <x v="48"/>
    <d v="2025-02-19T00:00:00"/>
    <x v="2"/>
    <x v="1"/>
    <x v="0"/>
    <s v="California"/>
    <s v="Santa Clara County"/>
    <x v="3"/>
    <x v="7"/>
    <s v="February"/>
    <x v="2"/>
  </r>
  <r>
    <s v="TX501277"/>
    <x v="8"/>
    <x v="12"/>
    <n v="19.2"/>
    <n v="76.8"/>
    <x v="48"/>
    <d v="2025-02-20T00:00:00"/>
    <x v="2"/>
    <x v="0"/>
    <x v="0"/>
    <s v="California"/>
    <s v="Santa Clara County"/>
    <x v="1"/>
    <x v="7"/>
    <s v="February"/>
    <x v="2"/>
  </r>
  <r>
    <s v="TX501278"/>
    <x v="5"/>
    <x v="8"/>
    <n v="26.5"/>
    <n v="212"/>
    <x v="48"/>
    <d v="2025-02-19T00:00:00"/>
    <x v="0"/>
    <x v="3"/>
    <x v="2"/>
    <s v="California"/>
    <s v="Santa Clara County"/>
    <x v="3"/>
    <x v="7"/>
    <s v="February"/>
    <x v="0"/>
  </r>
  <r>
    <s v="TX501279"/>
    <x v="2"/>
    <x v="1"/>
    <n v="220.3"/>
    <n v="440.6"/>
    <x v="48"/>
    <d v="2025-02-19T00:00:00"/>
    <x v="2"/>
    <x v="1"/>
    <x v="4"/>
    <s v="California"/>
    <s v="Shasta County"/>
    <x v="3"/>
    <x v="7"/>
    <s v="February"/>
    <x v="2"/>
  </r>
  <r>
    <s v="TX501280"/>
    <x v="8"/>
    <x v="2"/>
    <n v="45.7"/>
    <n v="137.10000000000002"/>
    <x v="48"/>
    <d v="2025-02-19T00:00:00"/>
    <x v="2"/>
    <x v="4"/>
    <x v="0"/>
    <s v="California"/>
    <s v="Siskiyou County"/>
    <x v="3"/>
    <x v="7"/>
    <s v="February"/>
    <x v="2"/>
  </r>
  <r>
    <s v="TX501281"/>
    <x v="5"/>
    <x v="9"/>
    <n v="47.1"/>
    <n v="235.5"/>
    <x v="48"/>
    <d v="2025-02-22T00:00:00"/>
    <x v="2"/>
    <x v="3"/>
    <x v="0"/>
    <s v="California"/>
    <s v="Ventura County"/>
    <x v="5"/>
    <x v="7"/>
    <s v="February"/>
    <x v="2"/>
  </r>
  <r>
    <s v="TX501282"/>
    <x v="1"/>
    <x v="9"/>
    <n v="81.7"/>
    <n v="408.5"/>
    <x v="48"/>
    <d v="2025-02-19T00:00:00"/>
    <x v="2"/>
    <x v="0"/>
    <x v="2"/>
    <s v="California"/>
    <s v="Alameda County"/>
    <x v="3"/>
    <x v="7"/>
    <s v="February"/>
    <x v="2"/>
  </r>
  <r>
    <s v="TX501283"/>
    <x v="6"/>
    <x v="7"/>
    <n v="97.8"/>
    <n v="978"/>
    <x v="48"/>
    <d v="2025-02-18T00:00:00"/>
    <x v="1"/>
    <x v="1"/>
    <x v="1"/>
    <s v="California"/>
    <s v="Alameda County"/>
    <x v="7"/>
    <x v="7"/>
    <s v="February"/>
    <x v="1"/>
  </r>
  <r>
    <s v="TX501284"/>
    <x v="6"/>
    <x v="2"/>
    <n v="42.4"/>
    <n v="127.19999999999999"/>
    <x v="48"/>
    <d v="2025-02-19T00:00:00"/>
    <x v="2"/>
    <x v="0"/>
    <x v="2"/>
    <s v="California"/>
    <s v="Colusa County"/>
    <x v="3"/>
    <x v="7"/>
    <s v="February"/>
    <x v="2"/>
  </r>
  <r>
    <s v="TX501285"/>
    <x v="2"/>
    <x v="7"/>
    <n v="74.5"/>
    <n v="745"/>
    <x v="48"/>
    <d v="2025-02-19T00:00:00"/>
    <x v="1"/>
    <x v="2"/>
    <x v="1"/>
    <s v="California"/>
    <s v="Contra Costa County"/>
    <x v="3"/>
    <x v="7"/>
    <s v="February"/>
    <x v="1"/>
  </r>
  <r>
    <s v="TX501286"/>
    <x v="17"/>
    <x v="13"/>
    <n v="47.4"/>
    <n v="284.39999999999998"/>
    <x v="48"/>
    <d v="2025-02-19T00:00:00"/>
    <x v="1"/>
    <x v="1"/>
    <x v="0"/>
    <s v="California"/>
    <s v="Contra Costa County"/>
    <x v="3"/>
    <x v="7"/>
    <s v="February"/>
    <x v="1"/>
  </r>
  <r>
    <s v="TX501287"/>
    <x v="14"/>
    <x v="2"/>
    <n v="17.3"/>
    <n v="51.900000000000006"/>
    <x v="49"/>
    <d v="2025-02-22T00:00:00"/>
    <x v="1"/>
    <x v="2"/>
    <x v="2"/>
    <s v="California"/>
    <s v="Contra Costa County"/>
    <x v="2"/>
    <x v="7"/>
    <s v="February"/>
    <x v="1"/>
  </r>
  <r>
    <s v="TX501288"/>
    <x v="12"/>
    <x v="12"/>
    <n v="77.900000000000006"/>
    <n v="311.60000000000002"/>
    <x v="49"/>
    <d v="2025-02-20T00:00:00"/>
    <x v="1"/>
    <x v="1"/>
    <x v="0"/>
    <s v="California"/>
    <s v="Fresno County"/>
    <x v="3"/>
    <x v="7"/>
    <s v="February"/>
    <x v="1"/>
  </r>
  <r>
    <s v="TX501289"/>
    <x v="8"/>
    <x v="0"/>
    <n v="29.1"/>
    <n v="29.1"/>
    <x v="49"/>
    <d v="2025-02-22T00:00:00"/>
    <x v="1"/>
    <x v="0"/>
    <x v="2"/>
    <s v="California"/>
    <s v="Lake County"/>
    <x v="2"/>
    <x v="7"/>
    <s v="February"/>
    <x v="1"/>
  </r>
  <r>
    <s v="TX501290"/>
    <x v="8"/>
    <x v="0"/>
    <n v="49"/>
    <n v="49"/>
    <x v="49"/>
    <d v="2025-02-20T00:00:00"/>
    <x v="1"/>
    <x v="1"/>
    <x v="0"/>
    <s v="California"/>
    <s v="Los Angeles County"/>
    <x v="3"/>
    <x v="7"/>
    <s v="February"/>
    <x v="1"/>
  </r>
  <r>
    <s v="TX501291"/>
    <x v="8"/>
    <x v="13"/>
    <n v="21.1"/>
    <n v="126.60000000000001"/>
    <x v="49"/>
    <d v="2025-02-26T00:00:00"/>
    <x v="1"/>
    <x v="0"/>
    <x v="2"/>
    <s v="California"/>
    <s v="Los Angeles County"/>
    <x v="6"/>
    <x v="7"/>
    <s v="February"/>
    <x v="1"/>
  </r>
  <r>
    <s v="TX501292"/>
    <x v="4"/>
    <x v="10"/>
    <n v="36.9"/>
    <n v="701.1"/>
    <x v="49"/>
    <d v="2025-02-19T00:00:00"/>
    <x v="2"/>
    <x v="0"/>
    <x v="0"/>
    <s v="California"/>
    <s v="Los Angeles County"/>
    <x v="7"/>
    <x v="7"/>
    <s v="February"/>
    <x v="2"/>
  </r>
  <r>
    <s v="TX501293"/>
    <x v="1"/>
    <x v="7"/>
    <n v="92.6"/>
    <n v="926"/>
    <x v="49"/>
    <d v="2025-02-24T00:00:00"/>
    <x v="1"/>
    <x v="4"/>
    <x v="2"/>
    <s v="California"/>
    <s v="Los Angeles County"/>
    <x v="0"/>
    <x v="7"/>
    <s v="February"/>
    <x v="1"/>
  </r>
  <r>
    <s v="TX501294"/>
    <x v="10"/>
    <x v="1"/>
    <n v="38"/>
    <n v="76"/>
    <x v="49"/>
    <d v="2025-02-20T00:00:00"/>
    <x v="1"/>
    <x v="1"/>
    <x v="1"/>
    <s v="California"/>
    <s v="Los Angeles County"/>
    <x v="3"/>
    <x v="7"/>
    <s v="February"/>
    <x v="1"/>
  </r>
  <r>
    <s v="TX501295"/>
    <x v="5"/>
    <x v="2"/>
    <n v="54.8"/>
    <n v="164.39999999999998"/>
    <x v="49"/>
    <d v="2025-02-23T00:00:00"/>
    <x v="0"/>
    <x v="0"/>
    <x v="1"/>
    <s v="California"/>
    <s v="Los Angeles County"/>
    <x v="5"/>
    <x v="7"/>
    <s v="February"/>
    <x v="0"/>
  </r>
  <r>
    <s v="TX501296"/>
    <x v="10"/>
    <x v="4"/>
    <n v="56.8"/>
    <n v="681.59999999999991"/>
    <x v="49"/>
    <d v="2025-02-21T00:00:00"/>
    <x v="1"/>
    <x v="1"/>
    <x v="0"/>
    <s v="California"/>
    <s v="Los Angeles County"/>
    <x v="1"/>
    <x v="7"/>
    <s v="February"/>
    <x v="1"/>
  </r>
  <r>
    <s v="TX501297"/>
    <x v="11"/>
    <x v="40"/>
    <n v="47.2"/>
    <n v="1557.6000000000001"/>
    <x v="49"/>
    <d v="2025-02-22T00:00:00"/>
    <x v="2"/>
    <x v="1"/>
    <x v="0"/>
    <s v="California"/>
    <s v="Los Angeles County"/>
    <x v="2"/>
    <x v="7"/>
    <s v="February"/>
    <x v="2"/>
  </r>
  <r>
    <s v="TX501298"/>
    <x v="7"/>
    <x v="13"/>
    <n v="45.1"/>
    <n v="270.60000000000002"/>
    <x v="49"/>
    <d v="2025-02-20T00:00:00"/>
    <x v="2"/>
    <x v="2"/>
    <x v="0"/>
    <s v="California"/>
    <s v="Marin County"/>
    <x v="3"/>
    <x v="7"/>
    <s v="February"/>
    <x v="2"/>
  </r>
  <r>
    <s v="TX501299"/>
    <x v="4"/>
    <x v="4"/>
    <n v="25.2"/>
    <n v="302.39999999999998"/>
    <x v="49"/>
    <d v="2025-02-24T00:00:00"/>
    <x v="2"/>
    <x v="2"/>
    <x v="0"/>
    <s v="California"/>
    <s v="Napa County"/>
    <x v="0"/>
    <x v="7"/>
    <s v="February"/>
    <x v="2"/>
  </r>
  <r>
    <s v="TX501300"/>
    <x v="8"/>
    <x v="0"/>
    <n v="22"/>
    <n v="22"/>
    <x v="49"/>
    <d v="2025-02-20T00:00:00"/>
    <x v="2"/>
    <x v="0"/>
    <x v="0"/>
    <s v="California"/>
    <s v="Placer County"/>
    <x v="3"/>
    <x v="7"/>
    <s v="February"/>
    <x v="2"/>
  </r>
  <r>
    <s v="TX501301"/>
    <x v="6"/>
    <x v="1"/>
    <n v="42.2"/>
    <n v="84.4"/>
    <x v="49"/>
    <d v="2025-02-20T00:00:00"/>
    <x v="2"/>
    <x v="1"/>
    <x v="1"/>
    <s v="California"/>
    <s v="Riverside County"/>
    <x v="3"/>
    <x v="7"/>
    <s v="February"/>
    <x v="2"/>
  </r>
  <r>
    <s v="TX501302"/>
    <x v="13"/>
    <x v="2"/>
    <n v="20.5"/>
    <n v="61.5"/>
    <x v="49"/>
    <d v="2025-02-20T00:00:00"/>
    <x v="1"/>
    <x v="0"/>
    <x v="1"/>
    <s v="California"/>
    <s v="Sacramento County"/>
    <x v="3"/>
    <x v="7"/>
    <s v="February"/>
    <x v="1"/>
  </r>
  <r>
    <s v="TX501303"/>
    <x v="2"/>
    <x v="0"/>
    <n v="190.4"/>
    <n v="190.4"/>
    <x v="49"/>
    <d v="2025-02-24T00:00:00"/>
    <x v="1"/>
    <x v="1"/>
    <x v="4"/>
    <s v="California"/>
    <s v="Sacramento County"/>
    <x v="0"/>
    <x v="7"/>
    <s v="February"/>
    <x v="1"/>
  </r>
  <r>
    <s v="TX501304"/>
    <x v="2"/>
    <x v="0"/>
    <n v="121.9"/>
    <n v="121.9"/>
    <x v="49"/>
    <d v="2025-02-21T00:00:00"/>
    <x v="2"/>
    <x v="1"/>
    <x v="2"/>
    <s v="California"/>
    <s v="Sacramento County"/>
    <x v="1"/>
    <x v="7"/>
    <s v="February"/>
    <x v="2"/>
  </r>
  <r>
    <s v="TX501305"/>
    <x v="2"/>
    <x v="13"/>
    <n v="149.19999999999999"/>
    <n v="895.19999999999993"/>
    <x v="49"/>
    <d v="2025-02-20T00:00:00"/>
    <x v="2"/>
    <x v="2"/>
    <x v="2"/>
    <s v="California"/>
    <s v="San Bernardino County"/>
    <x v="3"/>
    <x v="7"/>
    <s v="February"/>
    <x v="2"/>
  </r>
  <r>
    <s v="TX501306"/>
    <x v="2"/>
    <x v="0"/>
    <n v="54.1"/>
    <n v="54.1"/>
    <x v="49"/>
    <d v="2025-02-28T00:00:00"/>
    <x v="2"/>
    <x v="2"/>
    <x v="2"/>
    <s v="California"/>
    <s v="San Bernardino County"/>
    <x v="8"/>
    <x v="7"/>
    <s v="February"/>
    <x v="2"/>
  </r>
  <r>
    <s v="TX501307"/>
    <x v="5"/>
    <x v="1"/>
    <n v="27.4"/>
    <n v="54.8"/>
    <x v="49"/>
    <d v="2025-02-21T00:00:00"/>
    <x v="1"/>
    <x v="1"/>
    <x v="0"/>
    <s v="California"/>
    <s v="San Diego County"/>
    <x v="1"/>
    <x v="7"/>
    <s v="February"/>
    <x v="1"/>
  </r>
  <r>
    <s v="TX501308"/>
    <x v="0"/>
    <x v="15"/>
    <n v="30.4"/>
    <n v="395.2"/>
    <x v="49"/>
    <d v="2025-02-20T00:00:00"/>
    <x v="2"/>
    <x v="0"/>
    <x v="2"/>
    <s v="California"/>
    <s v="San Diego County"/>
    <x v="3"/>
    <x v="7"/>
    <s v="February"/>
    <x v="2"/>
  </r>
  <r>
    <s v="TX501309"/>
    <x v="12"/>
    <x v="2"/>
    <n v="46.2"/>
    <n v="138.60000000000002"/>
    <x v="49"/>
    <d v="2025-02-21T00:00:00"/>
    <x v="1"/>
    <x v="2"/>
    <x v="1"/>
    <s v="California"/>
    <s v="San Francisco"/>
    <x v="1"/>
    <x v="7"/>
    <s v="February"/>
    <x v="1"/>
  </r>
  <r>
    <s v="TX501310"/>
    <x v="7"/>
    <x v="8"/>
    <n v="78.599999999999994"/>
    <n v="628.79999999999995"/>
    <x v="49"/>
    <d v="2025-02-23T00:00:00"/>
    <x v="1"/>
    <x v="3"/>
    <x v="0"/>
    <s v="California"/>
    <s v="San Francisco"/>
    <x v="5"/>
    <x v="7"/>
    <s v="February"/>
    <x v="1"/>
  </r>
  <r>
    <s v="TX501311"/>
    <x v="17"/>
    <x v="7"/>
    <n v="25.9"/>
    <n v="259"/>
    <x v="49"/>
    <d v="2025-02-25T00:00:00"/>
    <x v="1"/>
    <x v="4"/>
    <x v="0"/>
    <s v="California"/>
    <s v="San Mateo County"/>
    <x v="4"/>
    <x v="7"/>
    <s v="February"/>
    <x v="1"/>
  </r>
  <r>
    <s v="TX501312"/>
    <x v="6"/>
    <x v="0"/>
    <n v="134.80000000000001"/>
    <n v="134.80000000000001"/>
    <x v="49"/>
    <d v="2025-02-21T00:00:00"/>
    <x v="1"/>
    <x v="2"/>
    <x v="2"/>
    <s v="California"/>
    <s v="San Mateo County"/>
    <x v="1"/>
    <x v="7"/>
    <s v="February"/>
    <x v="1"/>
  </r>
  <r>
    <s v="TX501313"/>
    <x v="15"/>
    <x v="9"/>
    <n v="43.1"/>
    <n v="215.5"/>
    <x v="49"/>
    <d v="2025-02-21T00:00:00"/>
    <x v="2"/>
    <x v="0"/>
    <x v="0"/>
    <s v="California"/>
    <s v="Santa Clara County"/>
    <x v="1"/>
    <x v="7"/>
    <s v="February"/>
    <x v="2"/>
  </r>
  <r>
    <s v="TX501314"/>
    <x v="2"/>
    <x v="1"/>
    <n v="215.6"/>
    <n v="431.2"/>
    <x v="49"/>
    <d v="2025-02-20T00:00:00"/>
    <x v="2"/>
    <x v="2"/>
    <x v="0"/>
    <s v="California"/>
    <s v="Sonoma County"/>
    <x v="3"/>
    <x v="7"/>
    <s v="February"/>
    <x v="2"/>
  </r>
  <r>
    <s v="TX501315"/>
    <x v="6"/>
    <x v="1"/>
    <n v="80.7"/>
    <n v="161.4"/>
    <x v="49"/>
    <d v="2025-02-22T00:00:00"/>
    <x v="2"/>
    <x v="3"/>
    <x v="0"/>
    <s v="California"/>
    <s v="Sonoma County"/>
    <x v="2"/>
    <x v="7"/>
    <s v="February"/>
    <x v="2"/>
  </r>
  <r>
    <s v="TX501316"/>
    <x v="10"/>
    <x v="3"/>
    <n v="20.6"/>
    <n v="144.20000000000002"/>
    <x v="49"/>
    <d v="2025-02-24T00:00:00"/>
    <x v="0"/>
    <x v="2"/>
    <x v="1"/>
    <s v="California"/>
    <s v="Stanislaus County"/>
    <x v="0"/>
    <x v="7"/>
    <s v="February"/>
    <x v="0"/>
  </r>
  <r>
    <s v="TX501317"/>
    <x v="12"/>
    <x v="2"/>
    <n v="37.1"/>
    <n v="111.30000000000001"/>
    <x v="49"/>
    <d v="2025-02-20T00:00:00"/>
    <x v="2"/>
    <x v="0"/>
    <x v="0"/>
    <s v="California"/>
    <s v="Tuolumne County"/>
    <x v="3"/>
    <x v="7"/>
    <s v="February"/>
    <x v="2"/>
  </r>
  <r>
    <s v="TX501318"/>
    <x v="12"/>
    <x v="0"/>
    <n v="104.8"/>
    <n v="104.8"/>
    <x v="50"/>
    <d v="2025-02-22T00:00:00"/>
    <x v="2"/>
    <x v="0"/>
    <x v="0"/>
    <s v="California"/>
    <s v="Ventura County"/>
    <x v="1"/>
    <x v="7"/>
    <s v="February"/>
    <x v="2"/>
  </r>
  <r>
    <s v="TX501319"/>
    <x v="8"/>
    <x v="1"/>
    <n v="59"/>
    <n v="118"/>
    <x v="50"/>
    <d v="2025-02-21T00:00:00"/>
    <x v="1"/>
    <x v="1"/>
    <x v="0"/>
    <s v="California"/>
    <s v="Alameda County"/>
    <x v="3"/>
    <x v="7"/>
    <s v="February"/>
    <x v="1"/>
  </r>
  <r>
    <s v="TX501320"/>
    <x v="8"/>
    <x v="1"/>
    <n v="32.299999999999997"/>
    <n v="64.599999999999994"/>
    <x v="50"/>
    <d v="2025-02-21T00:00:00"/>
    <x v="1"/>
    <x v="0"/>
    <x v="2"/>
    <s v="California"/>
    <s v="Alameda County"/>
    <x v="3"/>
    <x v="7"/>
    <s v="February"/>
    <x v="1"/>
  </r>
  <r>
    <s v="TX501321"/>
    <x v="8"/>
    <x v="12"/>
    <n v="28.9"/>
    <n v="115.6"/>
    <x v="50"/>
    <d v="2025-02-27T00:00:00"/>
    <x v="1"/>
    <x v="0"/>
    <x v="0"/>
    <s v="California"/>
    <s v="Contra Costa County"/>
    <x v="6"/>
    <x v="7"/>
    <s v="February"/>
    <x v="1"/>
  </r>
  <r>
    <s v="TX501322"/>
    <x v="0"/>
    <x v="1"/>
    <n v="29.6"/>
    <n v="59.2"/>
    <x v="50"/>
    <d v="2025-02-22T00:00:00"/>
    <x v="1"/>
    <x v="0"/>
    <x v="0"/>
    <s v="California"/>
    <s v="Contra Costa County"/>
    <x v="1"/>
    <x v="7"/>
    <s v="February"/>
    <x v="1"/>
  </r>
  <r>
    <s v="TX501323"/>
    <x v="0"/>
    <x v="9"/>
    <n v="29.4"/>
    <n v="147"/>
    <x v="50"/>
    <d v="2025-02-23T00:00:00"/>
    <x v="2"/>
    <x v="0"/>
    <x v="0"/>
    <s v="California"/>
    <s v="Contra Costa County"/>
    <x v="2"/>
    <x v="7"/>
    <s v="February"/>
    <x v="2"/>
  </r>
  <r>
    <s v="TX501324"/>
    <x v="1"/>
    <x v="1"/>
    <n v="40.6"/>
    <n v="81.2"/>
    <x v="50"/>
    <d v="2025-02-21T00:00:00"/>
    <x v="1"/>
    <x v="0"/>
    <x v="4"/>
    <s v="California"/>
    <s v="Fresno County"/>
    <x v="3"/>
    <x v="7"/>
    <s v="February"/>
    <x v="1"/>
  </r>
  <r>
    <s v="TX501325"/>
    <x v="0"/>
    <x v="2"/>
    <n v="32.5"/>
    <n v="97.5"/>
    <x v="50"/>
    <d v="2025-02-21T00:00:00"/>
    <x v="1"/>
    <x v="3"/>
    <x v="2"/>
    <s v="California"/>
    <s v="Kern County"/>
    <x v="3"/>
    <x v="7"/>
    <s v="February"/>
    <x v="1"/>
  </r>
  <r>
    <s v="TX501326"/>
    <x v="15"/>
    <x v="0"/>
    <n v="26.2"/>
    <n v="26.2"/>
    <x v="50"/>
    <d v="2025-02-22T00:00:00"/>
    <x v="1"/>
    <x v="2"/>
    <x v="0"/>
    <s v="California"/>
    <s v="Lassen County"/>
    <x v="1"/>
    <x v="7"/>
    <s v="February"/>
    <x v="1"/>
  </r>
  <r>
    <s v="TX501327"/>
    <x v="10"/>
    <x v="17"/>
    <n v="44"/>
    <n v="1320"/>
    <x v="50"/>
    <d v="2025-02-26T00:00:00"/>
    <x v="1"/>
    <x v="4"/>
    <x v="0"/>
    <s v="California"/>
    <s v="Los Angeles County"/>
    <x v="4"/>
    <x v="7"/>
    <s v="February"/>
    <x v="1"/>
  </r>
  <r>
    <s v="TX501328"/>
    <x v="7"/>
    <x v="12"/>
    <n v="65.599999999999994"/>
    <n v="262.39999999999998"/>
    <x v="50"/>
    <d v="2025-02-21T00:00:00"/>
    <x v="2"/>
    <x v="1"/>
    <x v="1"/>
    <s v="California"/>
    <s v="Los Angeles County"/>
    <x v="3"/>
    <x v="7"/>
    <s v="February"/>
    <x v="2"/>
  </r>
  <r>
    <s v="TX501329"/>
    <x v="5"/>
    <x v="4"/>
    <n v="32.6"/>
    <n v="391.20000000000005"/>
    <x v="50"/>
    <d v="2025-02-21T00:00:00"/>
    <x v="1"/>
    <x v="4"/>
    <x v="0"/>
    <s v="California"/>
    <s v="Los Angeles County"/>
    <x v="3"/>
    <x v="7"/>
    <s v="February"/>
    <x v="1"/>
  </r>
  <r>
    <s v="TX501330"/>
    <x v="16"/>
    <x v="1"/>
    <n v="88.7"/>
    <n v="177.4"/>
    <x v="50"/>
    <d v="2025-02-21T00:00:00"/>
    <x v="0"/>
    <x v="3"/>
    <x v="2"/>
    <s v="California"/>
    <s v="Los Angeles County"/>
    <x v="3"/>
    <x v="7"/>
    <s v="February"/>
    <x v="0"/>
  </r>
  <r>
    <s v="TX501331"/>
    <x v="4"/>
    <x v="1"/>
    <n v="21.3"/>
    <n v="42.6"/>
    <x v="50"/>
    <d v="2025-02-21T00:00:00"/>
    <x v="1"/>
    <x v="0"/>
    <x v="0"/>
    <s v="California"/>
    <s v="Los Angeles County"/>
    <x v="3"/>
    <x v="7"/>
    <s v="February"/>
    <x v="1"/>
  </r>
  <r>
    <s v="TX501332"/>
    <x v="4"/>
    <x v="13"/>
    <n v="50.6"/>
    <n v="303.60000000000002"/>
    <x v="50"/>
    <d v="2025-02-24T00:00:00"/>
    <x v="2"/>
    <x v="2"/>
    <x v="0"/>
    <s v="California"/>
    <s v="Los Angeles County"/>
    <x v="5"/>
    <x v="7"/>
    <s v="February"/>
    <x v="2"/>
  </r>
  <r>
    <s v="TX501333"/>
    <x v="9"/>
    <x v="38"/>
    <n v="86.9"/>
    <n v="1824.9"/>
    <x v="50"/>
    <d v="2025-02-23T00:00:00"/>
    <x v="2"/>
    <x v="0"/>
    <x v="1"/>
    <s v="California"/>
    <s v="Los Angeles County"/>
    <x v="2"/>
    <x v="7"/>
    <s v="February"/>
    <x v="2"/>
  </r>
  <r>
    <s v="TX501334"/>
    <x v="11"/>
    <x v="2"/>
    <n v="31.8"/>
    <n v="95.4"/>
    <x v="50"/>
    <d v="2025-02-22T00:00:00"/>
    <x v="1"/>
    <x v="0"/>
    <x v="2"/>
    <s v="California"/>
    <s v="Los Angeles County"/>
    <x v="1"/>
    <x v="7"/>
    <s v="February"/>
    <x v="1"/>
  </r>
  <r>
    <s v="TX501335"/>
    <x v="8"/>
    <x v="0"/>
    <n v="19"/>
    <n v="19"/>
    <x v="50"/>
    <d v="2025-02-21T00:00:00"/>
    <x v="2"/>
    <x v="0"/>
    <x v="2"/>
    <s v="California"/>
    <s v="Los Angeles County"/>
    <x v="3"/>
    <x v="7"/>
    <s v="February"/>
    <x v="2"/>
  </r>
  <r>
    <s v="TX501336"/>
    <x v="5"/>
    <x v="0"/>
    <n v="54.5"/>
    <n v="54.5"/>
    <x v="50"/>
    <d v="2025-02-22T00:00:00"/>
    <x v="1"/>
    <x v="0"/>
    <x v="0"/>
    <s v="California"/>
    <s v="Los Angeles County"/>
    <x v="1"/>
    <x v="7"/>
    <s v="February"/>
    <x v="1"/>
  </r>
  <r>
    <s v="TX501337"/>
    <x v="9"/>
    <x v="9"/>
    <n v="68.900000000000006"/>
    <n v="344.5"/>
    <x v="50"/>
    <d v="2025-02-22T00:00:00"/>
    <x v="1"/>
    <x v="4"/>
    <x v="1"/>
    <s v="California"/>
    <s v="Los Angeles County"/>
    <x v="1"/>
    <x v="7"/>
    <s v="February"/>
    <x v="1"/>
  </r>
  <r>
    <s v="TX501338"/>
    <x v="6"/>
    <x v="2"/>
    <n v="84"/>
    <n v="252"/>
    <x v="50"/>
    <d v="2025-02-21T00:00:00"/>
    <x v="1"/>
    <x v="1"/>
    <x v="4"/>
    <s v="California"/>
    <s v="Napa County"/>
    <x v="3"/>
    <x v="7"/>
    <s v="February"/>
    <x v="1"/>
  </r>
  <r>
    <s v="TX501339"/>
    <x v="15"/>
    <x v="8"/>
    <n v="23.1"/>
    <n v="184.8"/>
    <x v="50"/>
    <d v="2025-02-25T00:00:00"/>
    <x v="1"/>
    <x v="0"/>
    <x v="2"/>
    <s v="California"/>
    <s v="Riverside County"/>
    <x v="0"/>
    <x v="7"/>
    <s v="February"/>
    <x v="1"/>
  </r>
  <r>
    <s v="TX501340"/>
    <x v="7"/>
    <x v="1"/>
    <n v="62.4"/>
    <n v="124.8"/>
    <x v="50"/>
    <d v="2025-02-21T00:00:00"/>
    <x v="2"/>
    <x v="0"/>
    <x v="1"/>
    <s v="California"/>
    <s v="Sacramento County"/>
    <x v="3"/>
    <x v="7"/>
    <s v="February"/>
    <x v="2"/>
  </r>
  <r>
    <s v="TX501341"/>
    <x v="6"/>
    <x v="4"/>
    <n v="40.700000000000003"/>
    <n v="488.40000000000003"/>
    <x v="50"/>
    <d v="2025-02-22T00:00:00"/>
    <x v="1"/>
    <x v="1"/>
    <x v="2"/>
    <s v="California"/>
    <s v="Sacramento County"/>
    <x v="1"/>
    <x v="7"/>
    <s v="February"/>
    <x v="1"/>
  </r>
  <r>
    <s v="TX501342"/>
    <x v="6"/>
    <x v="0"/>
    <n v="49.6"/>
    <n v="49.6"/>
    <x v="50"/>
    <d v="2025-02-23T00:00:00"/>
    <x v="1"/>
    <x v="2"/>
    <x v="0"/>
    <s v="California"/>
    <s v="San Bernardino County"/>
    <x v="2"/>
    <x v="7"/>
    <s v="February"/>
    <x v="1"/>
  </r>
  <r>
    <s v="TX501343"/>
    <x v="7"/>
    <x v="41"/>
    <n v="66.599999999999994"/>
    <n v="2996.9999999999995"/>
    <x v="50"/>
    <d v="2025-02-23T00:00:00"/>
    <x v="1"/>
    <x v="2"/>
    <x v="0"/>
    <s v="California"/>
    <s v="San Diego County"/>
    <x v="2"/>
    <x v="7"/>
    <s v="February"/>
    <x v="1"/>
  </r>
  <r>
    <s v="TX501344"/>
    <x v="8"/>
    <x v="2"/>
    <n v="26.4"/>
    <n v="79.199999999999989"/>
    <x v="50"/>
    <d v="2025-02-21T00:00:00"/>
    <x v="2"/>
    <x v="1"/>
    <x v="1"/>
    <s v="California"/>
    <s v="San Diego County"/>
    <x v="3"/>
    <x v="7"/>
    <s v="February"/>
    <x v="2"/>
  </r>
  <r>
    <s v="TX501345"/>
    <x v="0"/>
    <x v="1"/>
    <n v="17.2"/>
    <n v="34.4"/>
    <x v="50"/>
    <d v="2025-02-23T00:00:00"/>
    <x v="1"/>
    <x v="2"/>
    <x v="1"/>
    <s v="California"/>
    <s v="San Diego County"/>
    <x v="2"/>
    <x v="7"/>
    <s v="February"/>
    <x v="1"/>
  </r>
  <r>
    <s v="TX501346"/>
    <x v="5"/>
    <x v="8"/>
    <n v="58.1"/>
    <n v="464.8"/>
    <x v="50"/>
    <d v="2025-02-23T00:00:00"/>
    <x v="2"/>
    <x v="4"/>
    <x v="0"/>
    <s v="California"/>
    <s v="San Diego County"/>
    <x v="2"/>
    <x v="7"/>
    <s v="February"/>
    <x v="2"/>
  </r>
  <r>
    <s v="TX501347"/>
    <x v="15"/>
    <x v="12"/>
    <n v="31.5"/>
    <n v="126"/>
    <x v="50"/>
    <d v="2025-02-23T00:00:00"/>
    <x v="2"/>
    <x v="4"/>
    <x v="4"/>
    <s v="California"/>
    <s v="San Diego County"/>
    <x v="2"/>
    <x v="7"/>
    <s v="February"/>
    <x v="2"/>
  </r>
  <r>
    <s v="TX501348"/>
    <x v="0"/>
    <x v="0"/>
    <n v="27.1"/>
    <n v="27.1"/>
    <x v="50"/>
    <d v="2025-02-22T00:00:00"/>
    <x v="2"/>
    <x v="0"/>
    <x v="1"/>
    <s v="California"/>
    <s v="San Francisco"/>
    <x v="1"/>
    <x v="7"/>
    <s v="February"/>
    <x v="2"/>
  </r>
  <r>
    <s v="TX501349"/>
    <x v="18"/>
    <x v="12"/>
    <n v="28.5"/>
    <n v="114"/>
    <x v="50"/>
    <d v="2025-02-22T00:00:00"/>
    <x v="1"/>
    <x v="1"/>
    <x v="2"/>
    <s v="California"/>
    <s v="San Mateo County"/>
    <x v="1"/>
    <x v="7"/>
    <s v="February"/>
    <x v="1"/>
  </r>
  <r>
    <s v="TX501350"/>
    <x v="10"/>
    <x v="0"/>
    <n v="40.5"/>
    <n v="40.5"/>
    <x v="51"/>
    <d v="2025-02-23T00:00:00"/>
    <x v="3"/>
    <x v="2"/>
    <x v="0"/>
    <s v="California"/>
    <s v="San Mateo County"/>
    <x v="1"/>
    <x v="7"/>
    <s v="February"/>
    <x v="3"/>
  </r>
  <r>
    <s v="TX501351"/>
    <x v="2"/>
    <x v="2"/>
    <n v="77.900000000000006"/>
    <n v="233.70000000000002"/>
    <x v="51"/>
    <d v="2025-02-25T00:00:00"/>
    <x v="2"/>
    <x v="1"/>
    <x v="2"/>
    <s v="California"/>
    <s v="Stanislaus County"/>
    <x v="5"/>
    <x v="7"/>
    <s v="February"/>
    <x v="2"/>
  </r>
  <r>
    <s v="TX501352"/>
    <x v="18"/>
    <x v="12"/>
    <n v="37.1"/>
    <n v="148.4"/>
    <x v="51"/>
    <d v="2025-02-23T00:00:00"/>
    <x v="1"/>
    <x v="4"/>
    <x v="2"/>
    <s v="California"/>
    <s v="Stanislaus County"/>
    <x v="1"/>
    <x v="7"/>
    <s v="February"/>
    <x v="1"/>
  </r>
  <r>
    <s v="TX501353"/>
    <x v="16"/>
    <x v="2"/>
    <n v="51.6"/>
    <n v="154.80000000000001"/>
    <x v="51"/>
    <d v="2025-03-01T00:00:00"/>
    <x v="2"/>
    <x v="0"/>
    <x v="4"/>
    <s v="California"/>
    <s v="Stanislaus County"/>
    <x v="9"/>
    <x v="7"/>
    <s v="February"/>
    <x v="2"/>
  </r>
  <r>
    <s v="TX501354"/>
    <x v="7"/>
    <x v="2"/>
    <n v="98"/>
    <n v="294"/>
    <x v="51"/>
    <d v="2025-02-22T00:00:00"/>
    <x v="1"/>
    <x v="1"/>
    <x v="1"/>
    <s v="California"/>
    <s v="Stanislaus County"/>
    <x v="3"/>
    <x v="7"/>
    <s v="February"/>
    <x v="1"/>
  </r>
  <r>
    <s v="TX501355"/>
    <x v="6"/>
    <x v="3"/>
    <n v="41.4"/>
    <n v="289.8"/>
    <x v="51"/>
    <d v="2025-02-22T00:00:00"/>
    <x v="1"/>
    <x v="1"/>
    <x v="0"/>
    <s v="California"/>
    <s v="Tulare County"/>
    <x v="3"/>
    <x v="7"/>
    <s v="February"/>
    <x v="1"/>
  </r>
  <r>
    <s v="TX501356"/>
    <x v="11"/>
    <x v="8"/>
    <n v="34"/>
    <n v="272"/>
    <x v="51"/>
    <d v="2025-02-26T00:00:00"/>
    <x v="2"/>
    <x v="0"/>
    <x v="2"/>
    <s v="California"/>
    <s v="Tuolumne County"/>
    <x v="0"/>
    <x v="7"/>
    <s v="February"/>
    <x v="2"/>
  </r>
  <r>
    <s v="TX501357"/>
    <x v="6"/>
    <x v="0"/>
    <n v="66.3"/>
    <n v="66.3"/>
    <x v="51"/>
    <d v="2025-02-22T00:00:00"/>
    <x v="2"/>
    <x v="1"/>
    <x v="0"/>
    <s v="California"/>
    <s v="Ventura County"/>
    <x v="3"/>
    <x v="7"/>
    <s v="February"/>
    <x v="2"/>
  </r>
  <r>
    <s v="TX501358"/>
    <x v="7"/>
    <x v="0"/>
    <n v="33.5"/>
    <n v="33.5"/>
    <x v="51"/>
    <d v="2025-02-25T00:00:00"/>
    <x v="1"/>
    <x v="2"/>
    <x v="0"/>
    <s v="California"/>
    <s v="Ventura County"/>
    <x v="5"/>
    <x v="7"/>
    <s v="February"/>
    <x v="1"/>
  </r>
  <r>
    <s v="TX501359"/>
    <x v="12"/>
    <x v="1"/>
    <n v="70.8"/>
    <n v="141.6"/>
    <x v="51"/>
    <d v="2025-02-22T00:00:00"/>
    <x v="0"/>
    <x v="0"/>
    <x v="0"/>
    <s v="California"/>
    <s v="Yolo County"/>
    <x v="3"/>
    <x v="7"/>
    <s v="February"/>
    <x v="0"/>
  </r>
  <r>
    <s v="TX501360"/>
    <x v="6"/>
    <x v="1"/>
    <n v="127.6"/>
    <n v="255.2"/>
    <x v="51"/>
    <d v="2025-02-22T00:00:00"/>
    <x v="1"/>
    <x v="0"/>
    <x v="0"/>
    <s v="California"/>
    <s v="Alameda County"/>
    <x v="3"/>
    <x v="7"/>
    <s v="February"/>
    <x v="1"/>
  </r>
  <r>
    <s v="TX501361"/>
    <x v="6"/>
    <x v="2"/>
    <n v="95.9"/>
    <n v="287.70000000000005"/>
    <x v="51"/>
    <d v="2025-02-22T00:00:00"/>
    <x v="2"/>
    <x v="1"/>
    <x v="1"/>
    <s v="California"/>
    <s v="Alameda County"/>
    <x v="3"/>
    <x v="7"/>
    <s v="February"/>
    <x v="2"/>
  </r>
  <r>
    <s v="TX501362"/>
    <x v="2"/>
    <x v="1"/>
    <n v="78.099999999999994"/>
    <n v="156.19999999999999"/>
    <x v="51"/>
    <d v="2025-02-22T00:00:00"/>
    <x v="1"/>
    <x v="0"/>
    <x v="0"/>
    <s v="California"/>
    <s v="Contra Costa County"/>
    <x v="3"/>
    <x v="7"/>
    <s v="February"/>
    <x v="1"/>
  </r>
  <r>
    <s v="TX501363"/>
    <x v="13"/>
    <x v="1"/>
    <n v="43.2"/>
    <n v="86.4"/>
    <x v="51"/>
    <d v="2025-02-22T00:00:00"/>
    <x v="0"/>
    <x v="1"/>
    <x v="1"/>
    <s v="California"/>
    <s v="Contra Costa County"/>
    <x v="3"/>
    <x v="7"/>
    <s v="February"/>
    <x v="0"/>
  </r>
  <r>
    <s v="TX501364"/>
    <x v="8"/>
    <x v="12"/>
    <n v="28.4"/>
    <n v="113.6"/>
    <x v="51"/>
    <d v="2025-02-27T00:00:00"/>
    <x v="1"/>
    <x v="2"/>
    <x v="0"/>
    <s v="California"/>
    <s v="Los Angeles County"/>
    <x v="4"/>
    <x v="7"/>
    <s v="February"/>
    <x v="1"/>
  </r>
  <r>
    <s v="TX501365"/>
    <x v="2"/>
    <x v="1"/>
    <n v="81.7"/>
    <n v="163.4"/>
    <x v="51"/>
    <d v="2025-02-21T00:00:00"/>
    <x v="1"/>
    <x v="0"/>
    <x v="0"/>
    <s v="California"/>
    <s v="Los Angeles County"/>
    <x v="7"/>
    <x v="7"/>
    <s v="February"/>
    <x v="1"/>
  </r>
  <r>
    <s v="TX501366"/>
    <x v="18"/>
    <x v="1"/>
    <n v="56.7"/>
    <n v="113.4"/>
    <x v="51"/>
    <d v="2025-02-23T00:00:00"/>
    <x v="0"/>
    <x v="0"/>
    <x v="2"/>
    <s v="California"/>
    <s v="Los Angeles County"/>
    <x v="1"/>
    <x v="7"/>
    <s v="February"/>
    <x v="0"/>
  </r>
  <r>
    <s v="TX501367"/>
    <x v="3"/>
    <x v="12"/>
    <n v="66.5"/>
    <n v="266"/>
    <x v="51"/>
    <d v="2025-02-21T00:00:00"/>
    <x v="2"/>
    <x v="0"/>
    <x v="2"/>
    <s v="California"/>
    <s v="Los Angeles County"/>
    <x v="7"/>
    <x v="7"/>
    <s v="February"/>
    <x v="2"/>
  </r>
  <r>
    <s v="TX501368"/>
    <x v="1"/>
    <x v="1"/>
    <n v="105.3"/>
    <n v="210.6"/>
    <x v="51"/>
    <d v="2025-02-25T00:00:00"/>
    <x v="1"/>
    <x v="0"/>
    <x v="1"/>
    <s v="California"/>
    <s v="Los Angeles County"/>
    <x v="5"/>
    <x v="7"/>
    <s v="February"/>
    <x v="1"/>
  </r>
  <r>
    <s v="TX501369"/>
    <x v="10"/>
    <x v="9"/>
    <n v="33.799999999999997"/>
    <n v="169"/>
    <x v="51"/>
    <d v="2025-02-26T00:00:00"/>
    <x v="1"/>
    <x v="0"/>
    <x v="0"/>
    <s v="California"/>
    <s v="Los Angeles County"/>
    <x v="0"/>
    <x v="7"/>
    <s v="February"/>
    <x v="1"/>
  </r>
  <r>
    <s v="TX501370"/>
    <x v="6"/>
    <x v="2"/>
    <n v="63.4"/>
    <n v="190.2"/>
    <x v="51"/>
    <d v="2025-02-26T00:00:00"/>
    <x v="1"/>
    <x v="3"/>
    <x v="1"/>
    <s v="California"/>
    <s v="Merced County"/>
    <x v="0"/>
    <x v="7"/>
    <s v="February"/>
    <x v="1"/>
  </r>
  <r>
    <s v="TX501371"/>
    <x v="6"/>
    <x v="2"/>
    <n v="49"/>
    <n v="147"/>
    <x v="51"/>
    <d v="2025-02-25T00:00:00"/>
    <x v="1"/>
    <x v="3"/>
    <x v="0"/>
    <s v="California"/>
    <s v="Monterey County"/>
    <x v="5"/>
    <x v="7"/>
    <s v="February"/>
    <x v="1"/>
  </r>
  <r>
    <s v="TX501372"/>
    <x v="1"/>
    <x v="1"/>
    <n v="40"/>
    <n v="80"/>
    <x v="51"/>
    <d v="2025-02-22T00:00:00"/>
    <x v="2"/>
    <x v="4"/>
    <x v="1"/>
    <s v="California"/>
    <s v="Riverside County"/>
    <x v="3"/>
    <x v="7"/>
    <s v="February"/>
    <x v="2"/>
  </r>
  <r>
    <s v="TX501373"/>
    <x v="6"/>
    <x v="12"/>
    <n v="86.3"/>
    <n v="345.2"/>
    <x v="51"/>
    <d v="2025-02-22T00:00:00"/>
    <x v="3"/>
    <x v="0"/>
    <x v="0"/>
    <s v="California"/>
    <s v="Sacramento County"/>
    <x v="3"/>
    <x v="7"/>
    <s v="February"/>
    <x v="3"/>
  </r>
  <r>
    <s v="TX501374"/>
    <x v="6"/>
    <x v="0"/>
    <n v="51.6"/>
    <n v="51.6"/>
    <x v="51"/>
    <d v="2025-02-23T00:00:00"/>
    <x v="2"/>
    <x v="2"/>
    <x v="2"/>
    <s v="California"/>
    <s v="Sacramento County"/>
    <x v="1"/>
    <x v="7"/>
    <s v="February"/>
    <x v="2"/>
  </r>
  <r>
    <s v="TX501375"/>
    <x v="10"/>
    <x v="2"/>
    <n v="26.7"/>
    <n v="80.099999999999994"/>
    <x v="51"/>
    <d v="2025-02-26T00:00:00"/>
    <x v="2"/>
    <x v="2"/>
    <x v="1"/>
    <s v="California"/>
    <s v="Sacramento County"/>
    <x v="0"/>
    <x v="7"/>
    <s v="February"/>
    <x v="2"/>
  </r>
  <r>
    <s v="TX501376"/>
    <x v="18"/>
    <x v="1"/>
    <n v="68.099999999999994"/>
    <n v="136.19999999999999"/>
    <x v="51"/>
    <d v="2025-02-22T00:00:00"/>
    <x v="1"/>
    <x v="0"/>
    <x v="1"/>
    <s v="California"/>
    <s v="Sacramento County"/>
    <x v="3"/>
    <x v="7"/>
    <s v="February"/>
    <x v="1"/>
  </r>
  <r>
    <s v="TX501377"/>
    <x v="1"/>
    <x v="0"/>
    <n v="81.7"/>
    <n v="81.7"/>
    <x v="51"/>
    <d v="2025-02-22T00:00:00"/>
    <x v="1"/>
    <x v="0"/>
    <x v="0"/>
    <s v="California"/>
    <s v="San Bernardino County"/>
    <x v="3"/>
    <x v="7"/>
    <s v="February"/>
    <x v="1"/>
  </r>
  <r>
    <s v="TX501378"/>
    <x v="18"/>
    <x v="7"/>
    <n v="25.1"/>
    <n v="251"/>
    <x v="51"/>
    <d v="2025-02-24T00:00:00"/>
    <x v="1"/>
    <x v="3"/>
    <x v="1"/>
    <s v="California"/>
    <s v="San Diego County"/>
    <x v="2"/>
    <x v="7"/>
    <s v="February"/>
    <x v="1"/>
  </r>
  <r>
    <s v="TX501379"/>
    <x v="8"/>
    <x v="0"/>
    <n v="20.2"/>
    <n v="20.2"/>
    <x v="51"/>
    <d v="2025-02-25T00:00:00"/>
    <x v="2"/>
    <x v="0"/>
    <x v="0"/>
    <s v="California"/>
    <s v="San Diego County"/>
    <x v="5"/>
    <x v="7"/>
    <s v="February"/>
    <x v="2"/>
  </r>
  <r>
    <s v="TX501380"/>
    <x v="8"/>
    <x v="2"/>
    <n v="15.4"/>
    <n v="46.2"/>
    <x v="51"/>
    <d v="2025-02-22T00:00:00"/>
    <x v="1"/>
    <x v="1"/>
    <x v="2"/>
    <s v="California"/>
    <s v="San Diego County"/>
    <x v="3"/>
    <x v="7"/>
    <s v="February"/>
    <x v="1"/>
  </r>
  <r>
    <s v="TX501381"/>
    <x v="10"/>
    <x v="0"/>
    <n v="59.2"/>
    <n v="59.2"/>
    <x v="51"/>
    <d v="2025-02-22T00:00:00"/>
    <x v="1"/>
    <x v="2"/>
    <x v="2"/>
    <s v="California"/>
    <s v="San Francisco"/>
    <x v="3"/>
    <x v="7"/>
    <s v="February"/>
    <x v="1"/>
  </r>
  <r>
    <s v="TX501382"/>
    <x v="0"/>
    <x v="0"/>
    <n v="46.7"/>
    <n v="46.7"/>
    <x v="51"/>
    <d v="2025-02-26T00:00:00"/>
    <x v="1"/>
    <x v="0"/>
    <x v="0"/>
    <s v="California"/>
    <s v="San Francisco"/>
    <x v="0"/>
    <x v="7"/>
    <s v="February"/>
    <x v="1"/>
  </r>
  <r>
    <s v="TX501383"/>
    <x v="6"/>
    <x v="20"/>
    <n v="41.6"/>
    <n v="624"/>
    <x v="51"/>
    <d v="2025-02-23T00:00:00"/>
    <x v="1"/>
    <x v="1"/>
    <x v="0"/>
    <s v="California"/>
    <s v="San Joaquin County"/>
    <x v="1"/>
    <x v="7"/>
    <s v="February"/>
    <x v="1"/>
  </r>
  <r>
    <s v="TX501384"/>
    <x v="8"/>
    <x v="1"/>
    <n v="19.2"/>
    <n v="38.4"/>
    <x v="51"/>
    <d v="2025-02-24T00:00:00"/>
    <x v="1"/>
    <x v="4"/>
    <x v="2"/>
    <s v="California"/>
    <s v="San Mateo County"/>
    <x v="2"/>
    <x v="7"/>
    <s v="February"/>
    <x v="1"/>
  </r>
  <r>
    <s v="TX501385"/>
    <x v="17"/>
    <x v="3"/>
    <n v="41.8"/>
    <n v="292.59999999999997"/>
    <x v="51"/>
    <d v="2025-02-23T00:00:00"/>
    <x v="2"/>
    <x v="2"/>
    <x v="0"/>
    <s v="California"/>
    <s v="Santa Clara County"/>
    <x v="1"/>
    <x v="7"/>
    <s v="February"/>
    <x v="2"/>
  </r>
  <r>
    <s v="TX501386"/>
    <x v="8"/>
    <x v="13"/>
    <n v="37.4"/>
    <n v="224.39999999999998"/>
    <x v="51"/>
    <d v="2025-02-23T00:00:00"/>
    <x v="1"/>
    <x v="0"/>
    <x v="2"/>
    <s v="California"/>
    <s v="Santa Clara County"/>
    <x v="1"/>
    <x v="7"/>
    <s v="February"/>
    <x v="1"/>
  </r>
  <r>
    <s v="TX501387"/>
    <x v="10"/>
    <x v="2"/>
    <n v="60.2"/>
    <n v="180.60000000000002"/>
    <x v="51"/>
    <d v="2025-02-24T00:00:00"/>
    <x v="1"/>
    <x v="4"/>
    <x v="1"/>
    <s v="California"/>
    <s v="Solano County"/>
    <x v="2"/>
    <x v="7"/>
    <s v="February"/>
    <x v="1"/>
  </r>
  <r>
    <s v="TX501388"/>
    <x v="9"/>
    <x v="1"/>
    <n v="91.5"/>
    <n v="183"/>
    <x v="52"/>
    <d v="2025-02-23T00:00:00"/>
    <x v="1"/>
    <x v="0"/>
    <x v="0"/>
    <s v="California"/>
    <s v="Ventura County"/>
    <x v="3"/>
    <x v="7"/>
    <s v="February"/>
    <x v="1"/>
  </r>
  <r>
    <s v="TX501389"/>
    <x v="3"/>
    <x v="9"/>
    <n v="55.7"/>
    <n v="278.5"/>
    <x v="52"/>
    <d v="2025-02-24T00:00:00"/>
    <x v="0"/>
    <x v="1"/>
    <x v="2"/>
    <s v="California"/>
    <s v="Alameda County"/>
    <x v="1"/>
    <x v="7"/>
    <s v="February"/>
    <x v="0"/>
  </r>
  <r>
    <s v="TX501390"/>
    <x v="7"/>
    <x v="1"/>
    <n v="76.7"/>
    <n v="153.4"/>
    <x v="52"/>
    <d v="2025-02-24T00:00:00"/>
    <x v="1"/>
    <x v="0"/>
    <x v="1"/>
    <s v="California"/>
    <s v="Alameda County"/>
    <x v="1"/>
    <x v="7"/>
    <s v="February"/>
    <x v="1"/>
  </r>
  <r>
    <s v="TX501391"/>
    <x v="8"/>
    <x v="38"/>
    <n v="28.2"/>
    <n v="592.19999999999993"/>
    <x v="52"/>
    <d v="2025-02-27T00:00:00"/>
    <x v="1"/>
    <x v="2"/>
    <x v="0"/>
    <s v="California"/>
    <s v="Contra Costa County"/>
    <x v="0"/>
    <x v="7"/>
    <s v="February"/>
    <x v="1"/>
  </r>
  <r>
    <s v="TX501392"/>
    <x v="7"/>
    <x v="9"/>
    <n v="93.2"/>
    <n v="466"/>
    <x v="52"/>
    <d v="2025-02-24T00:00:00"/>
    <x v="2"/>
    <x v="4"/>
    <x v="2"/>
    <s v="California"/>
    <s v="Contra Costa County"/>
    <x v="1"/>
    <x v="7"/>
    <s v="February"/>
    <x v="2"/>
  </r>
  <r>
    <s v="TX501393"/>
    <x v="17"/>
    <x v="0"/>
    <n v="33.299999999999997"/>
    <n v="33.299999999999997"/>
    <x v="52"/>
    <d v="2025-02-23T00:00:00"/>
    <x v="1"/>
    <x v="4"/>
    <x v="0"/>
    <s v="California"/>
    <s v="Fresno County"/>
    <x v="3"/>
    <x v="7"/>
    <s v="February"/>
    <x v="1"/>
  </r>
  <r>
    <s v="TX501394"/>
    <x v="10"/>
    <x v="1"/>
    <n v="39.1"/>
    <n v="78.2"/>
    <x v="52"/>
    <d v="2025-02-25T00:00:00"/>
    <x v="1"/>
    <x v="0"/>
    <x v="0"/>
    <s v="California"/>
    <s v="Humboldt County"/>
    <x v="2"/>
    <x v="7"/>
    <s v="February"/>
    <x v="1"/>
  </r>
  <r>
    <s v="TX501395"/>
    <x v="7"/>
    <x v="4"/>
    <n v="45.3"/>
    <n v="543.59999999999991"/>
    <x v="52"/>
    <d v="2025-02-23T00:00:00"/>
    <x v="1"/>
    <x v="2"/>
    <x v="0"/>
    <s v="California"/>
    <s v="Imperial County"/>
    <x v="3"/>
    <x v="7"/>
    <s v="February"/>
    <x v="1"/>
  </r>
  <r>
    <s v="TX501396"/>
    <x v="9"/>
    <x v="3"/>
    <n v="33.9"/>
    <n v="237.29999999999998"/>
    <x v="52"/>
    <d v="2025-02-23T00:00:00"/>
    <x v="1"/>
    <x v="4"/>
    <x v="0"/>
    <s v="California"/>
    <s v="Imperial County"/>
    <x v="3"/>
    <x v="7"/>
    <s v="February"/>
    <x v="1"/>
  </r>
  <r>
    <s v="TX501397"/>
    <x v="8"/>
    <x v="2"/>
    <n v="19"/>
    <n v="57"/>
    <x v="52"/>
    <d v="2025-02-23T00:00:00"/>
    <x v="1"/>
    <x v="0"/>
    <x v="2"/>
    <s v="California"/>
    <s v="Inyo County"/>
    <x v="3"/>
    <x v="7"/>
    <s v="February"/>
    <x v="1"/>
  </r>
  <r>
    <s v="TX501398"/>
    <x v="4"/>
    <x v="0"/>
    <n v="41.9"/>
    <n v="41.9"/>
    <x v="52"/>
    <d v="2025-02-25T00:00:00"/>
    <x v="2"/>
    <x v="2"/>
    <x v="0"/>
    <s v="California"/>
    <s v="Kern County"/>
    <x v="2"/>
    <x v="7"/>
    <s v="February"/>
    <x v="2"/>
  </r>
  <r>
    <s v="TX501399"/>
    <x v="1"/>
    <x v="12"/>
    <n v="37.5"/>
    <n v="150"/>
    <x v="52"/>
    <d v="2025-02-22T00:00:00"/>
    <x v="2"/>
    <x v="0"/>
    <x v="0"/>
    <s v="California"/>
    <s v="Los Angeles County"/>
    <x v="7"/>
    <x v="7"/>
    <s v="February"/>
    <x v="2"/>
  </r>
  <r>
    <s v="TX501400"/>
    <x v="0"/>
    <x v="1"/>
    <n v="40.799999999999997"/>
    <n v="81.599999999999994"/>
    <x v="52"/>
    <d v="2025-02-25T00:00:00"/>
    <x v="1"/>
    <x v="0"/>
    <x v="0"/>
    <s v="California"/>
    <s v="Los Angeles County"/>
    <x v="2"/>
    <x v="7"/>
    <s v="February"/>
    <x v="1"/>
  </r>
  <r>
    <s v="TX501401"/>
    <x v="0"/>
    <x v="12"/>
    <n v="23.1"/>
    <n v="92.4"/>
    <x v="52"/>
    <d v="2025-02-23T00:00:00"/>
    <x v="2"/>
    <x v="4"/>
    <x v="0"/>
    <s v="California"/>
    <s v="Los Angeles County"/>
    <x v="3"/>
    <x v="7"/>
    <s v="February"/>
    <x v="2"/>
  </r>
  <r>
    <s v="TX501402"/>
    <x v="8"/>
    <x v="9"/>
    <n v="39.299999999999997"/>
    <n v="196.5"/>
    <x v="52"/>
    <d v="2025-02-23T00:00:00"/>
    <x v="2"/>
    <x v="0"/>
    <x v="0"/>
    <s v="California"/>
    <s v="Los Angeles County"/>
    <x v="3"/>
    <x v="7"/>
    <s v="February"/>
    <x v="2"/>
  </r>
  <r>
    <s v="TX501403"/>
    <x v="2"/>
    <x v="12"/>
    <n v="85.2"/>
    <n v="340.8"/>
    <x v="52"/>
    <d v="2025-02-27T00:00:00"/>
    <x v="1"/>
    <x v="2"/>
    <x v="0"/>
    <s v="California"/>
    <s v="Los Angeles County"/>
    <x v="0"/>
    <x v="7"/>
    <s v="February"/>
    <x v="1"/>
  </r>
  <r>
    <s v="TX501404"/>
    <x v="8"/>
    <x v="13"/>
    <n v="16"/>
    <n v="96"/>
    <x v="52"/>
    <d v="2025-02-25T00:00:00"/>
    <x v="1"/>
    <x v="1"/>
    <x v="0"/>
    <s v="California"/>
    <s v="Los Angeles County"/>
    <x v="2"/>
    <x v="7"/>
    <s v="February"/>
    <x v="1"/>
  </r>
  <r>
    <s v="TX501405"/>
    <x v="1"/>
    <x v="1"/>
    <n v="33.799999999999997"/>
    <n v="67.599999999999994"/>
    <x v="52"/>
    <d v="2025-02-26T00:00:00"/>
    <x v="2"/>
    <x v="1"/>
    <x v="0"/>
    <s v="California"/>
    <s v="Los Angeles County"/>
    <x v="5"/>
    <x v="7"/>
    <s v="February"/>
    <x v="2"/>
  </r>
  <r>
    <s v="TX501406"/>
    <x v="3"/>
    <x v="0"/>
    <n v="70"/>
    <n v="70"/>
    <x v="52"/>
    <d v="2025-02-23T00:00:00"/>
    <x v="2"/>
    <x v="0"/>
    <x v="0"/>
    <s v="California"/>
    <s v="Los Angeles County"/>
    <x v="3"/>
    <x v="7"/>
    <s v="February"/>
    <x v="2"/>
  </r>
  <r>
    <s v="TX501407"/>
    <x v="9"/>
    <x v="0"/>
    <n v="88"/>
    <n v="88"/>
    <x v="52"/>
    <d v="2025-02-27T00:00:00"/>
    <x v="2"/>
    <x v="3"/>
    <x v="0"/>
    <s v="California"/>
    <s v="Los Angeles County"/>
    <x v="0"/>
    <x v="7"/>
    <s v="February"/>
    <x v="2"/>
  </r>
  <r>
    <s v="TX501408"/>
    <x v="2"/>
    <x v="2"/>
    <n v="74.099999999999994"/>
    <n v="222.29999999999998"/>
    <x v="52"/>
    <d v="2025-02-22T00:00:00"/>
    <x v="1"/>
    <x v="4"/>
    <x v="1"/>
    <s v="California"/>
    <s v="Los Angeles County"/>
    <x v="7"/>
    <x v="7"/>
    <s v="February"/>
    <x v="1"/>
  </r>
  <r>
    <s v="TX501409"/>
    <x v="2"/>
    <x v="0"/>
    <n v="161.9"/>
    <n v="161.9"/>
    <x v="52"/>
    <d v="2025-02-24T00:00:00"/>
    <x v="1"/>
    <x v="2"/>
    <x v="0"/>
    <s v="California"/>
    <s v="Los Angeles County"/>
    <x v="1"/>
    <x v="7"/>
    <s v="February"/>
    <x v="1"/>
  </r>
  <r>
    <s v="TX501410"/>
    <x v="4"/>
    <x v="1"/>
    <n v="44"/>
    <n v="88"/>
    <x v="52"/>
    <d v="2025-02-23T00:00:00"/>
    <x v="3"/>
    <x v="4"/>
    <x v="1"/>
    <s v="California"/>
    <s v="Los Angeles County"/>
    <x v="3"/>
    <x v="7"/>
    <s v="February"/>
    <x v="3"/>
  </r>
  <r>
    <s v="TX501411"/>
    <x v="11"/>
    <x v="0"/>
    <n v="32.1"/>
    <n v="32.1"/>
    <x v="52"/>
    <d v="2025-02-22T00:00:00"/>
    <x v="2"/>
    <x v="3"/>
    <x v="3"/>
    <s v="California"/>
    <s v="Los Angeles County"/>
    <x v="7"/>
    <x v="7"/>
    <s v="February"/>
    <x v="2"/>
  </r>
  <r>
    <s v="TX501412"/>
    <x v="2"/>
    <x v="12"/>
    <n v="104.8"/>
    <n v="419.2"/>
    <x v="53"/>
    <d v="2025-02-25T00:00:00"/>
    <x v="3"/>
    <x v="0"/>
    <x v="0"/>
    <s v="California"/>
    <s v="Los Angeles County"/>
    <x v="1"/>
    <x v="8"/>
    <s v="February"/>
    <x v="3"/>
  </r>
  <r>
    <s v="TX501413"/>
    <x v="9"/>
    <x v="13"/>
    <n v="67.400000000000006"/>
    <n v="404.40000000000003"/>
    <x v="53"/>
    <d v="2025-02-24T00:00:00"/>
    <x v="2"/>
    <x v="3"/>
    <x v="0"/>
    <s v="California"/>
    <s v="Los Angeles County"/>
    <x v="3"/>
    <x v="8"/>
    <s v="February"/>
    <x v="2"/>
  </r>
  <r>
    <s v="TX501414"/>
    <x v="6"/>
    <x v="1"/>
    <n v="115.2"/>
    <n v="230.4"/>
    <x v="53"/>
    <d v="2025-02-24T00:00:00"/>
    <x v="2"/>
    <x v="1"/>
    <x v="0"/>
    <s v="California"/>
    <s v="Nevada County"/>
    <x v="3"/>
    <x v="8"/>
    <s v="February"/>
    <x v="2"/>
  </r>
  <r>
    <s v="TX501415"/>
    <x v="8"/>
    <x v="19"/>
    <n v="15.5"/>
    <n v="449.5"/>
    <x v="53"/>
    <d v="2025-02-25T00:00:00"/>
    <x v="2"/>
    <x v="0"/>
    <x v="1"/>
    <s v="California"/>
    <s v="Riverside County"/>
    <x v="1"/>
    <x v="8"/>
    <s v="February"/>
    <x v="2"/>
  </r>
  <r>
    <s v="TX501416"/>
    <x v="6"/>
    <x v="5"/>
    <n v="66.400000000000006"/>
    <n v="730.40000000000009"/>
    <x v="53"/>
    <d v="2025-02-25T00:00:00"/>
    <x v="2"/>
    <x v="0"/>
    <x v="0"/>
    <s v="California"/>
    <s v="Sacramento County"/>
    <x v="1"/>
    <x v="8"/>
    <s v="February"/>
    <x v="2"/>
  </r>
  <r>
    <s v="TX501417"/>
    <x v="9"/>
    <x v="4"/>
    <n v="68.099999999999994"/>
    <n v="817.19999999999993"/>
    <x v="53"/>
    <d v="2025-02-24T00:00:00"/>
    <x v="2"/>
    <x v="2"/>
    <x v="0"/>
    <s v="California"/>
    <s v="San Diego County"/>
    <x v="3"/>
    <x v="8"/>
    <s v="February"/>
    <x v="2"/>
  </r>
  <r>
    <s v="TX501418"/>
    <x v="8"/>
    <x v="9"/>
    <n v="32.5"/>
    <n v="162.5"/>
    <x v="53"/>
    <d v="2025-02-27T00:00:00"/>
    <x v="1"/>
    <x v="2"/>
    <x v="1"/>
    <s v="California"/>
    <s v="San Diego County"/>
    <x v="5"/>
    <x v="8"/>
    <s v="February"/>
    <x v="1"/>
  </r>
  <r>
    <s v="TX501419"/>
    <x v="15"/>
    <x v="2"/>
    <n v="61.2"/>
    <n v="183.60000000000002"/>
    <x v="53"/>
    <d v="2025-02-25T00:00:00"/>
    <x v="2"/>
    <x v="1"/>
    <x v="1"/>
    <s v="California"/>
    <s v="San Diego County"/>
    <x v="1"/>
    <x v="8"/>
    <s v="February"/>
    <x v="2"/>
  </r>
  <r>
    <s v="TX501420"/>
    <x v="9"/>
    <x v="1"/>
    <n v="54.2"/>
    <n v="108.4"/>
    <x v="53"/>
    <d v="2025-02-24T00:00:00"/>
    <x v="2"/>
    <x v="1"/>
    <x v="0"/>
    <s v="California"/>
    <s v="San Diego County"/>
    <x v="3"/>
    <x v="8"/>
    <s v="February"/>
    <x v="2"/>
  </r>
  <r>
    <s v="TX501421"/>
    <x v="11"/>
    <x v="8"/>
    <n v="28.7"/>
    <n v="229.6"/>
    <x v="53"/>
    <d v="2025-02-25T00:00:00"/>
    <x v="1"/>
    <x v="1"/>
    <x v="0"/>
    <s v="California"/>
    <s v="San Mateo County"/>
    <x v="1"/>
    <x v="8"/>
    <s v="February"/>
    <x v="1"/>
  </r>
  <r>
    <s v="TX501422"/>
    <x v="12"/>
    <x v="13"/>
    <n v="38.200000000000003"/>
    <n v="229.20000000000002"/>
    <x v="53"/>
    <d v="2025-02-27T00:00:00"/>
    <x v="2"/>
    <x v="0"/>
    <x v="1"/>
    <s v="California"/>
    <s v="San Mateo County"/>
    <x v="5"/>
    <x v="8"/>
    <s v="February"/>
    <x v="2"/>
  </r>
  <r>
    <s v="TX501423"/>
    <x v="8"/>
    <x v="4"/>
    <n v="17.600000000000001"/>
    <n v="211.20000000000002"/>
    <x v="53"/>
    <d v="2025-02-24T00:00:00"/>
    <x v="2"/>
    <x v="2"/>
    <x v="1"/>
    <s v="California"/>
    <s v="San Mateo County"/>
    <x v="3"/>
    <x v="8"/>
    <s v="February"/>
    <x v="2"/>
  </r>
  <r>
    <s v="TX501424"/>
    <x v="10"/>
    <x v="2"/>
    <n v="74.599999999999994"/>
    <n v="223.79999999999998"/>
    <x v="53"/>
    <d v="2025-02-23T00:00:00"/>
    <x v="2"/>
    <x v="2"/>
    <x v="0"/>
    <s v="California"/>
    <s v="Santa Clara County"/>
    <x v="7"/>
    <x v="8"/>
    <s v="February"/>
    <x v="2"/>
  </r>
  <r>
    <s v="TX501425"/>
    <x v="16"/>
    <x v="20"/>
    <n v="72.599999999999994"/>
    <n v="1089"/>
    <x v="53"/>
    <d v="2025-02-23T00:00:00"/>
    <x v="0"/>
    <x v="1"/>
    <x v="1"/>
    <s v="California"/>
    <s v="Santa Clara County"/>
    <x v="7"/>
    <x v="8"/>
    <s v="February"/>
    <x v="0"/>
  </r>
  <r>
    <s v="TX501426"/>
    <x v="7"/>
    <x v="0"/>
    <n v="62.3"/>
    <n v="62.3"/>
    <x v="53"/>
    <d v="2025-02-24T00:00:00"/>
    <x v="2"/>
    <x v="1"/>
    <x v="0"/>
    <s v="California"/>
    <s v="Santa Clara County"/>
    <x v="3"/>
    <x v="8"/>
    <s v="February"/>
    <x v="2"/>
  </r>
  <r>
    <s v="TX501427"/>
    <x v="3"/>
    <x v="2"/>
    <n v="33.799999999999997"/>
    <n v="101.39999999999999"/>
    <x v="53"/>
    <d v="2025-02-25T00:00:00"/>
    <x v="1"/>
    <x v="0"/>
    <x v="2"/>
    <s v="California"/>
    <s v="Tulare County"/>
    <x v="1"/>
    <x v="8"/>
    <s v="February"/>
    <x v="1"/>
  </r>
  <r>
    <s v="TX501428"/>
    <x v="9"/>
    <x v="0"/>
    <n v="85.7"/>
    <n v="85.7"/>
    <x v="53"/>
    <d v="2025-02-26T00:00:00"/>
    <x v="1"/>
    <x v="3"/>
    <x v="1"/>
    <s v="California"/>
    <s v="Alameda County"/>
    <x v="2"/>
    <x v="8"/>
    <s v="February"/>
    <x v="1"/>
  </r>
  <r>
    <s v="TX501429"/>
    <x v="6"/>
    <x v="1"/>
    <n v="92.1"/>
    <n v="184.2"/>
    <x v="53"/>
    <d v="2025-02-25T00:00:00"/>
    <x v="1"/>
    <x v="1"/>
    <x v="0"/>
    <s v="California"/>
    <s v="Alameda County"/>
    <x v="1"/>
    <x v="8"/>
    <s v="February"/>
    <x v="1"/>
  </r>
  <r>
    <s v="TX501430"/>
    <x v="16"/>
    <x v="2"/>
    <n v="65.099999999999994"/>
    <n v="195.29999999999998"/>
    <x v="53"/>
    <d v="2025-02-26T00:00:00"/>
    <x v="1"/>
    <x v="0"/>
    <x v="0"/>
    <s v="California"/>
    <s v="Contra Costa County"/>
    <x v="2"/>
    <x v="8"/>
    <s v="February"/>
    <x v="1"/>
  </r>
  <r>
    <s v="TX501431"/>
    <x v="9"/>
    <x v="3"/>
    <n v="20.3"/>
    <n v="142.1"/>
    <x v="53"/>
    <d v="2025-02-24T00:00:00"/>
    <x v="2"/>
    <x v="2"/>
    <x v="2"/>
    <s v="California"/>
    <s v="Fresno County"/>
    <x v="3"/>
    <x v="8"/>
    <s v="February"/>
    <x v="2"/>
  </r>
  <r>
    <s v="TX501432"/>
    <x v="19"/>
    <x v="1"/>
    <n v="29.8"/>
    <n v="59.6"/>
    <x v="53"/>
    <d v="2025-02-25T00:00:00"/>
    <x v="2"/>
    <x v="1"/>
    <x v="2"/>
    <s v="California"/>
    <s v="Kings County"/>
    <x v="1"/>
    <x v="8"/>
    <s v="February"/>
    <x v="2"/>
  </r>
  <r>
    <s v="TX501433"/>
    <x v="0"/>
    <x v="1"/>
    <n v="24.2"/>
    <n v="48.4"/>
    <x v="53"/>
    <d v="2025-02-25T00:00:00"/>
    <x v="2"/>
    <x v="3"/>
    <x v="2"/>
    <s v="California"/>
    <s v="Los Angeles County"/>
    <x v="1"/>
    <x v="8"/>
    <s v="February"/>
    <x v="2"/>
  </r>
  <r>
    <s v="TX501434"/>
    <x v="3"/>
    <x v="0"/>
    <n v="57.3"/>
    <n v="57.3"/>
    <x v="53"/>
    <d v="2025-02-25T00:00:00"/>
    <x v="1"/>
    <x v="0"/>
    <x v="0"/>
    <s v="California"/>
    <s v="Los Angeles County"/>
    <x v="1"/>
    <x v="8"/>
    <s v="February"/>
    <x v="1"/>
  </r>
  <r>
    <s v="TX501435"/>
    <x v="2"/>
    <x v="0"/>
    <n v="108.9"/>
    <n v="108.9"/>
    <x v="53"/>
    <d v="2025-02-25T00:00:00"/>
    <x v="2"/>
    <x v="1"/>
    <x v="0"/>
    <s v="California"/>
    <s v="Los Angeles County"/>
    <x v="1"/>
    <x v="8"/>
    <s v="February"/>
    <x v="2"/>
  </r>
  <r>
    <s v="TX501436"/>
    <x v="7"/>
    <x v="9"/>
    <n v="50.7"/>
    <n v="253.5"/>
    <x v="53"/>
    <d v="2025-02-24T00:00:00"/>
    <x v="2"/>
    <x v="0"/>
    <x v="0"/>
    <s v="California"/>
    <s v="Los Angeles County"/>
    <x v="3"/>
    <x v="8"/>
    <s v="February"/>
    <x v="2"/>
  </r>
  <r>
    <s v="TX501437"/>
    <x v="7"/>
    <x v="11"/>
    <n v="66.099999999999994"/>
    <n v="594.9"/>
    <x v="53"/>
    <d v="2025-03-09T00:00:00"/>
    <x v="2"/>
    <x v="1"/>
    <x v="0"/>
    <s v="California"/>
    <s v="Los Angeles County"/>
    <x v="12"/>
    <x v="8"/>
    <s v="February"/>
    <x v="2"/>
  </r>
  <r>
    <s v="TX501438"/>
    <x v="12"/>
    <x v="9"/>
    <n v="36.700000000000003"/>
    <n v="183.5"/>
    <x v="53"/>
    <d v="2025-02-27T00:00:00"/>
    <x v="2"/>
    <x v="4"/>
    <x v="0"/>
    <s v="California"/>
    <s v="Los Angeles County"/>
    <x v="5"/>
    <x v="8"/>
    <s v="February"/>
    <x v="2"/>
  </r>
  <r>
    <s v="TX501439"/>
    <x v="8"/>
    <x v="14"/>
    <n v="19.3"/>
    <n v="328.1"/>
    <x v="53"/>
    <d v="2025-02-25T00:00:00"/>
    <x v="1"/>
    <x v="0"/>
    <x v="0"/>
    <s v="California"/>
    <s v="Marin County"/>
    <x v="1"/>
    <x v="8"/>
    <s v="February"/>
    <x v="1"/>
  </r>
  <r>
    <s v="TX501440"/>
    <x v="8"/>
    <x v="12"/>
    <n v="20.7"/>
    <n v="82.8"/>
    <x v="53"/>
    <d v="2025-02-24T00:00:00"/>
    <x v="1"/>
    <x v="1"/>
    <x v="2"/>
    <s v="California"/>
    <s v="Sacramento County"/>
    <x v="3"/>
    <x v="8"/>
    <s v="February"/>
    <x v="1"/>
  </r>
  <r>
    <s v="TX501441"/>
    <x v="5"/>
    <x v="2"/>
    <n v="54.7"/>
    <n v="164.10000000000002"/>
    <x v="53"/>
    <d v="2025-02-23T00:00:00"/>
    <x v="3"/>
    <x v="1"/>
    <x v="4"/>
    <s v="California"/>
    <s v="Sacramento County"/>
    <x v="7"/>
    <x v="8"/>
    <s v="February"/>
    <x v="3"/>
  </r>
  <r>
    <s v="TX501442"/>
    <x v="4"/>
    <x v="1"/>
    <n v="19.8"/>
    <n v="39.6"/>
    <x v="53"/>
    <d v="2025-02-27T00:00:00"/>
    <x v="2"/>
    <x v="4"/>
    <x v="1"/>
    <s v="California"/>
    <s v="San Diego County"/>
    <x v="5"/>
    <x v="8"/>
    <s v="February"/>
    <x v="2"/>
  </r>
  <r>
    <s v="TX501443"/>
    <x v="7"/>
    <x v="0"/>
    <n v="41.1"/>
    <n v="41.1"/>
    <x v="53"/>
    <d v="2025-02-25T00:00:00"/>
    <x v="2"/>
    <x v="0"/>
    <x v="2"/>
    <s v="California"/>
    <s v="San Diego County"/>
    <x v="1"/>
    <x v="8"/>
    <s v="February"/>
    <x v="2"/>
  </r>
  <r>
    <s v="TX501444"/>
    <x v="11"/>
    <x v="8"/>
    <n v="43.5"/>
    <n v="348"/>
    <x v="53"/>
    <d v="2025-02-27T00:00:00"/>
    <x v="2"/>
    <x v="3"/>
    <x v="0"/>
    <s v="California"/>
    <s v="San Diego County"/>
    <x v="5"/>
    <x v="8"/>
    <s v="February"/>
    <x v="2"/>
  </r>
  <r>
    <s v="TX501445"/>
    <x v="8"/>
    <x v="21"/>
    <n v="19"/>
    <n v="266"/>
    <x v="53"/>
    <d v="2025-02-24T00:00:00"/>
    <x v="1"/>
    <x v="0"/>
    <x v="0"/>
    <s v="California"/>
    <s v="San Joaquin County"/>
    <x v="3"/>
    <x v="8"/>
    <s v="February"/>
    <x v="1"/>
  </r>
  <r>
    <s v="TX501446"/>
    <x v="2"/>
    <x v="12"/>
    <n v="51.4"/>
    <n v="205.6"/>
    <x v="53"/>
    <d v="2025-02-23T00:00:00"/>
    <x v="2"/>
    <x v="0"/>
    <x v="0"/>
    <s v="California"/>
    <s v="San Joaquin County"/>
    <x v="7"/>
    <x v="8"/>
    <s v="February"/>
    <x v="2"/>
  </r>
  <r>
    <s v="TX501447"/>
    <x v="10"/>
    <x v="1"/>
    <n v="39.799999999999997"/>
    <n v="79.599999999999994"/>
    <x v="53"/>
    <d v="2025-02-26T00:00:00"/>
    <x v="1"/>
    <x v="3"/>
    <x v="1"/>
    <s v="California"/>
    <s v="Ventura County"/>
    <x v="2"/>
    <x v="8"/>
    <s v="February"/>
    <x v="1"/>
  </r>
  <r>
    <s v="TX501448"/>
    <x v="6"/>
    <x v="9"/>
    <n v="61"/>
    <n v="305"/>
    <x v="53"/>
    <d v="2025-02-24T00:00:00"/>
    <x v="0"/>
    <x v="0"/>
    <x v="2"/>
    <s v="California"/>
    <s v="Alameda County"/>
    <x v="3"/>
    <x v="8"/>
    <s v="February"/>
    <x v="0"/>
  </r>
  <r>
    <s v="TX501449"/>
    <x v="8"/>
    <x v="5"/>
    <n v="15.1"/>
    <n v="166.1"/>
    <x v="54"/>
    <d v="2025-03-01T00:00:00"/>
    <x v="1"/>
    <x v="3"/>
    <x v="2"/>
    <s v="California"/>
    <s v="Fresno County"/>
    <x v="0"/>
    <x v="8"/>
    <s v="February"/>
    <x v="1"/>
  </r>
  <r>
    <s v="TX501450"/>
    <x v="1"/>
    <x v="3"/>
    <n v="71.3"/>
    <n v="499.09999999999997"/>
    <x v="54"/>
    <d v="2025-02-25T00:00:00"/>
    <x v="1"/>
    <x v="4"/>
    <x v="0"/>
    <s v="California"/>
    <s v="Los Angeles County"/>
    <x v="3"/>
    <x v="8"/>
    <s v="February"/>
    <x v="1"/>
  </r>
  <r>
    <s v="TX501451"/>
    <x v="10"/>
    <x v="0"/>
    <n v="25.8"/>
    <n v="25.8"/>
    <x v="54"/>
    <d v="2025-02-26T00:00:00"/>
    <x v="2"/>
    <x v="0"/>
    <x v="2"/>
    <s v="California"/>
    <s v="Los Angeles County"/>
    <x v="1"/>
    <x v="8"/>
    <s v="February"/>
    <x v="2"/>
  </r>
  <r>
    <s v="TX501452"/>
    <x v="8"/>
    <x v="9"/>
    <n v="39.6"/>
    <n v="198"/>
    <x v="54"/>
    <d v="2025-02-26T00:00:00"/>
    <x v="1"/>
    <x v="1"/>
    <x v="2"/>
    <s v="California"/>
    <s v="Los Angeles County"/>
    <x v="1"/>
    <x v="8"/>
    <s v="February"/>
    <x v="1"/>
  </r>
  <r>
    <s v="TX501453"/>
    <x v="5"/>
    <x v="1"/>
    <n v="64"/>
    <n v="128"/>
    <x v="54"/>
    <d v="2025-02-24T00:00:00"/>
    <x v="1"/>
    <x v="1"/>
    <x v="1"/>
    <s v="California"/>
    <s v="Los Angeles County"/>
    <x v="7"/>
    <x v="8"/>
    <s v="February"/>
    <x v="1"/>
  </r>
  <r>
    <s v="TX501454"/>
    <x v="8"/>
    <x v="1"/>
    <n v="30.6"/>
    <n v="61.2"/>
    <x v="54"/>
    <d v="2025-02-27T00:00:00"/>
    <x v="1"/>
    <x v="0"/>
    <x v="2"/>
    <s v="California"/>
    <s v="Los Angeles County"/>
    <x v="2"/>
    <x v="8"/>
    <s v="February"/>
    <x v="1"/>
  </r>
  <r>
    <s v="TX501455"/>
    <x v="8"/>
    <x v="1"/>
    <n v="21.3"/>
    <n v="42.6"/>
    <x v="54"/>
    <d v="2025-02-25T00:00:00"/>
    <x v="1"/>
    <x v="0"/>
    <x v="1"/>
    <s v="California"/>
    <s v="Los Angeles County"/>
    <x v="3"/>
    <x v="8"/>
    <s v="February"/>
    <x v="1"/>
  </r>
  <r>
    <s v="TX501456"/>
    <x v="7"/>
    <x v="0"/>
    <n v="40.799999999999997"/>
    <n v="40.799999999999997"/>
    <x v="54"/>
    <d v="2025-02-26T00:00:00"/>
    <x v="2"/>
    <x v="4"/>
    <x v="0"/>
    <s v="California"/>
    <s v="Los Angeles County"/>
    <x v="1"/>
    <x v="8"/>
    <s v="February"/>
    <x v="2"/>
  </r>
  <r>
    <s v="TX501457"/>
    <x v="9"/>
    <x v="12"/>
    <n v="27.7"/>
    <n v="110.8"/>
    <x v="54"/>
    <d v="2025-02-25T00:00:00"/>
    <x v="2"/>
    <x v="0"/>
    <x v="1"/>
    <s v="California"/>
    <s v="Los Angeles County"/>
    <x v="3"/>
    <x v="8"/>
    <s v="February"/>
    <x v="2"/>
  </r>
  <r>
    <s v="TX501458"/>
    <x v="6"/>
    <x v="1"/>
    <n v="64.599999999999994"/>
    <n v="129.19999999999999"/>
    <x v="54"/>
    <d v="2025-02-25T00:00:00"/>
    <x v="1"/>
    <x v="0"/>
    <x v="1"/>
    <s v="California"/>
    <s v="Los Angeles County"/>
    <x v="3"/>
    <x v="8"/>
    <s v="February"/>
    <x v="1"/>
  </r>
  <r>
    <s v="TX501459"/>
    <x v="6"/>
    <x v="27"/>
    <n v="91.1"/>
    <n v="1457.6"/>
    <x v="54"/>
    <d v="2025-02-25T00:00:00"/>
    <x v="2"/>
    <x v="1"/>
    <x v="2"/>
    <s v="California"/>
    <s v="Los Angeles County"/>
    <x v="3"/>
    <x v="8"/>
    <s v="February"/>
    <x v="2"/>
  </r>
  <r>
    <s v="TX501460"/>
    <x v="1"/>
    <x v="0"/>
    <n v="39.5"/>
    <n v="39.5"/>
    <x v="54"/>
    <d v="2025-03-04T00:00:00"/>
    <x v="2"/>
    <x v="0"/>
    <x v="0"/>
    <s v="California"/>
    <s v="Los Angeles County"/>
    <x v="9"/>
    <x v="8"/>
    <s v="February"/>
    <x v="2"/>
  </r>
  <r>
    <s v="TX501461"/>
    <x v="9"/>
    <x v="1"/>
    <n v="21.8"/>
    <n v="43.6"/>
    <x v="54"/>
    <d v="2025-02-28T00:00:00"/>
    <x v="1"/>
    <x v="4"/>
    <x v="2"/>
    <s v="California"/>
    <s v="Los Angeles County"/>
    <x v="5"/>
    <x v="8"/>
    <s v="February"/>
    <x v="1"/>
  </r>
  <r>
    <s v="TX501462"/>
    <x v="8"/>
    <x v="1"/>
    <n v="51"/>
    <n v="102"/>
    <x v="54"/>
    <d v="2025-02-27T00:00:00"/>
    <x v="1"/>
    <x v="3"/>
    <x v="2"/>
    <s v="California"/>
    <s v="Los Angeles County"/>
    <x v="2"/>
    <x v="8"/>
    <s v="February"/>
    <x v="1"/>
  </r>
  <r>
    <s v="TX501463"/>
    <x v="2"/>
    <x v="0"/>
    <n v="92.6"/>
    <n v="92.6"/>
    <x v="54"/>
    <d v="2025-02-27T00:00:00"/>
    <x v="2"/>
    <x v="0"/>
    <x v="2"/>
    <s v="California"/>
    <s v="Plumas County"/>
    <x v="2"/>
    <x v="8"/>
    <s v="February"/>
    <x v="2"/>
  </r>
  <r>
    <s v="TX501464"/>
    <x v="9"/>
    <x v="1"/>
    <n v="31.1"/>
    <n v="62.2"/>
    <x v="54"/>
    <d v="2025-03-01T00:00:00"/>
    <x v="0"/>
    <x v="1"/>
    <x v="3"/>
    <s v="California"/>
    <s v="Riverside County"/>
    <x v="0"/>
    <x v="8"/>
    <s v="February"/>
    <x v="0"/>
  </r>
  <r>
    <s v="TX501465"/>
    <x v="5"/>
    <x v="2"/>
    <n v="56.4"/>
    <n v="169.2"/>
    <x v="54"/>
    <d v="2025-02-25T00:00:00"/>
    <x v="0"/>
    <x v="1"/>
    <x v="0"/>
    <s v="California"/>
    <s v="Sacramento County"/>
    <x v="3"/>
    <x v="8"/>
    <s v="February"/>
    <x v="0"/>
  </r>
  <r>
    <s v="TX501466"/>
    <x v="9"/>
    <x v="0"/>
    <n v="41.9"/>
    <n v="41.9"/>
    <x v="54"/>
    <d v="2025-02-24T00:00:00"/>
    <x v="1"/>
    <x v="1"/>
    <x v="0"/>
    <s v="California"/>
    <s v="Sacramento County"/>
    <x v="7"/>
    <x v="8"/>
    <s v="February"/>
    <x v="1"/>
  </r>
  <r>
    <s v="TX501467"/>
    <x v="10"/>
    <x v="3"/>
    <n v="45.9"/>
    <n v="321.3"/>
    <x v="54"/>
    <d v="2025-02-25T00:00:00"/>
    <x v="1"/>
    <x v="3"/>
    <x v="2"/>
    <s v="California"/>
    <s v="San Diego County"/>
    <x v="3"/>
    <x v="8"/>
    <s v="February"/>
    <x v="1"/>
  </r>
  <r>
    <s v="TX501468"/>
    <x v="14"/>
    <x v="11"/>
    <n v="24.4"/>
    <n v="219.6"/>
    <x v="54"/>
    <d v="2025-02-28T00:00:00"/>
    <x v="1"/>
    <x v="3"/>
    <x v="2"/>
    <s v="California"/>
    <s v="San Diego County"/>
    <x v="5"/>
    <x v="8"/>
    <s v="February"/>
    <x v="1"/>
  </r>
  <r>
    <s v="TX501469"/>
    <x v="8"/>
    <x v="0"/>
    <n v="18.2"/>
    <n v="18.2"/>
    <x v="54"/>
    <d v="2025-02-25T00:00:00"/>
    <x v="2"/>
    <x v="2"/>
    <x v="2"/>
    <s v="California"/>
    <s v="San Diego County"/>
    <x v="3"/>
    <x v="8"/>
    <s v="February"/>
    <x v="2"/>
  </r>
  <r>
    <s v="TX501470"/>
    <x v="8"/>
    <x v="12"/>
    <n v="51.2"/>
    <n v="204.8"/>
    <x v="54"/>
    <d v="2025-02-25T00:00:00"/>
    <x v="2"/>
    <x v="0"/>
    <x v="0"/>
    <s v="California"/>
    <s v="San Diego County"/>
    <x v="3"/>
    <x v="8"/>
    <s v="February"/>
    <x v="2"/>
  </r>
  <r>
    <s v="TX501471"/>
    <x v="6"/>
    <x v="0"/>
    <n v="59.7"/>
    <n v="59.7"/>
    <x v="54"/>
    <d v="2025-02-27T00:00:00"/>
    <x v="1"/>
    <x v="0"/>
    <x v="2"/>
    <s v="California"/>
    <s v="San Diego County"/>
    <x v="2"/>
    <x v="8"/>
    <s v="February"/>
    <x v="1"/>
  </r>
  <r>
    <s v="TX501472"/>
    <x v="4"/>
    <x v="1"/>
    <n v="33.6"/>
    <n v="67.2"/>
    <x v="54"/>
    <d v="2025-02-26T00:00:00"/>
    <x v="2"/>
    <x v="0"/>
    <x v="0"/>
    <s v="California"/>
    <s v="San Francisco"/>
    <x v="1"/>
    <x v="8"/>
    <s v="February"/>
    <x v="2"/>
  </r>
  <r>
    <s v="TX501473"/>
    <x v="12"/>
    <x v="0"/>
    <n v="90.4"/>
    <n v="90.4"/>
    <x v="54"/>
    <d v="2025-02-28T00:00:00"/>
    <x v="1"/>
    <x v="1"/>
    <x v="2"/>
    <s v="California"/>
    <s v="Santa Barbara County"/>
    <x v="5"/>
    <x v="8"/>
    <s v="February"/>
    <x v="1"/>
  </r>
  <r>
    <s v="TX501474"/>
    <x v="11"/>
    <x v="2"/>
    <n v="70.3"/>
    <n v="210.89999999999998"/>
    <x v="54"/>
    <d v="2025-02-24T00:00:00"/>
    <x v="1"/>
    <x v="1"/>
    <x v="2"/>
    <s v="California"/>
    <s v="Santa Clara County"/>
    <x v="7"/>
    <x v="8"/>
    <s v="February"/>
    <x v="1"/>
  </r>
  <r>
    <s v="TX501475"/>
    <x v="4"/>
    <x v="1"/>
    <n v="20.5"/>
    <n v="41"/>
    <x v="54"/>
    <d v="2025-02-27T00:00:00"/>
    <x v="2"/>
    <x v="0"/>
    <x v="1"/>
    <s v="California"/>
    <s v="Santa Clara County"/>
    <x v="2"/>
    <x v="8"/>
    <s v="February"/>
    <x v="2"/>
  </r>
  <r>
    <s v="TX501476"/>
    <x v="5"/>
    <x v="5"/>
    <n v="37.6"/>
    <n v="413.6"/>
    <x v="54"/>
    <d v="2025-02-25T00:00:00"/>
    <x v="1"/>
    <x v="0"/>
    <x v="0"/>
    <s v="California"/>
    <s v="Solano County"/>
    <x v="3"/>
    <x v="8"/>
    <s v="February"/>
    <x v="1"/>
  </r>
  <r>
    <s v="TX501477"/>
    <x v="5"/>
    <x v="12"/>
    <n v="61.5"/>
    <n v="246"/>
    <x v="54"/>
    <d v="2025-03-03T00:00:00"/>
    <x v="2"/>
    <x v="1"/>
    <x v="4"/>
    <s v="California"/>
    <s v="Ventura County"/>
    <x v="6"/>
    <x v="8"/>
    <s v="February"/>
    <x v="2"/>
  </r>
  <r>
    <s v="TX501478"/>
    <x v="9"/>
    <x v="0"/>
    <n v="33.5"/>
    <n v="33.5"/>
    <x v="55"/>
    <d v="2025-03-01T00:00:00"/>
    <x v="1"/>
    <x v="4"/>
    <x v="1"/>
    <s v="California"/>
    <s v="Alameda County"/>
    <x v="5"/>
    <x v="8"/>
    <s v="February"/>
    <x v="1"/>
  </r>
  <r>
    <s v="TX501479"/>
    <x v="4"/>
    <x v="2"/>
    <n v="29.3"/>
    <n v="87.9"/>
    <x v="55"/>
    <d v="2025-02-27T00:00:00"/>
    <x v="2"/>
    <x v="1"/>
    <x v="2"/>
    <s v="California"/>
    <s v="Contra Costa County"/>
    <x v="1"/>
    <x v="8"/>
    <s v="February"/>
    <x v="2"/>
  </r>
  <r>
    <s v="TX501480"/>
    <x v="2"/>
    <x v="1"/>
    <n v="125.9"/>
    <n v="251.8"/>
    <x v="55"/>
    <d v="2025-03-02T00:00:00"/>
    <x v="2"/>
    <x v="4"/>
    <x v="1"/>
    <s v="California"/>
    <s v="Contra Costa County"/>
    <x v="0"/>
    <x v="8"/>
    <s v="February"/>
    <x v="2"/>
  </r>
  <r>
    <s v="TX501481"/>
    <x v="5"/>
    <x v="9"/>
    <n v="29.3"/>
    <n v="146.5"/>
    <x v="55"/>
    <d v="2025-02-25T00:00:00"/>
    <x v="1"/>
    <x v="2"/>
    <x v="0"/>
    <s v="California"/>
    <s v="Humboldt County"/>
    <x v="7"/>
    <x v="8"/>
    <s v="February"/>
    <x v="1"/>
  </r>
  <r>
    <s v="TX501482"/>
    <x v="9"/>
    <x v="0"/>
    <n v="37.799999999999997"/>
    <n v="37.799999999999997"/>
    <x v="55"/>
    <d v="2025-02-28T00:00:00"/>
    <x v="2"/>
    <x v="0"/>
    <x v="2"/>
    <s v="California"/>
    <s v="Los Angeles County"/>
    <x v="2"/>
    <x v="8"/>
    <s v="February"/>
    <x v="2"/>
  </r>
  <r>
    <s v="TX501483"/>
    <x v="0"/>
    <x v="12"/>
    <n v="31.7"/>
    <n v="126.8"/>
    <x v="55"/>
    <d v="2025-02-26T00:00:00"/>
    <x v="1"/>
    <x v="2"/>
    <x v="2"/>
    <s v="California"/>
    <s v="Los Angeles County"/>
    <x v="3"/>
    <x v="8"/>
    <s v="February"/>
    <x v="1"/>
  </r>
  <r>
    <s v="TX501484"/>
    <x v="8"/>
    <x v="9"/>
    <n v="26.3"/>
    <n v="131.5"/>
    <x v="55"/>
    <d v="2025-02-26T00:00:00"/>
    <x v="2"/>
    <x v="3"/>
    <x v="2"/>
    <s v="California"/>
    <s v="Los Angeles County"/>
    <x v="3"/>
    <x v="8"/>
    <s v="February"/>
    <x v="2"/>
  </r>
  <r>
    <s v="TX501485"/>
    <x v="8"/>
    <x v="2"/>
    <n v="23.1"/>
    <n v="69.300000000000011"/>
    <x v="55"/>
    <d v="2025-02-26T00:00:00"/>
    <x v="3"/>
    <x v="2"/>
    <x v="1"/>
    <s v="California"/>
    <s v="Los Angeles County"/>
    <x v="3"/>
    <x v="8"/>
    <s v="February"/>
    <x v="3"/>
  </r>
  <r>
    <s v="TX501486"/>
    <x v="4"/>
    <x v="0"/>
    <n v="22.3"/>
    <n v="22.3"/>
    <x v="55"/>
    <d v="2025-02-27T00:00:00"/>
    <x v="2"/>
    <x v="2"/>
    <x v="0"/>
    <s v="California"/>
    <s v="Los Angeles County"/>
    <x v="1"/>
    <x v="8"/>
    <s v="February"/>
    <x v="2"/>
  </r>
  <r>
    <s v="TX501487"/>
    <x v="12"/>
    <x v="1"/>
    <n v="99.5"/>
    <n v="199"/>
    <x v="55"/>
    <d v="2025-02-27T00:00:00"/>
    <x v="2"/>
    <x v="2"/>
    <x v="0"/>
    <s v="California"/>
    <s v="Los Angeles County"/>
    <x v="1"/>
    <x v="8"/>
    <s v="February"/>
    <x v="2"/>
  </r>
  <r>
    <s v="TX501488"/>
    <x v="12"/>
    <x v="12"/>
    <n v="47.4"/>
    <n v="189.6"/>
    <x v="55"/>
    <d v="2025-02-28T00:00:00"/>
    <x v="2"/>
    <x v="1"/>
    <x v="0"/>
    <s v="California"/>
    <s v="Los Angeles County"/>
    <x v="2"/>
    <x v="8"/>
    <s v="February"/>
    <x v="2"/>
  </r>
  <r>
    <s v="TX501489"/>
    <x v="0"/>
    <x v="5"/>
    <n v="37.5"/>
    <n v="412.5"/>
    <x v="55"/>
    <d v="2025-02-27T00:00:00"/>
    <x v="2"/>
    <x v="0"/>
    <x v="3"/>
    <s v="California"/>
    <s v="Los Angeles County"/>
    <x v="1"/>
    <x v="8"/>
    <s v="February"/>
    <x v="2"/>
  </r>
  <r>
    <s v="TX501490"/>
    <x v="10"/>
    <x v="0"/>
    <n v="45.1"/>
    <n v="45.1"/>
    <x v="55"/>
    <d v="2025-03-02T00:00:00"/>
    <x v="1"/>
    <x v="3"/>
    <x v="2"/>
    <s v="California"/>
    <s v="Merced County"/>
    <x v="0"/>
    <x v="8"/>
    <s v="February"/>
    <x v="1"/>
  </r>
  <r>
    <s v="TX501491"/>
    <x v="5"/>
    <x v="7"/>
    <n v="34.4"/>
    <n v="344"/>
    <x v="55"/>
    <d v="2025-02-28T00:00:00"/>
    <x v="1"/>
    <x v="2"/>
    <x v="0"/>
    <s v="California"/>
    <s v="Napa County"/>
    <x v="2"/>
    <x v="8"/>
    <s v="February"/>
    <x v="1"/>
  </r>
  <r>
    <s v="TX501492"/>
    <x v="4"/>
    <x v="1"/>
    <n v="38"/>
    <n v="76"/>
    <x v="55"/>
    <d v="2025-02-27T00:00:00"/>
    <x v="2"/>
    <x v="1"/>
    <x v="0"/>
    <s v="California"/>
    <s v="Placer County"/>
    <x v="1"/>
    <x v="8"/>
    <s v="February"/>
    <x v="2"/>
  </r>
  <r>
    <s v="TX501493"/>
    <x v="3"/>
    <x v="21"/>
    <n v="32.4"/>
    <n v="453.59999999999997"/>
    <x v="55"/>
    <d v="2025-02-28T00:00:00"/>
    <x v="1"/>
    <x v="4"/>
    <x v="0"/>
    <s v="California"/>
    <s v="Sacramento County"/>
    <x v="2"/>
    <x v="8"/>
    <s v="February"/>
    <x v="1"/>
  </r>
  <r>
    <s v="TX501494"/>
    <x v="6"/>
    <x v="2"/>
    <n v="40.9"/>
    <n v="122.69999999999999"/>
    <x v="55"/>
    <d v="2025-02-25T00:00:00"/>
    <x v="0"/>
    <x v="1"/>
    <x v="0"/>
    <s v="California"/>
    <s v="San Diego County"/>
    <x v="7"/>
    <x v="8"/>
    <s v="February"/>
    <x v="0"/>
  </r>
  <r>
    <s v="TX501495"/>
    <x v="7"/>
    <x v="3"/>
    <n v="76.2"/>
    <n v="533.4"/>
    <x v="55"/>
    <d v="2025-02-27T00:00:00"/>
    <x v="2"/>
    <x v="2"/>
    <x v="1"/>
    <s v="California"/>
    <s v="San Diego County"/>
    <x v="1"/>
    <x v="8"/>
    <s v="February"/>
    <x v="2"/>
  </r>
  <r>
    <s v="TX501496"/>
    <x v="2"/>
    <x v="0"/>
    <n v="85.6"/>
    <n v="85.6"/>
    <x v="55"/>
    <d v="2025-02-27T00:00:00"/>
    <x v="1"/>
    <x v="2"/>
    <x v="0"/>
    <s v="California"/>
    <s v="San Diego County"/>
    <x v="1"/>
    <x v="8"/>
    <s v="February"/>
    <x v="1"/>
  </r>
  <r>
    <s v="TX501497"/>
    <x v="4"/>
    <x v="12"/>
    <n v="25"/>
    <n v="100"/>
    <x v="55"/>
    <d v="2025-02-27T00:00:00"/>
    <x v="2"/>
    <x v="2"/>
    <x v="2"/>
    <s v="California"/>
    <s v="San Diego County"/>
    <x v="1"/>
    <x v="8"/>
    <s v="February"/>
    <x v="2"/>
  </r>
  <r>
    <s v="TX501498"/>
    <x v="2"/>
    <x v="9"/>
    <n v="150.69999999999999"/>
    <n v="753.5"/>
    <x v="55"/>
    <d v="2025-02-26T00:00:00"/>
    <x v="0"/>
    <x v="0"/>
    <x v="2"/>
    <s v="California"/>
    <s v="San Diego County"/>
    <x v="3"/>
    <x v="8"/>
    <s v="February"/>
    <x v="0"/>
  </r>
  <r>
    <s v="TX501499"/>
    <x v="8"/>
    <x v="0"/>
    <n v="19.600000000000001"/>
    <n v="19.600000000000001"/>
    <x v="55"/>
    <d v="2025-02-26T00:00:00"/>
    <x v="1"/>
    <x v="1"/>
    <x v="4"/>
    <s v="California"/>
    <s v="San Diego County"/>
    <x v="3"/>
    <x v="8"/>
    <s v="February"/>
    <x v="1"/>
  </r>
  <r>
    <s v="TX501500"/>
    <x v="13"/>
    <x v="1"/>
    <n v="37.5"/>
    <n v="75"/>
    <x v="55"/>
    <d v="2025-02-28T00:00:00"/>
    <x v="2"/>
    <x v="1"/>
    <x v="2"/>
    <s v="California"/>
    <s v="San Francisco"/>
    <x v="2"/>
    <x v="8"/>
    <s v="February"/>
    <x v="2"/>
  </r>
  <r>
    <s v="TX501501"/>
    <x v="9"/>
    <x v="2"/>
    <n v="51.9"/>
    <n v="155.69999999999999"/>
    <x v="55"/>
    <d v="2025-03-03T00:00:00"/>
    <x v="2"/>
    <x v="0"/>
    <x v="4"/>
    <s v="California"/>
    <s v="Santa Clara County"/>
    <x v="4"/>
    <x v="8"/>
    <s v="February"/>
    <x v="2"/>
  </r>
  <r>
    <s v="TX501502"/>
    <x v="1"/>
    <x v="1"/>
    <n v="30.9"/>
    <n v="61.8"/>
    <x v="55"/>
    <d v="2025-02-27T00:00:00"/>
    <x v="2"/>
    <x v="1"/>
    <x v="0"/>
    <s v="California"/>
    <s v="Sonoma County"/>
    <x v="1"/>
    <x v="8"/>
    <s v="February"/>
    <x v="2"/>
  </r>
  <r>
    <s v="TX501503"/>
    <x v="4"/>
    <x v="2"/>
    <n v="21.2"/>
    <n v="63.599999999999994"/>
    <x v="55"/>
    <d v="2025-02-28T00:00:00"/>
    <x v="2"/>
    <x v="1"/>
    <x v="0"/>
    <s v="California"/>
    <s v="Stanislaus County"/>
    <x v="2"/>
    <x v="8"/>
    <s v="February"/>
    <x v="2"/>
  </r>
  <r>
    <s v="TX501504"/>
    <x v="13"/>
    <x v="14"/>
    <n v="17.5"/>
    <n v="297.5"/>
    <x v="55"/>
    <d v="2025-02-26T00:00:00"/>
    <x v="1"/>
    <x v="1"/>
    <x v="1"/>
    <s v="California"/>
    <s v="Ventura County"/>
    <x v="3"/>
    <x v="8"/>
    <s v="February"/>
    <x v="1"/>
  </r>
  <r>
    <s v="TX501505"/>
    <x v="12"/>
    <x v="1"/>
    <n v="53.8"/>
    <n v="107.6"/>
    <x v="55"/>
    <d v="2025-03-02T00:00:00"/>
    <x v="2"/>
    <x v="0"/>
    <x v="2"/>
    <s v="California"/>
    <s v="Alameda County"/>
    <x v="0"/>
    <x v="8"/>
    <s v="February"/>
    <x v="2"/>
  </r>
  <r>
    <s v="TX501506"/>
    <x v="19"/>
    <x v="1"/>
    <n v="17"/>
    <n v="34"/>
    <x v="55"/>
    <d v="2025-02-26T00:00:00"/>
    <x v="1"/>
    <x v="3"/>
    <x v="0"/>
    <s v="California"/>
    <s v="Alameda County"/>
    <x v="3"/>
    <x v="8"/>
    <s v="February"/>
    <x v="1"/>
  </r>
  <r>
    <s v="TX501507"/>
    <x v="6"/>
    <x v="0"/>
    <n v="103.2"/>
    <n v="103.2"/>
    <x v="55"/>
    <d v="2025-03-05T00:00:00"/>
    <x v="1"/>
    <x v="2"/>
    <x v="1"/>
    <s v="California"/>
    <s v="Contra Costa County"/>
    <x v="9"/>
    <x v="8"/>
    <s v="February"/>
    <x v="1"/>
  </r>
  <r>
    <s v="TX501508"/>
    <x v="6"/>
    <x v="12"/>
    <n v="70.3"/>
    <n v="281.2"/>
    <x v="55"/>
    <d v="2025-02-26T00:00:00"/>
    <x v="1"/>
    <x v="0"/>
    <x v="0"/>
    <s v="California"/>
    <s v="Los Angeles County"/>
    <x v="3"/>
    <x v="8"/>
    <s v="February"/>
    <x v="1"/>
  </r>
  <r>
    <s v="TX501509"/>
    <x v="2"/>
    <x v="1"/>
    <n v="73.8"/>
    <n v="147.6"/>
    <x v="55"/>
    <d v="2025-02-25T00:00:00"/>
    <x v="1"/>
    <x v="3"/>
    <x v="2"/>
    <s v="California"/>
    <s v="Los Angeles County"/>
    <x v="7"/>
    <x v="8"/>
    <s v="February"/>
    <x v="1"/>
  </r>
  <r>
    <s v="TX501510"/>
    <x v="1"/>
    <x v="4"/>
    <n v="67.7"/>
    <n v="812.40000000000009"/>
    <x v="55"/>
    <d v="2025-03-01T00:00:00"/>
    <x v="1"/>
    <x v="1"/>
    <x v="1"/>
    <s v="California"/>
    <s v="Los Angeles County"/>
    <x v="5"/>
    <x v="8"/>
    <s v="February"/>
    <x v="1"/>
  </r>
  <r>
    <s v="TX501511"/>
    <x v="13"/>
    <x v="3"/>
    <n v="43.8"/>
    <n v="306.59999999999997"/>
    <x v="55"/>
    <d v="2025-02-27T00:00:00"/>
    <x v="1"/>
    <x v="1"/>
    <x v="0"/>
    <s v="California"/>
    <s v="Los Angeles County"/>
    <x v="1"/>
    <x v="8"/>
    <s v="February"/>
    <x v="1"/>
  </r>
  <r>
    <s v="TX501512"/>
    <x v="17"/>
    <x v="13"/>
    <n v="71.900000000000006"/>
    <n v="431.40000000000003"/>
    <x v="55"/>
    <d v="2025-02-26T00:00:00"/>
    <x v="2"/>
    <x v="2"/>
    <x v="0"/>
    <s v="California"/>
    <s v="Los Angeles County"/>
    <x v="3"/>
    <x v="8"/>
    <s v="February"/>
    <x v="2"/>
  </r>
  <r>
    <s v="TX501513"/>
    <x v="8"/>
    <x v="1"/>
    <n v="26.3"/>
    <n v="52.6"/>
    <x v="56"/>
    <d v="2025-02-28T00:00:00"/>
    <x v="2"/>
    <x v="0"/>
    <x v="1"/>
    <s v="California"/>
    <s v="Los Angeles County"/>
    <x v="1"/>
    <x v="8"/>
    <s v="February"/>
    <x v="2"/>
  </r>
  <r>
    <s v="TX501514"/>
    <x v="6"/>
    <x v="12"/>
    <n v="52.6"/>
    <n v="210.4"/>
    <x v="56"/>
    <d v="2025-02-28T00:00:00"/>
    <x v="2"/>
    <x v="2"/>
    <x v="1"/>
    <s v="California"/>
    <s v="Los Angeles County"/>
    <x v="1"/>
    <x v="8"/>
    <s v="February"/>
    <x v="2"/>
  </r>
  <r>
    <s v="TX501515"/>
    <x v="10"/>
    <x v="0"/>
    <n v="32.700000000000003"/>
    <n v="32.700000000000003"/>
    <x v="56"/>
    <d v="2025-03-05T00:00:00"/>
    <x v="2"/>
    <x v="0"/>
    <x v="2"/>
    <s v="California"/>
    <s v="Los Angeles County"/>
    <x v="6"/>
    <x v="8"/>
    <s v="February"/>
    <x v="2"/>
  </r>
  <r>
    <s v="TX501516"/>
    <x v="5"/>
    <x v="12"/>
    <n v="38.9"/>
    <n v="155.6"/>
    <x v="56"/>
    <d v="2025-02-27T00:00:00"/>
    <x v="2"/>
    <x v="0"/>
    <x v="0"/>
    <s v="California"/>
    <s v="Los Angeles County"/>
    <x v="3"/>
    <x v="8"/>
    <s v="February"/>
    <x v="2"/>
  </r>
  <r>
    <s v="TX501517"/>
    <x v="9"/>
    <x v="9"/>
    <n v="35"/>
    <n v="175"/>
    <x v="56"/>
    <d v="2025-02-28T00:00:00"/>
    <x v="1"/>
    <x v="0"/>
    <x v="0"/>
    <s v="California"/>
    <s v="Los Angeles County"/>
    <x v="1"/>
    <x v="8"/>
    <s v="February"/>
    <x v="1"/>
  </r>
  <r>
    <s v="TX501518"/>
    <x v="2"/>
    <x v="1"/>
    <n v="121"/>
    <n v="242"/>
    <x v="56"/>
    <d v="2025-02-27T00:00:00"/>
    <x v="2"/>
    <x v="1"/>
    <x v="1"/>
    <s v="California"/>
    <s v="Los Angeles County"/>
    <x v="3"/>
    <x v="8"/>
    <s v="February"/>
    <x v="2"/>
  </r>
  <r>
    <s v="TX501519"/>
    <x v="6"/>
    <x v="2"/>
    <n v="65.099999999999994"/>
    <n v="195.29999999999998"/>
    <x v="56"/>
    <d v="2025-03-02T00:00:00"/>
    <x v="1"/>
    <x v="2"/>
    <x v="0"/>
    <s v="California"/>
    <s v="San Benito County"/>
    <x v="5"/>
    <x v="8"/>
    <s v="February"/>
    <x v="1"/>
  </r>
  <r>
    <s v="TX501520"/>
    <x v="1"/>
    <x v="38"/>
    <n v="63.8"/>
    <n v="1339.8"/>
    <x v="56"/>
    <d v="2025-02-28T00:00:00"/>
    <x v="2"/>
    <x v="0"/>
    <x v="0"/>
    <s v="California"/>
    <s v="San Diego County"/>
    <x v="1"/>
    <x v="8"/>
    <s v="February"/>
    <x v="2"/>
  </r>
  <r>
    <s v="TX501521"/>
    <x v="7"/>
    <x v="0"/>
    <n v="77.7"/>
    <n v="77.7"/>
    <x v="56"/>
    <d v="2025-02-28T00:00:00"/>
    <x v="1"/>
    <x v="0"/>
    <x v="0"/>
    <s v="California"/>
    <s v="San Diego County"/>
    <x v="1"/>
    <x v="8"/>
    <s v="February"/>
    <x v="1"/>
  </r>
  <r>
    <s v="TX501522"/>
    <x v="5"/>
    <x v="12"/>
    <n v="60.3"/>
    <n v="241.2"/>
    <x v="56"/>
    <d v="2025-02-26T00:00:00"/>
    <x v="1"/>
    <x v="0"/>
    <x v="2"/>
    <s v="California"/>
    <s v="San Diego County"/>
    <x v="7"/>
    <x v="8"/>
    <s v="February"/>
    <x v="1"/>
  </r>
  <r>
    <s v="TX501523"/>
    <x v="5"/>
    <x v="1"/>
    <n v="124.1"/>
    <n v="248.2"/>
    <x v="56"/>
    <d v="2025-03-01T00:00:00"/>
    <x v="2"/>
    <x v="0"/>
    <x v="2"/>
    <s v="California"/>
    <s v="San Diego County"/>
    <x v="2"/>
    <x v="8"/>
    <s v="February"/>
    <x v="2"/>
  </r>
  <r>
    <s v="TX501524"/>
    <x v="16"/>
    <x v="3"/>
    <n v="66"/>
    <n v="462"/>
    <x v="56"/>
    <d v="2025-02-26T00:00:00"/>
    <x v="0"/>
    <x v="3"/>
    <x v="0"/>
    <s v="California"/>
    <s v="San Francisco"/>
    <x v="7"/>
    <x v="8"/>
    <s v="February"/>
    <x v="0"/>
  </r>
  <r>
    <s v="TX501525"/>
    <x v="2"/>
    <x v="42"/>
    <n v="118.2"/>
    <n v="7446.6"/>
    <x v="56"/>
    <d v="2025-03-03T00:00:00"/>
    <x v="0"/>
    <x v="0"/>
    <x v="0"/>
    <s v="California"/>
    <s v="San Francisco"/>
    <x v="0"/>
    <x v="8"/>
    <s v="February"/>
    <x v="0"/>
  </r>
  <r>
    <s v="TX501526"/>
    <x v="5"/>
    <x v="9"/>
    <n v="64.3"/>
    <n v="321.5"/>
    <x v="56"/>
    <d v="2025-02-27T00:00:00"/>
    <x v="1"/>
    <x v="4"/>
    <x v="4"/>
    <s v="California"/>
    <s v="San Joaquin County"/>
    <x v="3"/>
    <x v="8"/>
    <s v="February"/>
    <x v="1"/>
  </r>
  <r>
    <s v="TX501527"/>
    <x v="1"/>
    <x v="1"/>
    <n v="54.8"/>
    <n v="109.6"/>
    <x v="56"/>
    <d v="2025-02-26T00:00:00"/>
    <x v="1"/>
    <x v="0"/>
    <x v="1"/>
    <s v="California"/>
    <s v="San Joaquin County"/>
    <x v="7"/>
    <x v="8"/>
    <s v="February"/>
    <x v="1"/>
  </r>
  <r>
    <s v="TX501528"/>
    <x v="7"/>
    <x v="1"/>
    <n v="78.599999999999994"/>
    <n v="157.19999999999999"/>
    <x v="56"/>
    <d v="2025-02-27T00:00:00"/>
    <x v="1"/>
    <x v="0"/>
    <x v="2"/>
    <s v="California"/>
    <s v="San Mateo County"/>
    <x v="3"/>
    <x v="8"/>
    <s v="February"/>
    <x v="1"/>
  </r>
  <r>
    <s v="TX501529"/>
    <x v="2"/>
    <x v="9"/>
    <n v="158.5"/>
    <n v="792.5"/>
    <x v="56"/>
    <d v="2025-02-28T00:00:00"/>
    <x v="0"/>
    <x v="2"/>
    <x v="2"/>
    <s v="California"/>
    <s v="San Mateo County"/>
    <x v="1"/>
    <x v="8"/>
    <s v="February"/>
    <x v="0"/>
  </r>
  <r>
    <s v="TX501530"/>
    <x v="4"/>
    <x v="7"/>
    <n v="23.5"/>
    <n v="235"/>
    <x v="56"/>
    <d v="2025-03-01T00:00:00"/>
    <x v="1"/>
    <x v="0"/>
    <x v="4"/>
    <s v="California"/>
    <s v="Santa Barbara County"/>
    <x v="2"/>
    <x v="8"/>
    <s v="February"/>
    <x v="1"/>
  </r>
  <r>
    <s v="TX501531"/>
    <x v="5"/>
    <x v="1"/>
    <n v="32.1"/>
    <n v="64.2"/>
    <x v="56"/>
    <d v="2025-02-28T00:00:00"/>
    <x v="0"/>
    <x v="3"/>
    <x v="0"/>
    <s v="California"/>
    <s v="Santa Barbara County"/>
    <x v="1"/>
    <x v="8"/>
    <s v="February"/>
    <x v="0"/>
  </r>
  <r>
    <s v="TX501532"/>
    <x v="17"/>
    <x v="12"/>
    <n v="71.900000000000006"/>
    <n v="287.60000000000002"/>
    <x v="56"/>
    <d v="2025-02-26T00:00:00"/>
    <x v="1"/>
    <x v="2"/>
    <x v="0"/>
    <s v="California"/>
    <s v="Stanislaus County"/>
    <x v="7"/>
    <x v="8"/>
    <s v="February"/>
    <x v="1"/>
  </r>
  <r>
    <s v="TX501533"/>
    <x v="4"/>
    <x v="13"/>
    <n v="22.3"/>
    <n v="133.80000000000001"/>
    <x v="56"/>
    <d v="2025-02-27T00:00:00"/>
    <x v="0"/>
    <x v="3"/>
    <x v="2"/>
    <s v="California"/>
    <s v="Ventura County"/>
    <x v="3"/>
    <x v="8"/>
    <s v="February"/>
    <x v="0"/>
  </r>
  <r>
    <s v="TX501534"/>
    <x v="11"/>
    <x v="1"/>
    <n v="29.5"/>
    <n v="59"/>
    <x v="56"/>
    <d v="2025-02-27T00:00:00"/>
    <x v="2"/>
    <x v="0"/>
    <x v="2"/>
    <s v="California"/>
    <s v="Ventura County"/>
    <x v="3"/>
    <x v="8"/>
    <s v="February"/>
    <x v="2"/>
  </r>
  <r>
    <s v="TX501535"/>
    <x v="6"/>
    <x v="12"/>
    <n v="41.9"/>
    <n v="167.6"/>
    <x v="56"/>
    <d v="2025-03-02T00:00:00"/>
    <x v="2"/>
    <x v="0"/>
    <x v="1"/>
    <s v="California"/>
    <s v="Alameda County"/>
    <x v="5"/>
    <x v="8"/>
    <s v="February"/>
    <x v="2"/>
  </r>
  <r>
    <s v="TX501536"/>
    <x v="6"/>
    <x v="2"/>
    <n v="107.8"/>
    <n v="323.39999999999998"/>
    <x v="56"/>
    <d v="2025-02-27T00:00:00"/>
    <x v="1"/>
    <x v="1"/>
    <x v="2"/>
    <s v="California"/>
    <s v="Amador County"/>
    <x v="3"/>
    <x v="8"/>
    <s v="February"/>
    <x v="1"/>
  </r>
  <r>
    <s v="TX501537"/>
    <x v="4"/>
    <x v="9"/>
    <n v="18.100000000000001"/>
    <n v="90.5"/>
    <x v="56"/>
    <d v="2025-03-01T00:00:00"/>
    <x v="1"/>
    <x v="0"/>
    <x v="2"/>
    <s v="California"/>
    <s v="Fresno County"/>
    <x v="2"/>
    <x v="8"/>
    <s v="February"/>
    <x v="1"/>
  </r>
  <r>
    <s v="TX501538"/>
    <x v="12"/>
    <x v="11"/>
    <n v="79.8"/>
    <n v="718.19999999999993"/>
    <x v="56"/>
    <d v="2025-02-27T00:00:00"/>
    <x v="2"/>
    <x v="1"/>
    <x v="1"/>
    <s v="California"/>
    <s v="Kern County"/>
    <x v="3"/>
    <x v="8"/>
    <s v="February"/>
    <x v="2"/>
  </r>
  <r>
    <s v="TX501539"/>
    <x v="0"/>
    <x v="2"/>
    <n v="22.3"/>
    <n v="66.900000000000006"/>
    <x v="56"/>
    <d v="2025-03-01T00:00:00"/>
    <x v="2"/>
    <x v="0"/>
    <x v="2"/>
    <s v="California"/>
    <s v="Kern County"/>
    <x v="2"/>
    <x v="8"/>
    <s v="February"/>
    <x v="2"/>
  </r>
  <r>
    <s v="TX501540"/>
    <x v="8"/>
    <x v="0"/>
    <n v="22.9"/>
    <n v="22.9"/>
    <x v="56"/>
    <d v="2025-02-26T00:00:00"/>
    <x v="2"/>
    <x v="1"/>
    <x v="0"/>
    <s v="California"/>
    <s v="Kern County"/>
    <x v="7"/>
    <x v="8"/>
    <s v="February"/>
    <x v="2"/>
  </r>
  <r>
    <s v="TX501541"/>
    <x v="0"/>
    <x v="2"/>
    <n v="16.2"/>
    <n v="48.599999999999994"/>
    <x v="57"/>
    <d v="2025-02-27T00:00:00"/>
    <x v="1"/>
    <x v="4"/>
    <x v="2"/>
    <s v="California"/>
    <s v="Los Angeles County"/>
    <x v="7"/>
    <x v="8"/>
    <s v="February"/>
    <x v="1"/>
  </r>
  <r>
    <s v="TX501542"/>
    <x v="10"/>
    <x v="12"/>
    <n v="59.5"/>
    <n v="238"/>
    <x v="57"/>
    <d v="2025-02-28T00:00:00"/>
    <x v="1"/>
    <x v="1"/>
    <x v="2"/>
    <s v="California"/>
    <s v="Los Angeles County"/>
    <x v="3"/>
    <x v="8"/>
    <s v="February"/>
    <x v="1"/>
  </r>
  <r>
    <s v="TX501543"/>
    <x v="18"/>
    <x v="9"/>
    <n v="26.2"/>
    <n v="131"/>
    <x v="57"/>
    <d v="2025-03-02T00:00:00"/>
    <x v="1"/>
    <x v="3"/>
    <x v="4"/>
    <s v="California"/>
    <s v="Los Angeles County"/>
    <x v="2"/>
    <x v="8"/>
    <s v="February"/>
    <x v="1"/>
  </r>
  <r>
    <s v="TX501544"/>
    <x v="3"/>
    <x v="0"/>
    <n v="44.2"/>
    <n v="44.2"/>
    <x v="57"/>
    <d v="2025-03-02T00:00:00"/>
    <x v="2"/>
    <x v="1"/>
    <x v="0"/>
    <s v="California"/>
    <s v="Los Angeles County"/>
    <x v="2"/>
    <x v="8"/>
    <s v="February"/>
    <x v="2"/>
  </r>
  <r>
    <s v="TX501545"/>
    <x v="9"/>
    <x v="1"/>
    <n v="59.2"/>
    <n v="118.4"/>
    <x v="57"/>
    <d v="2025-02-27T00:00:00"/>
    <x v="2"/>
    <x v="1"/>
    <x v="4"/>
    <s v="California"/>
    <s v="Los Angeles County"/>
    <x v="7"/>
    <x v="8"/>
    <s v="February"/>
    <x v="2"/>
  </r>
  <r>
    <s v="TX501546"/>
    <x v="15"/>
    <x v="12"/>
    <n v="41.5"/>
    <n v="166"/>
    <x v="57"/>
    <d v="2025-03-01T00:00:00"/>
    <x v="2"/>
    <x v="0"/>
    <x v="0"/>
    <s v="California"/>
    <s v="Napa County"/>
    <x v="1"/>
    <x v="8"/>
    <s v="February"/>
    <x v="2"/>
  </r>
  <r>
    <s v="TX501547"/>
    <x v="6"/>
    <x v="4"/>
    <n v="67.099999999999994"/>
    <n v="805.19999999999993"/>
    <x v="57"/>
    <d v="2025-03-13T00:00:00"/>
    <x v="2"/>
    <x v="0"/>
    <x v="2"/>
    <s v="California"/>
    <s v="Riverside County"/>
    <x v="12"/>
    <x v="8"/>
    <s v="February"/>
    <x v="2"/>
  </r>
  <r>
    <s v="TX501548"/>
    <x v="8"/>
    <x v="1"/>
    <n v="28.7"/>
    <n v="57.4"/>
    <x v="57"/>
    <d v="2025-03-03T00:00:00"/>
    <x v="2"/>
    <x v="1"/>
    <x v="0"/>
    <s v="California"/>
    <s v="Sacramento County"/>
    <x v="5"/>
    <x v="8"/>
    <s v="February"/>
    <x v="2"/>
  </r>
  <r>
    <s v="TX501549"/>
    <x v="2"/>
    <x v="12"/>
    <n v="132.1"/>
    <n v="528.4"/>
    <x v="57"/>
    <d v="2025-02-28T00:00:00"/>
    <x v="2"/>
    <x v="0"/>
    <x v="1"/>
    <s v="California"/>
    <s v="Sacramento County"/>
    <x v="3"/>
    <x v="8"/>
    <s v="February"/>
    <x v="2"/>
  </r>
  <r>
    <s v="TX501550"/>
    <x v="18"/>
    <x v="1"/>
    <n v="47"/>
    <n v="94"/>
    <x v="57"/>
    <d v="2025-03-01T00:00:00"/>
    <x v="1"/>
    <x v="4"/>
    <x v="0"/>
    <s v="California"/>
    <s v="San Diego County"/>
    <x v="1"/>
    <x v="8"/>
    <s v="February"/>
    <x v="1"/>
  </r>
  <r>
    <s v="TX501551"/>
    <x v="8"/>
    <x v="1"/>
    <n v="41.6"/>
    <n v="83.2"/>
    <x v="57"/>
    <d v="2025-03-03T00:00:00"/>
    <x v="1"/>
    <x v="1"/>
    <x v="2"/>
    <s v="California"/>
    <s v="San Diego County"/>
    <x v="5"/>
    <x v="8"/>
    <s v="February"/>
    <x v="1"/>
  </r>
  <r>
    <s v="TX501552"/>
    <x v="8"/>
    <x v="43"/>
    <n v="17.3"/>
    <n v="657.4"/>
    <x v="57"/>
    <d v="2025-03-01T00:00:00"/>
    <x v="1"/>
    <x v="2"/>
    <x v="2"/>
    <s v="California"/>
    <s v="San Diego County"/>
    <x v="1"/>
    <x v="8"/>
    <s v="February"/>
    <x v="1"/>
  </r>
  <r>
    <s v="TX501553"/>
    <x v="13"/>
    <x v="2"/>
    <n v="41.8"/>
    <n v="125.39999999999999"/>
    <x v="57"/>
    <d v="2025-03-02T00:00:00"/>
    <x v="1"/>
    <x v="0"/>
    <x v="2"/>
    <s v="California"/>
    <s v="San Diego County"/>
    <x v="2"/>
    <x v="8"/>
    <s v="February"/>
    <x v="1"/>
  </r>
  <r>
    <s v="TX501554"/>
    <x v="10"/>
    <x v="0"/>
    <n v="24"/>
    <n v="24"/>
    <x v="57"/>
    <d v="2025-02-28T00:00:00"/>
    <x v="2"/>
    <x v="0"/>
    <x v="0"/>
    <s v="California"/>
    <s v="San Francisco"/>
    <x v="3"/>
    <x v="8"/>
    <s v="February"/>
    <x v="2"/>
  </r>
  <r>
    <s v="TX501555"/>
    <x v="14"/>
    <x v="11"/>
    <n v="18.5"/>
    <n v="166.5"/>
    <x v="57"/>
    <d v="2025-03-01T00:00:00"/>
    <x v="2"/>
    <x v="0"/>
    <x v="0"/>
    <s v="California"/>
    <s v="San Mateo County"/>
    <x v="1"/>
    <x v="8"/>
    <s v="February"/>
    <x v="2"/>
  </r>
  <r>
    <s v="TX501556"/>
    <x v="3"/>
    <x v="4"/>
    <n v="66.7"/>
    <n v="800.40000000000009"/>
    <x v="57"/>
    <d v="2025-03-02T00:00:00"/>
    <x v="0"/>
    <x v="0"/>
    <x v="2"/>
    <s v="California"/>
    <s v="Santa Clara County"/>
    <x v="2"/>
    <x v="8"/>
    <s v="February"/>
    <x v="0"/>
  </r>
  <r>
    <s v="TX501557"/>
    <x v="1"/>
    <x v="12"/>
    <n v="33.1"/>
    <n v="132.4"/>
    <x v="57"/>
    <d v="2025-03-04T00:00:00"/>
    <x v="1"/>
    <x v="3"/>
    <x v="0"/>
    <s v="California"/>
    <s v="Santa Clara County"/>
    <x v="0"/>
    <x v="8"/>
    <s v="February"/>
    <x v="1"/>
  </r>
  <r>
    <s v="TX501558"/>
    <x v="19"/>
    <x v="11"/>
    <n v="42.1"/>
    <n v="378.90000000000003"/>
    <x v="57"/>
    <d v="2025-03-10T00:00:00"/>
    <x v="1"/>
    <x v="1"/>
    <x v="0"/>
    <s v="California"/>
    <s v="Sonoma County"/>
    <x v="11"/>
    <x v="8"/>
    <s v="February"/>
    <x v="1"/>
  </r>
  <r>
    <s v="TX501559"/>
    <x v="18"/>
    <x v="3"/>
    <n v="58.7"/>
    <n v="410.90000000000003"/>
    <x v="57"/>
    <d v="2025-02-27T00:00:00"/>
    <x v="3"/>
    <x v="3"/>
    <x v="0"/>
    <s v="California"/>
    <s v="Sutter County"/>
    <x v="7"/>
    <x v="8"/>
    <s v="February"/>
    <x v="3"/>
  </r>
  <r>
    <s v="TX501560"/>
    <x v="6"/>
    <x v="12"/>
    <n v="54"/>
    <n v="216"/>
    <x v="57"/>
    <d v="2025-03-01T00:00:00"/>
    <x v="2"/>
    <x v="1"/>
    <x v="0"/>
    <s v="California"/>
    <s v="Contra Costa County"/>
    <x v="1"/>
    <x v="8"/>
    <s v="February"/>
    <x v="2"/>
  </r>
  <r>
    <s v="TX501561"/>
    <x v="8"/>
    <x v="0"/>
    <n v="52.1"/>
    <n v="52.1"/>
    <x v="57"/>
    <d v="2025-02-28T00:00:00"/>
    <x v="2"/>
    <x v="2"/>
    <x v="2"/>
    <s v="California"/>
    <s v="Fresno County"/>
    <x v="3"/>
    <x v="8"/>
    <s v="February"/>
    <x v="2"/>
  </r>
  <r>
    <s v="TX501562"/>
    <x v="19"/>
    <x v="1"/>
    <n v="27"/>
    <n v="54"/>
    <x v="57"/>
    <d v="2025-03-02T00:00:00"/>
    <x v="3"/>
    <x v="2"/>
    <x v="0"/>
    <s v="California"/>
    <s v="Kern County"/>
    <x v="2"/>
    <x v="8"/>
    <s v="February"/>
    <x v="3"/>
  </r>
  <r>
    <s v="TX501563"/>
    <x v="12"/>
    <x v="7"/>
    <n v="31"/>
    <n v="310"/>
    <x v="58"/>
    <d v="2025-03-01T00:00:00"/>
    <x v="2"/>
    <x v="3"/>
    <x v="2"/>
    <s v="California"/>
    <s v="Kern County"/>
    <x v="3"/>
    <x v="8"/>
    <s v="February"/>
    <x v="2"/>
  </r>
  <r>
    <s v="TX501564"/>
    <x v="10"/>
    <x v="1"/>
    <n v="46.7"/>
    <n v="93.4"/>
    <x v="58"/>
    <d v="2025-02-28T00:00:00"/>
    <x v="2"/>
    <x v="0"/>
    <x v="0"/>
    <s v="California"/>
    <s v="Kings County"/>
    <x v="7"/>
    <x v="8"/>
    <s v="February"/>
    <x v="2"/>
  </r>
  <r>
    <s v="TX501565"/>
    <x v="6"/>
    <x v="0"/>
    <n v="144.69999999999999"/>
    <n v="144.69999999999999"/>
    <x v="58"/>
    <d v="2025-03-03T00:00:00"/>
    <x v="1"/>
    <x v="0"/>
    <x v="2"/>
    <s v="California"/>
    <s v="Los Angeles County"/>
    <x v="2"/>
    <x v="8"/>
    <s v="February"/>
    <x v="1"/>
  </r>
  <r>
    <s v="TX501566"/>
    <x v="2"/>
    <x v="11"/>
    <n v="90.9"/>
    <n v="818.1"/>
    <x v="58"/>
    <d v="2025-03-01T00:00:00"/>
    <x v="1"/>
    <x v="0"/>
    <x v="2"/>
    <s v="California"/>
    <s v="Los Angeles County"/>
    <x v="3"/>
    <x v="8"/>
    <s v="February"/>
    <x v="1"/>
  </r>
  <r>
    <s v="TX501567"/>
    <x v="1"/>
    <x v="1"/>
    <n v="75.8"/>
    <n v="151.6"/>
    <x v="58"/>
    <d v="2025-03-01T00:00:00"/>
    <x v="2"/>
    <x v="2"/>
    <x v="1"/>
    <s v="California"/>
    <s v="Los Angeles County"/>
    <x v="3"/>
    <x v="8"/>
    <s v="February"/>
    <x v="2"/>
  </r>
  <r>
    <s v="TX501568"/>
    <x v="7"/>
    <x v="9"/>
    <n v="57.9"/>
    <n v="289.5"/>
    <x v="58"/>
    <d v="2025-03-02T00:00:00"/>
    <x v="1"/>
    <x v="2"/>
    <x v="2"/>
    <s v="California"/>
    <s v="Los Angeles County"/>
    <x v="1"/>
    <x v="8"/>
    <s v="February"/>
    <x v="1"/>
  </r>
  <r>
    <s v="TX501569"/>
    <x v="8"/>
    <x v="9"/>
    <n v="44.8"/>
    <n v="224"/>
    <x v="58"/>
    <d v="2025-03-01T00:00:00"/>
    <x v="2"/>
    <x v="3"/>
    <x v="2"/>
    <s v="California"/>
    <s v="Los Angeles County"/>
    <x v="3"/>
    <x v="8"/>
    <s v="February"/>
    <x v="2"/>
  </r>
  <r>
    <s v="TX501570"/>
    <x v="9"/>
    <x v="2"/>
    <n v="44.2"/>
    <n v="132.60000000000002"/>
    <x v="58"/>
    <d v="2025-03-04T00:00:00"/>
    <x v="1"/>
    <x v="2"/>
    <x v="2"/>
    <s v="California"/>
    <s v="Los Angeles County"/>
    <x v="5"/>
    <x v="8"/>
    <s v="February"/>
    <x v="1"/>
  </r>
  <r>
    <s v="TX501571"/>
    <x v="5"/>
    <x v="9"/>
    <n v="53.5"/>
    <n v="267.5"/>
    <x v="58"/>
    <d v="2025-03-02T00:00:00"/>
    <x v="1"/>
    <x v="0"/>
    <x v="0"/>
    <s v="California"/>
    <s v="Madera County"/>
    <x v="1"/>
    <x v="8"/>
    <s v="February"/>
    <x v="1"/>
  </r>
  <r>
    <s v="TX501572"/>
    <x v="6"/>
    <x v="1"/>
    <n v="72.2"/>
    <n v="144.4"/>
    <x v="58"/>
    <d v="2025-03-01T00:00:00"/>
    <x v="1"/>
    <x v="0"/>
    <x v="2"/>
    <s v="California"/>
    <s v="Orange County"/>
    <x v="3"/>
    <x v="8"/>
    <s v="February"/>
    <x v="1"/>
  </r>
  <r>
    <s v="TX501573"/>
    <x v="6"/>
    <x v="12"/>
    <n v="62.4"/>
    <n v="249.6"/>
    <x v="58"/>
    <d v="2025-03-03T00:00:00"/>
    <x v="2"/>
    <x v="0"/>
    <x v="1"/>
    <s v="California"/>
    <s v="Riverside County"/>
    <x v="2"/>
    <x v="8"/>
    <s v="February"/>
    <x v="2"/>
  </r>
  <r>
    <s v="TX501574"/>
    <x v="10"/>
    <x v="9"/>
    <n v="24.7"/>
    <n v="123.5"/>
    <x v="58"/>
    <d v="2025-03-01T00:00:00"/>
    <x v="2"/>
    <x v="0"/>
    <x v="0"/>
    <s v="California"/>
    <s v="Sacramento County"/>
    <x v="3"/>
    <x v="8"/>
    <s v="February"/>
    <x v="2"/>
  </r>
  <r>
    <s v="TX501575"/>
    <x v="1"/>
    <x v="9"/>
    <n v="61.7"/>
    <n v="308.5"/>
    <x v="58"/>
    <d v="2025-03-02T00:00:00"/>
    <x v="2"/>
    <x v="2"/>
    <x v="0"/>
    <s v="California"/>
    <s v="San Diego County"/>
    <x v="1"/>
    <x v="8"/>
    <s v="February"/>
    <x v="2"/>
  </r>
  <r>
    <s v="TX501576"/>
    <x v="8"/>
    <x v="9"/>
    <n v="18.2"/>
    <n v="91"/>
    <x v="58"/>
    <d v="2025-03-02T00:00:00"/>
    <x v="2"/>
    <x v="3"/>
    <x v="0"/>
    <s v="California"/>
    <s v="San Diego County"/>
    <x v="1"/>
    <x v="8"/>
    <s v="February"/>
    <x v="2"/>
  </r>
  <r>
    <s v="TX501577"/>
    <x v="10"/>
    <x v="12"/>
    <n v="37.200000000000003"/>
    <n v="148.80000000000001"/>
    <x v="58"/>
    <d v="2025-03-06T00:00:00"/>
    <x v="2"/>
    <x v="0"/>
    <x v="0"/>
    <s v="California"/>
    <s v="San Diego County"/>
    <x v="4"/>
    <x v="8"/>
    <s v="February"/>
    <x v="2"/>
  </r>
  <r>
    <s v="TX501578"/>
    <x v="9"/>
    <x v="2"/>
    <n v="53.5"/>
    <n v="160.5"/>
    <x v="58"/>
    <d v="2025-03-02T00:00:00"/>
    <x v="2"/>
    <x v="1"/>
    <x v="2"/>
    <s v="California"/>
    <s v="San Mateo County"/>
    <x v="1"/>
    <x v="8"/>
    <s v="February"/>
    <x v="2"/>
  </r>
  <r>
    <s v="TX501579"/>
    <x v="8"/>
    <x v="2"/>
    <n v="43.6"/>
    <n v="130.80000000000001"/>
    <x v="58"/>
    <d v="2025-02-28T00:00:00"/>
    <x v="2"/>
    <x v="0"/>
    <x v="0"/>
    <s v="California"/>
    <s v="San Mateo County"/>
    <x v="7"/>
    <x v="8"/>
    <s v="February"/>
    <x v="2"/>
  </r>
  <r>
    <s v="TX501580"/>
    <x v="1"/>
    <x v="7"/>
    <n v="135"/>
    <n v="1350"/>
    <x v="58"/>
    <d v="2025-03-02T00:00:00"/>
    <x v="2"/>
    <x v="0"/>
    <x v="2"/>
    <s v="California"/>
    <s v="San Mateo County"/>
    <x v="1"/>
    <x v="8"/>
    <s v="February"/>
    <x v="2"/>
  </r>
  <r>
    <s v="TX501581"/>
    <x v="8"/>
    <x v="9"/>
    <n v="38.5"/>
    <n v="192.5"/>
    <x v="58"/>
    <d v="2025-02-28T00:00:00"/>
    <x v="1"/>
    <x v="4"/>
    <x v="2"/>
    <s v="California"/>
    <s v="Santa Barbara County"/>
    <x v="7"/>
    <x v="8"/>
    <s v="February"/>
    <x v="1"/>
  </r>
  <r>
    <s v="TX501582"/>
    <x v="9"/>
    <x v="1"/>
    <n v="24"/>
    <n v="48"/>
    <x v="58"/>
    <d v="2025-03-05T00:00:00"/>
    <x v="2"/>
    <x v="0"/>
    <x v="0"/>
    <s v="California"/>
    <s v="Santa Clara County"/>
    <x v="0"/>
    <x v="8"/>
    <s v="February"/>
    <x v="2"/>
  </r>
  <r>
    <s v="TX501583"/>
    <x v="4"/>
    <x v="2"/>
    <n v="28.2"/>
    <n v="84.6"/>
    <x v="58"/>
    <d v="2025-03-02T00:00:00"/>
    <x v="1"/>
    <x v="0"/>
    <x v="3"/>
    <s v="California"/>
    <s v="Sonoma County"/>
    <x v="1"/>
    <x v="8"/>
    <s v="February"/>
    <x v="1"/>
  </r>
  <r>
    <s v="TX501584"/>
    <x v="7"/>
    <x v="2"/>
    <n v="37.4"/>
    <n v="112.19999999999999"/>
    <x v="58"/>
    <d v="2025-03-01T00:00:00"/>
    <x v="2"/>
    <x v="3"/>
    <x v="0"/>
    <s v="California"/>
    <s v="Contra Costa County"/>
    <x v="3"/>
    <x v="8"/>
    <s v="February"/>
    <x v="2"/>
  </r>
  <r>
    <s v="TX501585"/>
    <x v="6"/>
    <x v="2"/>
    <n v="53.5"/>
    <n v="160.5"/>
    <x v="58"/>
    <d v="2025-03-03T00:00:00"/>
    <x v="0"/>
    <x v="4"/>
    <x v="4"/>
    <s v="California"/>
    <s v="Contra Costa County"/>
    <x v="2"/>
    <x v="8"/>
    <s v="February"/>
    <x v="0"/>
  </r>
  <r>
    <s v="TX501586"/>
    <x v="11"/>
    <x v="9"/>
    <n v="36.200000000000003"/>
    <n v="181"/>
    <x v="58"/>
    <d v="2025-03-01T00:00:00"/>
    <x v="1"/>
    <x v="1"/>
    <x v="2"/>
    <s v="California"/>
    <s v="Imperial County"/>
    <x v="3"/>
    <x v="8"/>
    <s v="February"/>
    <x v="1"/>
  </r>
  <r>
    <s v="TX501587"/>
    <x v="0"/>
    <x v="8"/>
    <n v="31.9"/>
    <n v="255.2"/>
    <x v="58"/>
    <d v="2025-03-01T00:00:00"/>
    <x v="2"/>
    <x v="4"/>
    <x v="0"/>
    <s v="California"/>
    <s v="Los Angeles County"/>
    <x v="3"/>
    <x v="8"/>
    <s v="February"/>
    <x v="2"/>
  </r>
  <r>
    <s v="TX501588"/>
    <x v="8"/>
    <x v="2"/>
    <n v="21.3"/>
    <n v="63.900000000000006"/>
    <x v="58"/>
    <d v="2025-03-01T00:00:00"/>
    <x v="1"/>
    <x v="0"/>
    <x v="2"/>
    <s v="California"/>
    <s v="Los Angeles County"/>
    <x v="3"/>
    <x v="8"/>
    <s v="February"/>
    <x v="1"/>
  </r>
  <r>
    <s v="TX501589"/>
    <x v="8"/>
    <x v="0"/>
    <n v="36.299999999999997"/>
    <n v="36.299999999999997"/>
    <x v="58"/>
    <d v="2025-03-02T00:00:00"/>
    <x v="3"/>
    <x v="4"/>
    <x v="0"/>
    <s v="California"/>
    <s v="Los Angeles County"/>
    <x v="1"/>
    <x v="8"/>
    <s v="February"/>
    <x v="3"/>
  </r>
  <r>
    <s v="TX501590"/>
    <x v="6"/>
    <x v="2"/>
    <n v="110.5"/>
    <n v="331.5"/>
    <x v="58"/>
    <d v="2025-03-01T00:00:00"/>
    <x v="2"/>
    <x v="0"/>
    <x v="3"/>
    <s v="California"/>
    <s v="Los Angeles County"/>
    <x v="3"/>
    <x v="8"/>
    <s v="February"/>
    <x v="2"/>
  </r>
  <r>
    <s v="TX501591"/>
    <x v="10"/>
    <x v="3"/>
    <n v="32.6"/>
    <n v="228.20000000000002"/>
    <x v="58"/>
    <d v="2025-03-02T00:00:00"/>
    <x v="2"/>
    <x v="0"/>
    <x v="1"/>
    <s v="California"/>
    <s v="Los Angeles County"/>
    <x v="1"/>
    <x v="8"/>
    <s v="February"/>
    <x v="2"/>
  </r>
  <r>
    <s v="TX501592"/>
    <x v="5"/>
    <x v="2"/>
    <n v="55.6"/>
    <n v="166.8"/>
    <x v="59"/>
    <d v="2025-03-14T00:00:00"/>
    <x v="2"/>
    <x v="0"/>
    <x v="0"/>
    <s v="California"/>
    <s v="Los Angeles County"/>
    <x v="10"/>
    <x v="8"/>
    <s v="March"/>
    <x v="2"/>
  </r>
  <r>
    <s v="TX501593"/>
    <x v="1"/>
    <x v="12"/>
    <n v="38"/>
    <n v="152"/>
    <x v="59"/>
    <d v="2025-03-02T00:00:00"/>
    <x v="2"/>
    <x v="3"/>
    <x v="2"/>
    <s v="California"/>
    <s v="Placer County"/>
    <x v="3"/>
    <x v="8"/>
    <s v="March"/>
    <x v="2"/>
  </r>
  <r>
    <s v="TX501594"/>
    <x v="10"/>
    <x v="1"/>
    <n v="51.8"/>
    <n v="103.6"/>
    <x v="59"/>
    <d v="2025-03-07T00:00:00"/>
    <x v="1"/>
    <x v="1"/>
    <x v="4"/>
    <s v="California"/>
    <s v="Sacramento County"/>
    <x v="4"/>
    <x v="8"/>
    <s v="March"/>
    <x v="1"/>
  </r>
  <r>
    <s v="TX501595"/>
    <x v="11"/>
    <x v="8"/>
    <n v="28.7"/>
    <n v="229.6"/>
    <x v="59"/>
    <d v="2025-03-06T00:00:00"/>
    <x v="2"/>
    <x v="0"/>
    <x v="0"/>
    <s v="California"/>
    <s v="Sacramento County"/>
    <x v="0"/>
    <x v="8"/>
    <s v="March"/>
    <x v="2"/>
  </r>
  <r>
    <s v="TX501596"/>
    <x v="6"/>
    <x v="4"/>
    <n v="52.2"/>
    <n v="626.40000000000009"/>
    <x v="59"/>
    <d v="2025-03-01T00:00:00"/>
    <x v="1"/>
    <x v="0"/>
    <x v="1"/>
    <s v="California"/>
    <s v="Sacramento County"/>
    <x v="7"/>
    <x v="8"/>
    <s v="March"/>
    <x v="1"/>
  </r>
  <r>
    <s v="TX501597"/>
    <x v="1"/>
    <x v="1"/>
    <n v="68.2"/>
    <n v="136.4"/>
    <x v="59"/>
    <d v="2025-03-02T00:00:00"/>
    <x v="0"/>
    <x v="2"/>
    <x v="0"/>
    <s v="California"/>
    <s v="San Bernardino County"/>
    <x v="3"/>
    <x v="8"/>
    <s v="March"/>
    <x v="0"/>
  </r>
  <r>
    <s v="TX501598"/>
    <x v="0"/>
    <x v="2"/>
    <n v="34"/>
    <n v="102"/>
    <x v="59"/>
    <d v="2025-03-05T00:00:00"/>
    <x v="2"/>
    <x v="0"/>
    <x v="0"/>
    <s v="California"/>
    <s v="San Diego County"/>
    <x v="5"/>
    <x v="8"/>
    <s v="March"/>
    <x v="2"/>
  </r>
  <r>
    <s v="TX501599"/>
    <x v="8"/>
    <x v="2"/>
    <n v="19.100000000000001"/>
    <n v="57.300000000000004"/>
    <x v="59"/>
    <d v="2025-03-02T00:00:00"/>
    <x v="2"/>
    <x v="4"/>
    <x v="0"/>
    <s v="California"/>
    <s v="San Diego County"/>
    <x v="3"/>
    <x v="8"/>
    <s v="March"/>
    <x v="2"/>
  </r>
  <r>
    <s v="TX501600"/>
    <x v="5"/>
    <x v="8"/>
    <n v="34"/>
    <n v="272"/>
    <x v="59"/>
    <d v="2025-03-09T00:00:00"/>
    <x v="2"/>
    <x v="4"/>
    <x v="0"/>
    <s v="California"/>
    <s v="San Diego County"/>
    <x v="9"/>
    <x v="8"/>
    <s v="March"/>
    <x v="2"/>
  </r>
  <r>
    <s v="TX501601"/>
    <x v="12"/>
    <x v="1"/>
    <n v="109.1"/>
    <n v="218.2"/>
    <x v="59"/>
    <d v="2025-03-03T00:00:00"/>
    <x v="1"/>
    <x v="0"/>
    <x v="2"/>
    <s v="California"/>
    <s v="San Diego County"/>
    <x v="1"/>
    <x v="8"/>
    <s v="March"/>
    <x v="1"/>
  </r>
  <r>
    <s v="TX501602"/>
    <x v="18"/>
    <x v="1"/>
    <n v="64.8"/>
    <n v="129.6"/>
    <x v="59"/>
    <d v="2025-03-03T00:00:00"/>
    <x v="1"/>
    <x v="0"/>
    <x v="2"/>
    <s v="California"/>
    <s v="San Diego County"/>
    <x v="1"/>
    <x v="8"/>
    <s v="March"/>
    <x v="1"/>
  </r>
  <r>
    <s v="TX501603"/>
    <x v="10"/>
    <x v="1"/>
    <n v="21.1"/>
    <n v="42.2"/>
    <x v="59"/>
    <d v="2025-03-01T00:00:00"/>
    <x v="2"/>
    <x v="1"/>
    <x v="0"/>
    <s v="California"/>
    <s v="Santa Clara County"/>
    <x v="7"/>
    <x v="8"/>
    <s v="March"/>
    <x v="2"/>
  </r>
  <r>
    <s v="TX501604"/>
    <x v="0"/>
    <x v="8"/>
    <n v="21.3"/>
    <n v="170.4"/>
    <x v="59"/>
    <d v="2025-03-03T00:00:00"/>
    <x v="1"/>
    <x v="3"/>
    <x v="1"/>
    <s v="California"/>
    <s v="Sonoma County"/>
    <x v="1"/>
    <x v="8"/>
    <s v="March"/>
    <x v="1"/>
  </r>
  <r>
    <s v="TX501605"/>
    <x v="9"/>
    <x v="2"/>
    <n v="24.3"/>
    <n v="72.900000000000006"/>
    <x v="59"/>
    <d v="2025-03-02T00:00:00"/>
    <x v="1"/>
    <x v="1"/>
    <x v="0"/>
    <s v="California"/>
    <s v="Stanislaus County"/>
    <x v="3"/>
    <x v="8"/>
    <s v="March"/>
    <x v="1"/>
  </r>
  <r>
    <s v="TX501606"/>
    <x v="8"/>
    <x v="0"/>
    <n v="43.3"/>
    <n v="43.3"/>
    <x v="59"/>
    <d v="2025-03-05T00:00:00"/>
    <x v="1"/>
    <x v="1"/>
    <x v="1"/>
    <s v="California"/>
    <s v="Ventura County"/>
    <x v="5"/>
    <x v="8"/>
    <s v="March"/>
    <x v="1"/>
  </r>
  <r>
    <s v="TX501607"/>
    <x v="9"/>
    <x v="2"/>
    <n v="41"/>
    <n v="123"/>
    <x v="59"/>
    <d v="2025-03-02T00:00:00"/>
    <x v="2"/>
    <x v="3"/>
    <x v="4"/>
    <s v="California"/>
    <s v="Alameda County"/>
    <x v="3"/>
    <x v="8"/>
    <s v="March"/>
    <x v="2"/>
  </r>
  <r>
    <s v="TX501608"/>
    <x v="16"/>
    <x v="2"/>
    <n v="54.1"/>
    <n v="162.30000000000001"/>
    <x v="59"/>
    <d v="2025-03-03T00:00:00"/>
    <x v="2"/>
    <x v="4"/>
    <x v="0"/>
    <s v="California"/>
    <s v="Alameda County"/>
    <x v="1"/>
    <x v="8"/>
    <s v="March"/>
    <x v="2"/>
  </r>
  <r>
    <s v="TX501609"/>
    <x v="11"/>
    <x v="1"/>
    <n v="39"/>
    <n v="78"/>
    <x v="59"/>
    <d v="2025-03-02T00:00:00"/>
    <x v="1"/>
    <x v="1"/>
    <x v="2"/>
    <s v="California"/>
    <s v="Contra Costa County"/>
    <x v="3"/>
    <x v="8"/>
    <s v="March"/>
    <x v="1"/>
  </r>
  <r>
    <s v="TX501610"/>
    <x v="8"/>
    <x v="1"/>
    <n v="40.299999999999997"/>
    <n v="80.599999999999994"/>
    <x v="59"/>
    <d v="2025-03-03T00:00:00"/>
    <x v="1"/>
    <x v="3"/>
    <x v="0"/>
    <s v="California"/>
    <s v="Glenn County"/>
    <x v="1"/>
    <x v="8"/>
    <s v="March"/>
    <x v="1"/>
  </r>
  <r>
    <s v="TX501611"/>
    <x v="8"/>
    <x v="2"/>
    <n v="24.1"/>
    <n v="72.300000000000011"/>
    <x v="59"/>
    <d v="2025-03-02T00:00:00"/>
    <x v="1"/>
    <x v="0"/>
    <x v="2"/>
    <s v="California"/>
    <s v="Kings County"/>
    <x v="3"/>
    <x v="8"/>
    <s v="March"/>
    <x v="1"/>
  </r>
  <r>
    <s v="TX501612"/>
    <x v="6"/>
    <x v="9"/>
    <n v="52.3"/>
    <n v="261.5"/>
    <x v="59"/>
    <d v="2025-03-02T00:00:00"/>
    <x v="1"/>
    <x v="2"/>
    <x v="0"/>
    <s v="California"/>
    <s v="Los Angeles County"/>
    <x v="3"/>
    <x v="8"/>
    <s v="March"/>
    <x v="1"/>
  </r>
  <r>
    <s v="TX501613"/>
    <x v="12"/>
    <x v="12"/>
    <n v="68.8"/>
    <n v="275.2"/>
    <x v="59"/>
    <d v="2025-03-05T00:00:00"/>
    <x v="2"/>
    <x v="4"/>
    <x v="2"/>
    <s v="California"/>
    <s v="Los Angeles County"/>
    <x v="5"/>
    <x v="8"/>
    <s v="March"/>
    <x v="2"/>
  </r>
  <r>
    <s v="TX501614"/>
    <x v="2"/>
    <x v="1"/>
    <n v="128.80000000000001"/>
    <n v="257.60000000000002"/>
    <x v="60"/>
    <d v="2025-03-05T00:00:00"/>
    <x v="2"/>
    <x v="1"/>
    <x v="1"/>
    <s v="California"/>
    <s v="Los Angeles County"/>
    <x v="2"/>
    <x v="9"/>
    <s v="March"/>
    <x v="2"/>
  </r>
  <r>
    <s v="TX501615"/>
    <x v="15"/>
    <x v="9"/>
    <n v="48.2"/>
    <n v="241"/>
    <x v="60"/>
    <d v="2025-03-04T00:00:00"/>
    <x v="2"/>
    <x v="3"/>
    <x v="0"/>
    <s v="California"/>
    <s v="Los Angeles County"/>
    <x v="1"/>
    <x v="9"/>
    <s v="March"/>
    <x v="2"/>
  </r>
  <r>
    <s v="TX501616"/>
    <x v="10"/>
    <x v="0"/>
    <n v="39.700000000000003"/>
    <n v="39.700000000000003"/>
    <x v="60"/>
    <d v="2025-03-04T00:00:00"/>
    <x v="2"/>
    <x v="0"/>
    <x v="1"/>
    <s v="California"/>
    <s v="Los Angeles County"/>
    <x v="1"/>
    <x v="9"/>
    <s v="March"/>
    <x v="2"/>
  </r>
  <r>
    <s v="TX501617"/>
    <x v="9"/>
    <x v="0"/>
    <n v="59.7"/>
    <n v="59.7"/>
    <x v="60"/>
    <d v="2025-03-05T00:00:00"/>
    <x v="2"/>
    <x v="4"/>
    <x v="0"/>
    <s v="California"/>
    <s v="Los Angeles County"/>
    <x v="2"/>
    <x v="9"/>
    <s v="March"/>
    <x v="2"/>
  </r>
  <r>
    <s v="TX501618"/>
    <x v="6"/>
    <x v="0"/>
    <n v="48.3"/>
    <n v="48.3"/>
    <x v="60"/>
    <d v="2025-03-16T00:00:00"/>
    <x v="3"/>
    <x v="0"/>
    <x v="2"/>
    <s v="California"/>
    <s v="Los Angeles County"/>
    <x v="12"/>
    <x v="9"/>
    <s v="March"/>
    <x v="3"/>
  </r>
  <r>
    <s v="TX501619"/>
    <x v="8"/>
    <x v="2"/>
    <n v="45.5"/>
    <n v="136.5"/>
    <x v="60"/>
    <d v="2025-03-04T00:00:00"/>
    <x v="1"/>
    <x v="2"/>
    <x v="1"/>
    <s v="California"/>
    <s v="Los Angeles County"/>
    <x v="1"/>
    <x v="9"/>
    <s v="March"/>
    <x v="1"/>
  </r>
  <r>
    <s v="TX501620"/>
    <x v="9"/>
    <x v="6"/>
    <n v="51"/>
    <n v="1377"/>
    <x v="60"/>
    <d v="2025-03-02T00:00:00"/>
    <x v="2"/>
    <x v="2"/>
    <x v="0"/>
    <s v="California"/>
    <s v="Los Angeles County"/>
    <x v="7"/>
    <x v="9"/>
    <s v="March"/>
    <x v="2"/>
  </r>
  <r>
    <s v="TX501621"/>
    <x v="4"/>
    <x v="13"/>
    <n v="20.399999999999999"/>
    <n v="122.39999999999999"/>
    <x v="60"/>
    <d v="2025-03-03T00:00:00"/>
    <x v="1"/>
    <x v="2"/>
    <x v="0"/>
    <s v="California"/>
    <s v="Los Angeles County"/>
    <x v="3"/>
    <x v="9"/>
    <s v="March"/>
    <x v="1"/>
  </r>
  <r>
    <s v="TX501622"/>
    <x v="10"/>
    <x v="1"/>
    <n v="30.4"/>
    <n v="60.8"/>
    <x v="60"/>
    <d v="2025-03-04T00:00:00"/>
    <x v="1"/>
    <x v="2"/>
    <x v="0"/>
    <s v="California"/>
    <s v="Los Angeles County"/>
    <x v="1"/>
    <x v="9"/>
    <s v="March"/>
    <x v="1"/>
  </r>
  <r>
    <s v="TX501623"/>
    <x v="7"/>
    <x v="1"/>
    <n v="71.5"/>
    <n v="143"/>
    <x v="60"/>
    <d v="2025-03-06T00:00:00"/>
    <x v="2"/>
    <x v="0"/>
    <x v="0"/>
    <s v="California"/>
    <s v="Los Angeles County"/>
    <x v="5"/>
    <x v="9"/>
    <s v="March"/>
    <x v="2"/>
  </r>
  <r>
    <s v="TX501624"/>
    <x v="8"/>
    <x v="13"/>
    <n v="18"/>
    <n v="108"/>
    <x v="60"/>
    <d v="2025-03-03T00:00:00"/>
    <x v="3"/>
    <x v="1"/>
    <x v="2"/>
    <s v="California"/>
    <s v="Sacramento County"/>
    <x v="3"/>
    <x v="9"/>
    <s v="March"/>
    <x v="3"/>
  </r>
  <r>
    <s v="TX501625"/>
    <x v="15"/>
    <x v="5"/>
    <n v="45.6"/>
    <n v="501.6"/>
    <x v="60"/>
    <d v="2025-03-03T00:00:00"/>
    <x v="3"/>
    <x v="1"/>
    <x v="1"/>
    <s v="California"/>
    <s v="San Bernardino County"/>
    <x v="3"/>
    <x v="9"/>
    <s v="March"/>
    <x v="3"/>
  </r>
  <r>
    <s v="TX501626"/>
    <x v="9"/>
    <x v="0"/>
    <n v="31.8"/>
    <n v="31.8"/>
    <x v="60"/>
    <d v="2025-03-06T00:00:00"/>
    <x v="2"/>
    <x v="0"/>
    <x v="2"/>
    <s v="California"/>
    <s v="San Bernardino County"/>
    <x v="5"/>
    <x v="9"/>
    <s v="March"/>
    <x v="2"/>
  </r>
  <r>
    <s v="TX501627"/>
    <x v="8"/>
    <x v="9"/>
    <n v="19.899999999999999"/>
    <n v="99.5"/>
    <x v="60"/>
    <d v="2025-03-03T00:00:00"/>
    <x v="2"/>
    <x v="1"/>
    <x v="0"/>
    <s v="California"/>
    <s v="San Bernardino County"/>
    <x v="3"/>
    <x v="9"/>
    <s v="March"/>
    <x v="2"/>
  </r>
  <r>
    <s v="TX501628"/>
    <x v="12"/>
    <x v="11"/>
    <n v="52.1"/>
    <n v="468.90000000000003"/>
    <x v="60"/>
    <d v="2025-03-04T00:00:00"/>
    <x v="1"/>
    <x v="0"/>
    <x v="0"/>
    <s v="California"/>
    <s v="San Diego County"/>
    <x v="1"/>
    <x v="9"/>
    <s v="March"/>
    <x v="1"/>
  </r>
  <r>
    <s v="TX501629"/>
    <x v="1"/>
    <x v="3"/>
    <n v="45.9"/>
    <n v="321.3"/>
    <x v="60"/>
    <d v="2025-03-03T00:00:00"/>
    <x v="1"/>
    <x v="0"/>
    <x v="1"/>
    <s v="California"/>
    <s v="San Diego County"/>
    <x v="3"/>
    <x v="9"/>
    <s v="March"/>
    <x v="1"/>
  </r>
  <r>
    <s v="TX501630"/>
    <x v="1"/>
    <x v="7"/>
    <n v="115.9"/>
    <n v="1159"/>
    <x v="60"/>
    <d v="2025-03-05T00:00:00"/>
    <x v="2"/>
    <x v="1"/>
    <x v="0"/>
    <s v="California"/>
    <s v="San Diego County"/>
    <x v="2"/>
    <x v="9"/>
    <s v="March"/>
    <x v="2"/>
  </r>
  <r>
    <s v="TX501631"/>
    <x v="6"/>
    <x v="11"/>
    <n v="86"/>
    <n v="774"/>
    <x v="60"/>
    <d v="2025-03-07T00:00:00"/>
    <x v="2"/>
    <x v="0"/>
    <x v="1"/>
    <s v="California"/>
    <s v="San Diego County"/>
    <x v="0"/>
    <x v="9"/>
    <s v="March"/>
    <x v="2"/>
  </r>
  <r>
    <s v="TX501632"/>
    <x v="7"/>
    <x v="3"/>
    <n v="73.599999999999994"/>
    <n v="515.19999999999993"/>
    <x v="60"/>
    <d v="2025-03-04T00:00:00"/>
    <x v="2"/>
    <x v="0"/>
    <x v="0"/>
    <s v="California"/>
    <s v="San Francisco"/>
    <x v="1"/>
    <x v="9"/>
    <s v="March"/>
    <x v="2"/>
  </r>
  <r>
    <s v="TX501633"/>
    <x v="10"/>
    <x v="2"/>
    <n v="26.7"/>
    <n v="80.099999999999994"/>
    <x v="60"/>
    <d v="2025-03-06T00:00:00"/>
    <x v="2"/>
    <x v="0"/>
    <x v="0"/>
    <s v="California"/>
    <s v="Santa Clara County"/>
    <x v="5"/>
    <x v="9"/>
    <s v="March"/>
    <x v="2"/>
  </r>
  <r>
    <s v="TX501634"/>
    <x v="8"/>
    <x v="3"/>
    <n v="46.6"/>
    <n v="326.2"/>
    <x v="60"/>
    <d v="2025-03-04T00:00:00"/>
    <x v="0"/>
    <x v="3"/>
    <x v="0"/>
    <s v="California"/>
    <s v="Santa Clara County"/>
    <x v="1"/>
    <x v="9"/>
    <s v="March"/>
    <x v="0"/>
  </r>
  <r>
    <s v="TX501635"/>
    <x v="3"/>
    <x v="2"/>
    <n v="84.6"/>
    <n v="253.79999999999998"/>
    <x v="60"/>
    <d v="2025-03-04T00:00:00"/>
    <x v="1"/>
    <x v="4"/>
    <x v="0"/>
    <s v="California"/>
    <s v="Santa Clara County"/>
    <x v="1"/>
    <x v="9"/>
    <s v="March"/>
    <x v="1"/>
  </r>
  <r>
    <s v="TX501636"/>
    <x v="7"/>
    <x v="21"/>
    <n v="41.5"/>
    <n v="581"/>
    <x v="60"/>
    <d v="2025-03-16T00:00:00"/>
    <x v="1"/>
    <x v="1"/>
    <x v="0"/>
    <s v="California"/>
    <s v="Shasta County"/>
    <x v="12"/>
    <x v="9"/>
    <s v="March"/>
    <x v="1"/>
  </r>
  <r>
    <s v="TX501637"/>
    <x v="8"/>
    <x v="0"/>
    <n v="32.799999999999997"/>
    <n v="32.799999999999997"/>
    <x v="60"/>
    <d v="2025-03-05T00:00:00"/>
    <x v="1"/>
    <x v="0"/>
    <x v="2"/>
    <s v="California"/>
    <s v="Siskiyou County"/>
    <x v="2"/>
    <x v="9"/>
    <s v="March"/>
    <x v="1"/>
  </r>
  <r>
    <s v="TX501638"/>
    <x v="4"/>
    <x v="3"/>
    <n v="46.7"/>
    <n v="326.90000000000003"/>
    <x v="60"/>
    <d v="2025-03-04T00:00:00"/>
    <x v="3"/>
    <x v="0"/>
    <x v="2"/>
    <s v="California"/>
    <s v="Sonoma County"/>
    <x v="1"/>
    <x v="9"/>
    <s v="March"/>
    <x v="3"/>
  </r>
  <r>
    <s v="TX501639"/>
    <x v="15"/>
    <x v="3"/>
    <n v="21"/>
    <n v="147"/>
    <x v="60"/>
    <d v="2025-03-05T00:00:00"/>
    <x v="1"/>
    <x v="2"/>
    <x v="1"/>
    <s v="California"/>
    <s v="Alameda County"/>
    <x v="2"/>
    <x v="9"/>
    <s v="March"/>
    <x v="1"/>
  </r>
  <r>
    <s v="TX501640"/>
    <x v="5"/>
    <x v="3"/>
    <n v="29.4"/>
    <n v="205.79999999999998"/>
    <x v="60"/>
    <d v="2025-03-02T00:00:00"/>
    <x v="1"/>
    <x v="3"/>
    <x v="2"/>
    <s v="California"/>
    <s v="Alameda County"/>
    <x v="7"/>
    <x v="9"/>
    <s v="March"/>
    <x v="1"/>
  </r>
  <r>
    <s v="TX501641"/>
    <x v="15"/>
    <x v="1"/>
    <n v="32.299999999999997"/>
    <n v="64.599999999999994"/>
    <x v="60"/>
    <d v="2025-03-03T00:00:00"/>
    <x v="1"/>
    <x v="0"/>
    <x v="2"/>
    <s v="California"/>
    <s v="Alameda County"/>
    <x v="3"/>
    <x v="9"/>
    <s v="March"/>
    <x v="1"/>
  </r>
  <r>
    <s v="TX501642"/>
    <x v="6"/>
    <x v="0"/>
    <n v="42.2"/>
    <n v="42.2"/>
    <x v="61"/>
    <d v="2025-03-05T00:00:00"/>
    <x v="2"/>
    <x v="0"/>
    <x v="2"/>
    <s v="California"/>
    <s v="Alameda County"/>
    <x v="1"/>
    <x v="9"/>
    <s v="March"/>
    <x v="2"/>
  </r>
  <r>
    <s v="TX501643"/>
    <x v="6"/>
    <x v="0"/>
    <n v="53.7"/>
    <n v="53.7"/>
    <x v="61"/>
    <d v="2025-03-05T00:00:00"/>
    <x v="1"/>
    <x v="1"/>
    <x v="1"/>
    <s v="California"/>
    <s v="Contra Costa County"/>
    <x v="1"/>
    <x v="9"/>
    <s v="March"/>
    <x v="1"/>
  </r>
  <r>
    <s v="TX501644"/>
    <x v="2"/>
    <x v="1"/>
    <n v="123.9"/>
    <n v="247.8"/>
    <x v="61"/>
    <d v="2025-03-06T00:00:00"/>
    <x v="1"/>
    <x v="2"/>
    <x v="0"/>
    <s v="California"/>
    <s v="Contra Costa County"/>
    <x v="2"/>
    <x v="9"/>
    <s v="March"/>
    <x v="1"/>
  </r>
  <r>
    <s v="TX501645"/>
    <x v="4"/>
    <x v="2"/>
    <n v="35.9"/>
    <n v="107.69999999999999"/>
    <x v="61"/>
    <d v="2025-03-05T00:00:00"/>
    <x v="1"/>
    <x v="2"/>
    <x v="0"/>
    <s v="California"/>
    <s v="Kern County"/>
    <x v="1"/>
    <x v="9"/>
    <s v="March"/>
    <x v="1"/>
  </r>
  <r>
    <s v="TX501646"/>
    <x v="4"/>
    <x v="1"/>
    <n v="23.6"/>
    <n v="47.2"/>
    <x v="61"/>
    <d v="2025-03-06T00:00:00"/>
    <x v="1"/>
    <x v="0"/>
    <x v="2"/>
    <s v="California"/>
    <s v="Los Angeles County"/>
    <x v="2"/>
    <x v="9"/>
    <s v="March"/>
    <x v="1"/>
  </r>
  <r>
    <s v="TX501647"/>
    <x v="15"/>
    <x v="36"/>
    <n v="45.7"/>
    <n v="1599.5"/>
    <x v="61"/>
    <d v="2025-03-04T00:00:00"/>
    <x v="1"/>
    <x v="0"/>
    <x v="1"/>
    <s v="California"/>
    <s v="Los Angeles County"/>
    <x v="3"/>
    <x v="9"/>
    <s v="March"/>
    <x v="1"/>
  </r>
  <r>
    <s v="TX501648"/>
    <x v="6"/>
    <x v="5"/>
    <n v="118.3"/>
    <n v="1301.3"/>
    <x v="61"/>
    <d v="2025-03-05T00:00:00"/>
    <x v="1"/>
    <x v="4"/>
    <x v="2"/>
    <s v="California"/>
    <s v="Los Angeles County"/>
    <x v="1"/>
    <x v="9"/>
    <s v="March"/>
    <x v="1"/>
  </r>
  <r>
    <s v="TX501649"/>
    <x v="19"/>
    <x v="0"/>
    <n v="36"/>
    <n v="36"/>
    <x v="61"/>
    <d v="2025-03-04T00:00:00"/>
    <x v="2"/>
    <x v="0"/>
    <x v="1"/>
    <s v="California"/>
    <s v="Los Angeles County"/>
    <x v="3"/>
    <x v="9"/>
    <s v="March"/>
    <x v="2"/>
  </r>
  <r>
    <s v="TX501650"/>
    <x v="8"/>
    <x v="1"/>
    <n v="37.1"/>
    <n v="74.2"/>
    <x v="61"/>
    <d v="2025-03-06T00:00:00"/>
    <x v="2"/>
    <x v="2"/>
    <x v="0"/>
    <s v="California"/>
    <s v="Los Angeles County"/>
    <x v="2"/>
    <x v="9"/>
    <s v="March"/>
    <x v="2"/>
  </r>
  <r>
    <s v="TX501651"/>
    <x v="18"/>
    <x v="2"/>
    <n v="45.1"/>
    <n v="135.30000000000001"/>
    <x v="61"/>
    <d v="2025-03-05T00:00:00"/>
    <x v="2"/>
    <x v="1"/>
    <x v="2"/>
    <s v="California"/>
    <s v="Los Angeles County"/>
    <x v="1"/>
    <x v="9"/>
    <s v="March"/>
    <x v="2"/>
  </r>
  <r>
    <s v="TX501652"/>
    <x v="5"/>
    <x v="27"/>
    <n v="37.9"/>
    <n v="606.4"/>
    <x v="61"/>
    <d v="2025-03-04T00:00:00"/>
    <x v="2"/>
    <x v="3"/>
    <x v="2"/>
    <s v="California"/>
    <s v="Los Angeles County"/>
    <x v="3"/>
    <x v="9"/>
    <s v="March"/>
    <x v="2"/>
  </r>
  <r>
    <s v="TX501653"/>
    <x v="2"/>
    <x v="1"/>
    <n v="121.6"/>
    <n v="243.2"/>
    <x v="61"/>
    <d v="2025-03-06T00:00:00"/>
    <x v="1"/>
    <x v="3"/>
    <x v="2"/>
    <s v="California"/>
    <s v="Los Angeles County"/>
    <x v="2"/>
    <x v="9"/>
    <s v="March"/>
    <x v="1"/>
  </r>
  <r>
    <s v="TX501654"/>
    <x v="5"/>
    <x v="3"/>
    <n v="38.200000000000003"/>
    <n v="267.40000000000003"/>
    <x v="61"/>
    <d v="2025-03-06T00:00:00"/>
    <x v="2"/>
    <x v="0"/>
    <x v="0"/>
    <s v="California"/>
    <s v="Los Angeles County"/>
    <x v="2"/>
    <x v="9"/>
    <s v="March"/>
    <x v="2"/>
  </r>
  <r>
    <s v="TX501655"/>
    <x v="17"/>
    <x v="1"/>
    <n v="37.200000000000003"/>
    <n v="74.400000000000006"/>
    <x v="61"/>
    <d v="2025-03-06T00:00:00"/>
    <x v="1"/>
    <x v="4"/>
    <x v="0"/>
    <s v="California"/>
    <s v="Los Angeles County"/>
    <x v="2"/>
    <x v="9"/>
    <s v="March"/>
    <x v="1"/>
  </r>
  <r>
    <s v="TX501656"/>
    <x v="2"/>
    <x v="12"/>
    <n v="115.7"/>
    <n v="462.8"/>
    <x v="61"/>
    <d v="2025-03-06T00:00:00"/>
    <x v="2"/>
    <x v="1"/>
    <x v="0"/>
    <s v="California"/>
    <s v="Los Angeles County"/>
    <x v="2"/>
    <x v="9"/>
    <s v="March"/>
    <x v="2"/>
  </r>
  <r>
    <s v="TX501657"/>
    <x v="2"/>
    <x v="13"/>
    <n v="99.4"/>
    <n v="596.40000000000009"/>
    <x v="61"/>
    <d v="2025-03-06T00:00:00"/>
    <x v="1"/>
    <x v="0"/>
    <x v="2"/>
    <s v="California"/>
    <s v="Los Angeles County"/>
    <x v="2"/>
    <x v="9"/>
    <s v="March"/>
    <x v="1"/>
  </r>
  <r>
    <s v="TX501658"/>
    <x v="11"/>
    <x v="0"/>
    <n v="38.700000000000003"/>
    <n v="38.700000000000003"/>
    <x v="61"/>
    <d v="2025-03-04T00:00:00"/>
    <x v="2"/>
    <x v="2"/>
    <x v="0"/>
    <s v="California"/>
    <s v="Orange County"/>
    <x v="3"/>
    <x v="9"/>
    <s v="March"/>
    <x v="2"/>
  </r>
  <r>
    <s v="TX501659"/>
    <x v="4"/>
    <x v="1"/>
    <n v="35.5"/>
    <n v="71"/>
    <x v="61"/>
    <d v="2025-03-06T00:00:00"/>
    <x v="1"/>
    <x v="0"/>
    <x v="2"/>
    <s v="California"/>
    <s v="Orange County"/>
    <x v="2"/>
    <x v="9"/>
    <s v="March"/>
    <x v="1"/>
  </r>
  <r>
    <s v="TX501660"/>
    <x v="2"/>
    <x v="12"/>
    <n v="93.3"/>
    <n v="373.2"/>
    <x v="61"/>
    <d v="2025-03-06T00:00:00"/>
    <x v="2"/>
    <x v="0"/>
    <x v="2"/>
    <s v="California"/>
    <s v="Sacramento County"/>
    <x v="2"/>
    <x v="9"/>
    <s v="March"/>
    <x v="2"/>
  </r>
  <r>
    <s v="TX501661"/>
    <x v="16"/>
    <x v="0"/>
    <n v="31.4"/>
    <n v="31.4"/>
    <x v="61"/>
    <d v="2025-03-08T00:00:00"/>
    <x v="2"/>
    <x v="2"/>
    <x v="2"/>
    <s v="California"/>
    <s v="Sacramento County"/>
    <x v="0"/>
    <x v="9"/>
    <s v="March"/>
    <x v="2"/>
  </r>
  <r>
    <s v="TX501662"/>
    <x v="1"/>
    <x v="0"/>
    <n v="85.9"/>
    <n v="85.9"/>
    <x v="61"/>
    <d v="2025-03-06T00:00:00"/>
    <x v="1"/>
    <x v="1"/>
    <x v="0"/>
    <s v="California"/>
    <s v="Sacramento County"/>
    <x v="2"/>
    <x v="9"/>
    <s v="March"/>
    <x v="1"/>
  </r>
  <r>
    <s v="TX501663"/>
    <x v="6"/>
    <x v="8"/>
    <n v="41.7"/>
    <n v="333.6"/>
    <x v="61"/>
    <d v="2025-03-11T00:00:00"/>
    <x v="1"/>
    <x v="0"/>
    <x v="2"/>
    <s v="California"/>
    <s v="San Bernardino County"/>
    <x v="9"/>
    <x v="9"/>
    <s v="March"/>
    <x v="1"/>
  </r>
  <r>
    <s v="TX501664"/>
    <x v="8"/>
    <x v="12"/>
    <n v="31.5"/>
    <n v="126"/>
    <x v="61"/>
    <d v="2025-03-04T00:00:00"/>
    <x v="2"/>
    <x v="0"/>
    <x v="0"/>
    <s v="California"/>
    <s v="San Bernardino County"/>
    <x v="3"/>
    <x v="9"/>
    <s v="March"/>
    <x v="2"/>
  </r>
  <r>
    <s v="TX501665"/>
    <x v="8"/>
    <x v="1"/>
    <n v="36.299999999999997"/>
    <n v="72.599999999999994"/>
    <x v="61"/>
    <d v="2025-03-04T00:00:00"/>
    <x v="2"/>
    <x v="0"/>
    <x v="4"/>
    <s v="California"/>
    <s v="San Diego County"/>
    <x v="3"/>
    <x v="9"/>
    <s v="March"/>
    <x v="2"/>
  </r>
  <r>
    <s v="TX501666"/>
    <x v="8"/>
    <x v="2"/>
    <n v="33.4"/>
    <n v="100.19999999999999"/>
    <x v="61"/>
    <d v="2025-03-04T00:00:00"/>
    <x v="2"/>
    <x v="3"/>
    <x v="0"/>
    <s v="California"/>
    <s v="San Francisco"/>
    <x v="3"/>
    <x v="9"/>
    <s v="March"/>
    <x v="2"/>
  </r>
  <r>
    <s v="TX501667"/>
    <x v="2"/>
    <x v="2"/>
    <n v="65.2"/>
    <n v="195.60000000000002"/>
    <x v="61"/>
    <d v="2025-03-04T00:00:00"/>
    <x v="2"/>
    <x v="2"/>
    <x v="2"/>
    <s v="California"/>
    <s v="San Joaquin County"/>
    <x v="3"/>
    <x v="9"/>
    <s v="March"/>
    <x v="2"/>
  </r>
  <r>
    <s v="TX501668"/>
    <x v="8"/>
    <x v="11"/>
    <n v="65.5"/>
    <n v="589.5"/>
    <x v="61"/>
    <d v="2025-03-06T00:00:00"/>
    <x v="2"/>
    <x v="0"/>
    <x v="2"/>
    <s v="California"/>
    <s v="San Mateo County"/>
    <x v="2"/>
    <x v="9"/>
    <s v="March"/>
    <x v="2"/>
  </r>
  <r>
    <s v="TX501669"/>
    <x v="6"/>
    <x v="2"/>
    <n v="52.8"/>
    <n v="158.39999999999998"/>
    <x v="61"/>
    <d v="2025-03-06T00:00:00"/>
    <x v="1"/>
    <x v="2"/>
    <x v="0"/>
    <s v="California"/>
    <s v="San Mateo County"/>
    <x v="2"/>
    <x v="9"/>
    <s v="March"/>
    <x v="1"/>
  </r>
  <r>
    <s v="TX501670"/>
    <x v="9"/>
    <x v="9"/>
    <n v="24"/>
    <n v="120"/>
    <x v="61"/>
    <d v="2025-03-07T00:00:00"/>
    <x v="1"/>
    <x v="0"/>
    <x v="1"/>
    <s v="California"/>
    <s v="Santa Clara County"/>
    <x v="5"/>
    <x v="9"/>
    <s v="March"/>
    <x v="1"/>
  </r>
  <r>
    <s v="TX501671"/>
    <x v="3"/>
    <x v="2"/>
    <n v="51.2"/>
    <n v="153.60000000000002"/>
    <x v="61"/>
    <d v="2025-03-04T00:00:00"/>
    <x v="2"/>
    <x v="0"/>
    <x v="0"/>
    <s v="California"/>
    <s v="Santa Cruz County"/>
    <x v="3"/>
    <x v="9"/>
    <s v="March"/>
    <x v="2"/>
  </r>
  <r>
    <s v="TX501672"/>
    <x v="5"/>
    <x v="2"/>
    <n v="28.3"/>
    <n v="84.9"/>
    <x v="61"/>
    <d v="2025-03-05T00:00:00"/>
    <x v="1"/>
    <x v="4"/>
    <x v="0"/>
    <s v="California"/>
    <s v="Stanislaus County"/>
    <x v="1"/>
    <x v="9"/>
    <s v="March"/>
    <x v="1"/>
  </r>
  <r>
    <s v="TX501673"/>
    <x v="6"/>
    <x v="2"/>
    <n v="42.3"/>
    <n v="126.89999999999999"/>
    <x v="61"/>
    <d v="2025-03-03T00:00:00"/>
    <x v="2"/>
    <x v="2"/>
    <x v="1"/>
    <s v="California"/>
    <s v="Stanislaus County"/>
    <x v="7"/>
    <x v="9"/>
    <s v="March"/>
    <x v="2"/>
  </r>
  <r>
    <s v="TX501674"/>
    <x v="2"/>
    <x v="8"/>
    <n v="163.30000000000001"/>
    <n v="1306.4000000000001"/>
    <x v="62"/>
    <d v="2025-03-05T00:00:00"/>
    <x v="2"/>
    <x v="1"/>
    <x v="0"/>
    <s v="California"/>
    <s v="Ventura County"/>
    <x v="3"/>
    <x v="9"/>
    <s v="March"/>
    <x v="2"/>
  </r>
  <r>
    <s v="TX501675"/>
    <x v="6"/>
    <x v="3"/>
    <n v="47.3"/>
    <n v="331.09999999999997"/>
    <x v="62"/>
    <d v="2025-03-07T00:00:00"/>
    <x v="2"/>
    <x v="4"/>
    <x v="1"/>
    <s v="California"/>
    <s v="Alameda County"/>
    <x v="2"/>
    <x v="9"/>
    <s v="March"/>
    <x v="2"/>
  </r>
  <r>
    <s v="TX501676"/>
    <x v="8"/>
    <x v="27"/>
    <n v="27.3"/>
    <n v="436.8"/>
    <x v="62"/>
    <d v="2025-03-05T00:00:00"/>
    <x v="2"/>
    <x v="2"/>
    <x v="0"/>
    <s v="California"/>
    <s v="Alameda County"/>
    <x v="3"/>
    <x v="9"/>
    <s v="March"/>
    <x v="2"/>
  </r>
  <r>
    <s v="TX501677"/>
    <x v="10"/>
    <x v="13"/>
    <n v="34.9"/>
    <n v="209.39999999999998"/>
    <x v="62"/>
    <d v="2025-03-15T00:00:00"/>
    <x v="2"/>
    <x v="0"/>
    <x v="0"/>
    <s v="California"/>
    <s v="Alameda County"/>
    <x v="11"/>
    <x v="9"/>
    <s v="March"/>
    <x v="2"/>
  </r>
  <r>
    <s v="TX501678"/>
    <x v="6"/>
    <x v="1"/>
    <n v="53.9"/>
    <n v="107.8"/>
    <x v="62"/>
    <d v="2025-03-07T00:00:00"/>
    <x v="3"/>
    <x v="0"/>
    <x v="4"/>
    <s v="California"/>
    <s v="Contra Costa County"/>
    <x v="2"/>
    <x v="9"/>
    <s v="March"/>
    <x v="3"/>
  </r>
  <r>
    <s v="TX501679"/>
    <x v="2"/>
    <x v="1"/>
    <n v="87.2"/>
    <n v="174.4"/>
    <x v="62"/>
    <d v="2025-03-05T00:00:00"/>
    <x v="2"/>
    <x v="0"/>
    <x v="1"/>
    <s v="California"/>
    <s v="Contra Costa County"/>
    <x v="3"/>
    <x v="9"/>
    <s v="March"/>
    <x v="2"/>
  </r>
  <r>
    <s v="TX501680"/>
    <x v="15"/>
    <x v="0"/>
    <n v="58.8"/>
    <n v="58.8"/>
    <x v="62"/>
    <d v="2025-03-06T00:00:00"/>
    <x v="2"/>
    <x v="2"/>
    <x v="0"/>
    <s v="California"/>
    <s v="Humboldt County"/>
    <x v="1"/>
    <x v="9"/>
    <s v="March"/>
    <x v="2"/>
  </r>
  <r>
    <s v="TX501681"/>
    <x v="2"/>
    <x v="3"/>
    <n v="125.5"/>
    <n v="878.5"/>
    <x v="62"/>
    <d v="2025-03-05T00:00:00"/>
    <x v="1"/>
    <x v="2"/>
    <x v="4"/>
    <s v="California"/>
    <s v="Kern County"/>
    <x v="3"/>
    <x v="9"/>
    <s v="March"/>
    <x v="1"/>
  </r>
  <r>
    <s v="TX501682"/>
    <x v="1"/>
    <x v="12"/>
    <n v="124.6"/>
    <n v="498.4"/>
    <x v="62"/>
    <d v="2025-03-06T00:00:00"/>
    <x v="2"/>
    <x v="0"/>
    <x v="1"/>
    <s v="California"/>
    <s v="Kern County"/>
    <x v="1"/>
    <x v="9"/>
    <s v="March"/>
    <x v="2"/>
  </r>
  <r>
    <s v="TX501683"/>
    <x v="1"/>
    <x v="3"/>
    <n v="39.9"/>
    <n v="279.3"/>
    <x v="62"/>
    <d v="2025-03-05T00:00:00"/>
    <x v="1"/>
    <x v="2"/>
    <x v="1"/>
    <s v="California"/>
    <s v="Los Angeles County"/>
    <x v="3"/>
    <x v="9"/>
    <s v="March"/>
    <x v="1"/>
  </r>
  <r>
    <s v="TX501684"/>
    <x v="6"/>
    <x v="0"/>
    <n v="94.6"/>
    <n v="94.6"/>
    <x v="62"/>
    <d v="2025-03-18T00:00:00"/>
    <x v="2"/>
    <x v="0"/>
    <x v="1"/>
    <s v="California"/>
    <s v="Los Angeles County"/>
    <x v="12"/>
    <x v="9"/>
    <s v="March"/>
    <x v="2"/>
  </r>
  <r>
    <s v="TX501685"/>
    <x v="2"/>
    <x v="1"/>
    <n v="149.6"/>
    <n v="299.2"/>
    <x v="62"/>
    <d v="2025-03-05T00:00:00"/>
    <x v="2"/>
    <x v="0"/>
    <x v="0"/>
    <s v="California"/>
    <s v="Los Angeles County"/>
    <x v="3"/>
    <x v="9"/>
    <s v="March"/>
    <x v="2"/>
  </r>
  <r>
    <s v="TX501686"/>
    <x v="8"/>
    <x v="0"/>
    <n v="52.2"/>
    <n v="52.2"/>
    <x v="62"/>
    <d v="2025-03-05T00:00:00"/>
    <x v="0"/>
    <x v="1"/>
    <x v="0"/>
    <s v="California"/>
    <s v="Los Angeles County"/>
    <x v="3"/>
    <x v="9"/>
    <s v="March"/>
    <x v="0"/>
  </r>
  <r>
    <s v="TX501687"/>
    <x v="6"/>
    <x v="1"/>
    <n v="96.5"/>
    <n v="193"/>
    <x v="62"/>
    <d v="2025-03-05T00:00:00"/>
    <x v="2"/>
    <x v="1"/>
    <x v="1"/>
    <s v="California"/>
    <s v="Los Angeles County"/>
    <x v="3"/>
    <x v="9"/>
    <s v="March"/>
    <x v="2"/>
  </r>
  <r>
    <s v="TX501688"/>
    <x v="8"/>
    <x v="1"/>
    <n v="79.8"/>
    <n v="159.6"/>
    <x v="62"/>
    <d v="2025-03-06T00:00:00"/>
    <x v="2"/>
    <x v="0"/>
    <x v="1"/>
    <s v="California"/>
    <s v="Los Angeles County"/>
    <x v="1"/>
    <x v="9"/>
    <s v="March"/>
    <x v="2"/>
  </r>
  <r>
    <s v="TX501689"/>
    <x v="8"/>
    <x v="2"/>
    <n v="35.6"/>
    <n v="106.80000000000001"/>
    <x v="62"/>
    <d v="2025-03-05T00:00:00"/>
    <x v="2"/>
    <x v="2"/>
    <x v="0"/>
    <s v="California"/>
    <s v="Los Angeles County"/>
    <x v="3"/>
    <x v="9"/>
    <s v="March"/>
    <x v="2"/>
  </r>
  <r>
    <s v="TX501690"/>
    <x v="16"/>
    <x v="0"/>
    <n v="50.2"/>
    <n v="50.2"/>
    <x v="62"/>
    <d v="2025-03-05T00:00:00"/>
    <x v="2"/>
    <x v="1"/>
    <x v="2"/>
    <s v="California"/>
    <s v="Los Angeles County"/>
    <x v="3"/>
    <x v="9"/>
    <s v="March"/>
    <x v="2"/>
  </r>
  <r>
    <s v="TX501691"/>
    <x v="1"/>
    <x v="2"/>
    <n v="55.3"/>
    <n v="165.89999999999998"/>
    <x v="62"/>
    <d v="2025-03-07T00:00:00"/>
    <x v="2"/>
    <x v="0"/>
    <x v="4"/>
    <s v="California"/>
    <s v="Mariposa County"/>
    <x v="2"/>
    <x v="9"/>
    <s v="March"/>
    <x v="2"/>
  </r>
  <r>
    <s v="TX501692"/>
    <x v="6"/>
    <x v="3"/>
    <n v="104.5"/>
    <n v="731.5"/>
    <x v="62"/>
    <d v="2025-03-08T00:00:00"/>
    <x v="2"/>
    <x v="1"/>
    <x v="0"/>
    <s v="California"/>
    <s v="San Bernardino County"/>
    <x v="5"/>
    <x v="9"/>
    <s v="March"/>
    <x v="2"/>
  </r>
  <r>
    <s v="TX501693"/>
    <x v="6"/>
    <x v="12"/>
    <n v="66.5"/>
    <n v="266"/>
    <x v="62"/>
    <d v="2025-03-06T00:00:00"/>
    <x v="1"/>
    <x v="1"/>
    <x v="0"/>
    <s v="California"/>
    <s v="San Bernardino County"/>
    <x v="1"/>
    <x v="9"/>
    <s v="March"/>
    <x v="1"/>
  </r>
  <r>
    <s v="TX501694"/>
    <x v="10"/>
    <x v="8"/>
    <n v="38.299999999999997"/>
    <n v="306.39999999999998"/>
    <x v="62"/>
    <d v="2025-03-05T00:00:00"/>
    <x v="2"/>
    <x v="0"/>
    <x v="0"/>
    <s v="California"/>
    <s v="San Bernardino County"/>
    <x v="3"/>
    <x v="9"/>
    <s v="March"/>
    <x v="2"/>
  </r>
  <r>
    <s v="TX501695"/>
    <x v="6"/>
    <x v="2"/>
    <n v="63.8"/>
    <n v="191.39999999999998"/>
    <x v="62"/>
    <d v="2025-03-07T00:00:00"/>
    <x v="2"/>
    <x v="1"/>
    <x v="0"/>
    <s v="California"/>
    <s v="San Diego County"/>
    <x v="2"/>
    <x v="9"/>
    <s v="March"/>
    <x v="2"/>
  </r>
  <r>
    <s v="TX501696"/>
    <x v="15"/>
    <x v="0"/>
    <n v="21.4"/>
    <n v="21.4"/>
    <x v="62"/>
    <d v="2025-03-04T00:00:00"/>
    <x v="1"/>
    <x v="4"/>
    <x v="0"/>
    <s v="California"/>
    <s v="San Diego County"/>
    <x v="7"/>
    <x v="9"/>
    <s v="March"/>
    <x v="1"/>
  </r>
  <r>
    <s v="TX501697"/>
    <x v="8"/>
    <x v="12"/>
    <n v="44.1"/>
    <n v="176.4"/>
    <x v="62"/>
    <d v="2025-03-06T00:00:00"/>
    <x v="2"/>
    <x v="2"/>
    <x v="0"/>
    <s v="California"/>
    <s v="San Diego County"/>
    <x v="1"/>
    <x v="9"/>
    <s v="March"/>
    <x v="2"/>
  </r>
  <r>
    <s v="TX501698"/>
    <x v="5"/>
    <x v="8"/>
    <n v="57.6"/>
    <n v="460.8"/>
    <x v="62"/>
    <d v="2025-03-06T00:00:00"/>
    <x v="1"/>
    <x v="1"/>
    <x v="2"/>
    <s v="California"/>
    <s v="San Diego County"/>
    <x v="1"/>
    <x v="9"/>
    <s v="March"/>
    <x v="1"/>
  </r>
  <r>
    <s v="TX501699"/>
    <x v="9"/>
    <x v="1"/>
    <n v="20.3"/>
    <n v="40.6"/>
    <x v="62"/>
    <d v="2025-03-10T00:00:00"/>
    <x v="2"/>
    <x v="3"/>
    <x v="0"/>
    <s v="California"/>
    <s v="San Diego County"/>
    <x v="4"/>
    <x v="9"/>
    <s v="March"/>
    <x v="2"/>
  </r>
  <r>
    <s v="TX501700"/>
    <x v="8"/>
    <x v="0"/>
    <n v="22.9"/>
    <n v="22.9"/>
    <x v="62"/>
    <d v="2025-03-06T00:00:00"/>
    <x v="2"/>
    <x v="2"/>
    <x v="2"/>
    <s v="California"/>
    <s v="San Diego County"/>
    <x v="1"/>
    <x v="9"/>
    <s v="March"/>
    <x v="2"/>
  </r>
  <r>
    <s v="TX501701"/>
    <x v="6"/>
    <x v="12"/>
    <n v="105.9"/>
    <n v="423.6"/>
    <x v="62"/>
    <d v="2025-03-05T00:00:00"/>
    <x v="2"/>
    <x v="1"/>
    <x v="2"/>
    <s v="California"/>
    <s v="San Francisco"/>
    <x v="3"/>
    <x v="9"/>
    <s v="March"/>
    <x v="2"/>
  </r>
  <r>
    <s v="TX501702"/>
    <x v="1"/>
    <x v="11"/>
    <n v="37.4"/>
    <n v="336.59999999999997"/>
    <x v="62"/>
    <d v="2025-03-08T00:00:00"/>
    <x v="1"/>
    <x v="1"/>
    <x v="0"/>
    <s v="California"/>
    <s v="Santa Clara County"/>
    <x v="5"/>
    <x v="9"/>
    <s v="March"/>
    <x v="1"/>
  </r>
  <r>
    <s v="TX501703"/>
    <x v="18"/>
    <x v="1"/>
    <n v="79"/>
    <n v="158"/>
    <x v="62"/>
    <d v="2025-03-05T00:00:00"/>
    <x v="1"/>
    <x v="2"/>
    <x v="0"/>
    <s v="California"/>
    <s v="Yolo County"/>
    <x v="3"/>
    <x v="9"/>
    <s v="March"/>
    <x v="1"/>
  </r>
  <r>
    <s v="TX501704"/>
    <x v="0"/>
    <x v="2"/>
    <n v="19.3"/>
    <n v="57.900000000000006"/>
    <x v="62"/>
    <d v="2025-03-05T00:00:00"/>
    <x v="2"/>
    <x v="4"/>
    <x v="0"/>
    <s v="California"/>
    <s v="Alameda County"/>
    <x v="3"/>
    <x v="9"/>
    <s v="March"/>
    <x v="2"/>
  </r>
  <r>
    <s v="TX501705"/>
    <x v="0"/>
    <x v="0"/>
    <n v="24"/>
    <n v="24"/>
    <x v="62"/>
    <d v="2025-03-05T00:00:00"/>
    <x v="2"/>
    <x v="1"/>
    <x v="0"/>
    <s v="California"/>
    <s v="Contra Costa County"/>
    <x v="3"/>
    <x v="9"/>
    <s v="March"/>
    <x v="2"/>
  </r>
  <r>
    <s v="TX501706"/>
    <x v="6"/>
    <x v="9"/>
    <n v="71.3"/>
    <n v="356.5"/>
    <x v="62"/>
    <d v="2025-03-07T00:00:00"/>
    <x v="2"/>
    <x v="2"/>
    <x v="0"/>
    <s v="California"/>
    <s v="Fresno County"/>
    <x v="2"/>
    <x v="9"/>
    <s v="March"/>
    <x v="2"/>
  </r>
  <r>
    <s v="TX501707"/>
    <x v="5"/>
    <x v="1"/>
    <n v="166.2"/>
    <n v="332.4"/>
    <x v="62"/>
    <d v="2025-03-05T00:00:00"/>
    <x v="1"/>
    <x v="0"/>
    <x v="2"/>
    <s v="California"/>
    <s v="Lake County"/>
    <x v="3"/>
    <x v="9"/>
    <s v="March"/>
    <x v="1"/>
  </r>
  <r>
    <s v="TX501708"/>
    <x v="6"/>
    <x v="0"/>
    <n v="81"/>
    <n v="81"/>
    <x v="62"/>
    <d v="2025-03-05T00:00:00"/>
    <x v="2"/>
    <x v="2"/>
    <x v="1"/>
    <s v="California"/>
    <s v="Los Angeles County"/>
    <x v="3"/>
    <x v="9"/>
    <s v="March"/>
    <x v="2"/>
  </r>
  <r>
    <s v="TX501709"/>
    <x v="10"/>
    <x v="13"/>
    <n v="38.5"/>
    <n v="231"/>
    <x v="62"/>
    <d v="2025-03-08T00:00:00"/>
    <x v="2"/>
    <x v="0"/>
    <x v="0"/>
    <s v="California"/>
    <s v="Los Angeles County"/>
    <x v="5"/>
    <x v="9"/>
    <s v="March"/>
    <x v="2"/>
  </r>
  <r>
    <s v="TX501710"/>
    <x v="6"/>
    <x v="0"/>
    <n v="86.1"/>
    <n v="86.1"/>
    <x v="62"/>
    <d v="2025-03-06T00:00:00"/>
    <x v="2"/>
    <x v="3"/>
    <x v="0"/>
    <s v="California"/>
    <s v="Los Angeles County"/>
    <x v="1"/>
    <x v="9"/>
    <s v="March"/>
    <x v="2"/>
  </r>
  <r>
    <s v="TX501711"/>
    <x v="2"/>
    <x v="9"/>
    <n v="51"/>
    <n v="255"/>
    <x v="62"/>
    <d v="2025-03-05T00:00:00"/>
    <x v="1"/>
    <x v="0"/>
    <x v="1"/>
    <s v="California"/>
    <s v="Los Angeles County"/>
    <x v="3"/>
    <x v="9"/>
    <s v="March"/>
    <x v="1"/>
  </r>
  <r>
    <s v="TX501712"/>
    <x v="3"/>
    <x v="9"/>
    <n v="115.4"/>
    <n v="577"/>
    <x v="62"/>
    <d v="2025-03-05T00:00:00"/>
    <x v="1"/>
    <x v="0"/>
    <x v="0"/>
    <s v="California"/>
    <s v="Los Angeles County"/>
    <x v="3"/>
    <x v="9"/>
    <s v="March"/>
    <x v="1"/>
  </r>
  <r>
    <s v="TX501713"/>
    <x v="6"/>
    <x v="12"/>
    <n v="176.5"/>
    <n v="706"/>
    <x v="62"/>
    <d v="2025-03-05T00:00:00"/>
    <x v="2"/>
    <x v="2"/>
    <x v="2"/>
    <s v="California"/>
    <s v="Los Angeles County"/>
    <x v="3"/>
    <x v="9"/>
    <s v="March"/>
    <x v="2"/>
  </r>
  <r>
    <s v="TX501714"/>
    <x v="7"/>
    <x v="2"/>
    <n v="48.9"/>
    <n v="146.69999999999999"/>
    <x v="62"/>
    <d v="2025-03-05T00:00:00"/>
    <x v="1"/>
    <x v="4"/>
    <x v="0"/>
    <s v="California"/>
    <s v="Los Angeles County"/>
    <x v="3"/>
    <x v="9"/>
    <s v="March"/>
    <x v="1"/>
  </r>
  <r>
    <s v="TX501715"/>
    <x v="8"/>
    <x v="2"/>
    <n v="18.100000000000001"/>
    <n v="54.300000000000004"/>
    <x v="62"/>
    <d v="2025-03-11T00:00:00"/>
    <x v="2"/>
    <x v="1"/>
    <x v="2"/>
    <s v="California"/>
    <s v="Mendocino County"/>
    <x v="6"/>
    <x v="9"/>
    <s v="March"/>
    <x v="2"/>
  </r>
  <r>
    <s v="TX501716"/>
    <x v="2"/>
    <x v="1"/>
    <n v="118.5"/>
    <n v="237"/>
    <x v="62"/>
    <d v="2025-03-07T00:00:00"/>
    <x v="1"/>
    <x v="1"/>
    <x v="2"/>
    <s v="California"/>
    <s v="Napa County"/>
    <x v="2"/>
    <x v="9"/>
    <s v="March"/>
    <x v="1"/>
  </r>
  <r>
    <s v="TX501717"/>
    <x v="15"/>
    <x v="3"/>
    <n v="59.1"/>
    <n v="413.7"/>
    <x v="62"/>
    <d v="2025-03-05T00:00:00"/>
    <x v="2"/>
    <x v="3"/>
    <x v="0"/>
    <s v="California"/>
    <s v="Orange County"/>
    <x v="3"/>
    <x v="9"/>
    <s v="March"/>
    <x v="2"/>
  </r>
  <r>
    <s v="TX501718"/>
    <x v="4"/>
    <x v="0"/>
    <n v="21.2"/>
    <n v="21.2"/>
    <x v="62"/>
    <d v="2025-03-05T00:00:00"/>
    <x v="2"/>
    <x v="0"/>
    <x v="1"/>
    <s v="California"/>
    <s v="Sacramento County"/>
    <x v="3"/>
    <x v="9"/>
    <s v="March"/>
    <x v="2"/>
  </r>
  <r>
    <s v="TX501719"/>
    <x v="6"/>
    <x v="1"/>
    <n v="68.8"/>
    <n v="137.6"/>
    <x v="62"/>
    <d v="2025-03-09T00:00:00"/>
    <x v="2"/>
    <x v="3"/>
    <x v="2"/>
    <s v="California"/>
    <s v="Sacramento County"/>
    <x v="0"/>
    <x v="9"/>
    <s v="March"/>
    <x v="2"/>
  </r>
  <r>
    <s v="TX501720"/>
    <x v="6"/>
    <x v="1"/>
    <n v="65.400000000000006"/>
    <n v="130.80000000000001"/>
    <x v="62"/>
    <d v="2025-03-08T00:00:00"/>
    <x v="2"/>
    <x v="0"/>
    <x v="0"/>
    <s v="California"/>
    <s v="Sacramento County"/>
    <x v="5"/>
    <x v="9"/>
    <s v="March"/>
    <x v="2"/>
  </r>
  <r>
    <s v="TX501721"/>
    <x v="12"/>
    <x v="9"/>
    <n v="66.3"/>
    <n v="331.5"/>
    <x v="63"/>
    <d v="2025-03-08T00:00:00"/>
    <x v="2"/>
    <x v="4"/>
    <x v="0"/>
    <s v="California"/>
    <s v="Sacramento County"/>
    <x v="2"/>
    <x v="9"/>
    <s v="March"/>
    <x v="2"/>
  </r>
  <r>
    <s v="TX501722"/>
    <x v="6"/>
    <x v="2"/>
    <n v="97.5"/>
    <n v="292.5"/>
    <x v="63"/>
    <d v="2025-03-05T00:00:00"/>
    <x v="1"/>
    <x v="3"/>
    <x v="0"/>
    <s v="California"/>
    <s v="San Diego County"/>
    <x v="7"/>
    <x v="9"/>
    <s v="March"/>
    <x v="1"/>
  </r>
  <r>
    <s v="TX501723"/>
    <x v="1"/>
    <x v="1"/>
    <n v="44"/>
    <n v="88"/>
    <x v="63"/>
    <d v="2025-03-08T00:00:00"/>
    <x v="2"/>
    <x v="1"/>
    <x v="2"/>
    <s v="California"/>
    <s v="San Diego County"/>
    <x v="2"/>
    <x v="9"/>
    <s v="March"/>
    <x v="2"/>
  </r>
  <r>
    <s v="TX501724"/>
    <x v="0"/>
    <x v="0"/>
    <n v="21.9"/>
    <n v="21.9"/>
    <x v="63"/>
    <d v="2025-03-06T00:00:00"/>
    <x v="1"/>
    <x v="0"/>
    <x v="0"/>
    <s v="California"/>
    <s v="San Diego County"/>
    <x v="3"/>
    <x v="9"/>
    <s v="March"/>
    <x v="1"/>
  </r>
  <r>
    <s v="TX501725"/>
    <x v="4"/>
    <x v="3"/>
    <n v="21.5"/>
    <n v="150.5"/>
    <x v="63"/>
    <d v="2025-03-07T00:00:00"/>
    <x v="2"/>
    <x v="1"/>
    <x v="2"/>
    <s v="California"/>
    <s v="San Mateo County"/>
    <x v="1"/>
    <x v="9"/>
    <s v="March"/>
    <x v="2"/>
  </r>
  <r>
    <s v="TX501726"/>
    <x v="12"/>
    <x v="13"/>
    <n v="133"/>
    <n v="798"/>
    <x v="63"/>
    <d v="2025-03-06T00:00:00"/>
    <x v="3"/>
    <x v="0"/>
    <x v="2"/>
    <s v="California"/>
    <s v="Santa Barbara County"/>
    <x v="3"/>
    <x v="9"/>
    <s v="March"/>
    <x v="3"/>
  </r>
  <r>
    <s v="TX501727"/>
    <x v="8"/>
    <x v="1"/>
    <n v="47.7"/>
    <n v="95.4"/>
    <x v="63"/>
    <d v="2025-03-09T00:00:00"/>
    <x v="1"/>
    <x v="0"/>
    <x v="2"/>
    <s v="California"/>
    <s v="Santa Barbara County"/>
    <x v="5"/>
    <x v="9"/>
    <s v="March"/>
    <x v="1"/>
  </r>
  <r>
    <s v="TX501728"/>
    <x v="16"/>
    <x v="2"/>
    <n v="58.1"/>
    <n v="174.3"/>
    <x v="63"/>
    <d v="2025-03-06T00:00:00"/>
    <x v="2"/>
    <x v="0"/>
    <x v="0"/>
    <s v="California"/>
    <s v="Santa Clara County"/>
    <x v="3"/>
    <x v="9"/>
    <s v="March"/>
    <x v="2"/>
  </r>
  <r>
    <s v="TX501729"/>
    <x v="12"/>
    <x v="12"/>
    <n v="66.599999999999994"/>
    <n v="266.39999999999998"/>
    <x v="63"/>
    <d v="2025-03-06T00:00:00"/>
    <x v="0"/>
    <x v="0"/>
    <x v="0"/>
    <s v="California"/>
    <s v="Santa Clara County"/>
    <x v="3"/>
    <x v="9"/>
    <s v="March"/>
    <x v="0"/>
  </r>
  <r>
    <s v="TX501730"/>
    <x v="9"/>
    <x v="0"/>
    <n v="24.1"/>
    <n v="24.1"/>
    <x v="63"/>
    <d v="2025-03-08T00:00:00"/>
    <x v="1"/>
    <x v="2"/>
    <x v="1"/>
    <s v="California"/>
    <s v="Stanislaus County"/>
    <x v="2"/>
    <x v="9"/>
    <s v="March"/>
    <x v="1"/>
  </r>
  <r>
    <s v="TX501731"/>
    <x v="10"/>
    <x v="9"/>
    <n v="51.5"/>
    <n v="257.5"/>
    <x v="63"/>
    <d v="2025-03-10T00:00:00"/>
    <x v="2"/>
    <x v="0"/>
    <x v="0"/>
    <s v="California"/>
    <s v="Ventura County"/>
    <x v="0"/>
    <x v="9"/>
    <s v="March"/>
    <x v="2"/>
  </r>
  <r>
    <s v="TX501732"/>
    <x v="0"/>
    <x v="5"/>
    <n v="25.8"/>
    <n v="283.8"/>
    <x v="63"/>
    <d v="2025-03-09T00:00:00"/>
    <x v="2"/>
    <x v="3"/>
    <x v="4"/>
    <s v="California"/>
    <s v="Alameda County"/>
    <x v="5"/>
    <x v="9"/>
    <s v="March"/>
    <x v="2"/>
  </r>
  <r>
    <s v="TX501733"/>
    <x v="9"/>
    <x v="12"/>
    <n v="47.7"/>
    <n v="190.8"/>
    <x v="63"/>
    <d v="2025-03-05T00:00:00"/>
    <x v="2"/>
    <x v="0"/>
    <x v="1"/>
    <s v="California"/>
    <s v="Alameda County"/>
    <x v="7"/>
    <x v="9"/>
    <s v="March"/>
    <x v="2"/>
  </r>
  <r>
    <s v="TX501734"/>
    <x v="7"/>
    <x v="9"/>
    <n v="73.599999999999994"/>
    <n v="368"/>
    <x v="63"/>
    <d v="2025-03-09T00:00:00"/>
    <x v="1"/>
    <x v="1"/>
    <x v="0"/>
    <s v="California"/>
    <s v="Alameda County"/>
    <x v="5"/>
    <x v="9"/>
    <s v="March"/>
    <x v="1"/>
  </r>
  <r>
    <s v="TX501735"/>
    <x v="5"/>
    <x v="3"/>
    <n v="91.2"/>
    <n v="638.4"/>
    <x v="63"/>
    <d v="2025-03-06T00:00:00"/>
    <x v="1"/>
    <x v="1"/>
    <x v="2"/>
    <s v="California"/>
    <s v="Alameda County"/>
    <x v="3"/>
    <x v="9"/>
    <s v="March"/>
    <x v="1"/>
  </r>
  <r>
    <s v="TX501736"/>
    <x v="1"/>
    <x v="8"/>
    <n v="36.200000000000003"/>
    <n v="289.60000000000002"/>
    <x v="63"/>
    <d v="2025-03-05T00:00:00"/>
    <x v="1"/>
    <x v="2"/>
    <x v="2"/>
    <s v="California"/>
    <s v="Contra Costa County"/>
    <x v="7"/>
    <x v="9"/>
    <s v="March"/>
    <x v="1"/>
  </r>
  <r>
    <s v="TX501737"/>
    <x v="9"/>
    <x v="8"/>
    <n v="98"/>
    <n v="784"/>
    <x v="63"/>
    <d v="2025-03-09T00:00:00"/>
    <x v="2"/>
    <x v="2"/>
    <x v="0"/>
    <s v="California"/>
    <s v="Fresno County"/>
    <x v="5"/>
    <x v="9"/>
    <s v="March"/>
    <x v="2"/>
  </r>
  <r>
    <s v="TX501738"/>
    <x v="1"/>
    <x v="8"/>
    <n v="43.6"/>
    <n v="348.8"/>
    <x v="63"/>
    <d v="2025-03-06T00:00:00"/>
    <x v="2"/>
    <x v="2"/>
    <x v="0"/>
    <s v="California"/>
    <s v="Kern County"/>
    <x v="3"/>
    <x v="9"/>
    <s v="March"/>
    <x v="2"/>
  </r>
  <r>
    <s v="TX501739"/>
    <x v="8"/>
    <x v="7"/>
    <n v="37.799999999999997"/>
    <n v="378"/>
    <x v="63"/>
    <d v="2025-03-05T00:00:00"/>
    <x v="3"/>
    <x v="0"/>
    <x v="0"/>
    <s v="California"/>
    <s v="Lake County"/>
    <x v="7"/>
    <x v="9"/>
    <s v="March"/>
    <x v="3"/>
  </r>
  <r>
    <s v="TX501740"/>
    <x v="17"/>
    <x v="9"/>
    <n v="63.7"/>
    <n v="318.5"/>
    <x v="63"/>
    <d v="2025-03-08T00:00:00"/>
    <x v="2"/>
    <x v="2"/>
    <x v="1"/>
    <s v="California"/>
    <s v="Los Angeles County"/>
    <x v="2"/>
    <x v="9"/>
    <s v="March"/>
    <x v="2"/>
  </r>
  <r>
    <s v="TX501741"/>
    <x v="5"/>
    <x v="11"/>
    <n v="62.9"/>
    <n v="566.1"/>
    <x v="63"/>
    <d v="2025-03-10T00:00:00"/>
    <x v="1"/>
    <x v="3"/>
    <x v="2"/>
    <s v="California"/>
    <s v="Los Angeles County"/>
    <x v="0"/>
    <x v="9"/>
    <s v="March"/>
    <x v="1"/>
  </r>
  <r>
    <s v="TX501742"/>
    <x v="6"/>
    <x v="3"/>
    <n v="61.7"/>
    <n v="431.90000000000003"/>
    <x v="63"/>
    <d v="2025-03-08T00:00:00"/>
    <x v="2"/>
    <x v="2"/>
    <x v="2"/>
    <s v="California"/>
    <s v="Los Angeles County"/>
    <x v="2"/>
    <x v="9"/>
    <s v="March"/>
    <x v="2"/>
  </r>
  <r>
    <s v="TX501743"/>
    <x v="18"/>
    <x v="21"/>
    <n v="36.5"/>
    <n v="511"/>
    <x v="63"/>
    <d v="2025-03-06T00:00:00"/>
    <x v="1"/>
    <x v="0"/>
    <x v="2"/>
    <s v="California"/>
    <s v="Los Angeles County"/>
    <x v="3"/>
    <x v="9"/>
    <s v="March"/>
    <x v="1"/>
  </r>
  <r>
    <s v="TX501744"/>
    <x v="11"/>
    <x v="2"/>
    <n v="98.6"/>
    <n v="295.79999999999995"/>
    <x v="63"/>
    <d v="2025-03-08T00:00:00"/>
    <x v="3"/>
    <x v="0"/>
    <x v="4"/>
    <s v="California"/>
    <s v="Los Angeles County"/>
    <x v="2"/>
    <x v="9"/>
    <s v="March"/>
    <x v="3"/>
  </r>
  <r>
    <s v="TX501745"/>
    <x v="8"/>
    <x v="1"/>
    <n v="19.2"/>
    <n v="38.4"/>
    <x v="63"/>
    <d v="2025-03-15T00:00:00"/>
    <x v="1"/>
    <x v="0"/>
    <x v="0"/>
    <s v="California"/>
    <s v="Los Angeles County"/>
    <x v="14"/>
    <x v="9"/>
    <s v="March"/>
    <x v="1"/>
  </r>
  <r>
    <s v="TX501746"/>
    <x v="3"/>
    <x v="13"/>
    <n v="55.6"/>
    <n v="333.6"/>
    <x v="63"/>
    <d v="2025-03-09T00:00:00"/>
    <x v="2"/>
    <x v="0"/>
    <x v="2"/>
    <s v="California"/>
    <s v="Los Angeles County"/>
    <x v="5"/>
    <x v="9"/>
    <s v="March"/>
    <x v="2"/>
  </r>
  <r>
    <s v="TX501747"/>
    <x v="5"/>
    <x v="13"/>
    <n v="56.4"/>
    <n v="338.4"/>
    <x v="63"/>
    <d v="2025-03-06T00:00:00"/>
    <x v="2"/>
    <x v="1"/>
    <x v="0"/>
    <s v="California"/>
    <s v="Los Angeles County"/>
    <x v="3"/>
    <x v="9"/>
    <s v="March"/>
    <x v="2"/>
  </r>
  <r>
    <s v="TX501748"/>
    <x v="4"/>
    <x v="8"/>
    <n v="43.1"/>
    <n v="344.8"/>
    <x v="63"/>
    <d v="2025-03-09T00:00:00"/>
    <x v="2"/>
    <x v="4"/>
    <x v="0"/>
    <s v="California"/>
    <s v="Los Angeles County"/>
    <x v="5"/>
    <x v="9"/>
    <s v="March"/>
    <x v="2"/>
  </r>
  <r>
    <s v="TX501749"/>
    <x v="1"/>
    <x v="1"/>
    <n v="77.3"/>
    <n v="154.6"/>
    <x v="63"/>
    <d v="2025-03-07T00:00:00"/>
    <x v="1"/>
    <x v="0"/>
    <x v="0"/>
    <s v="California"/>
    <s v="Sacramento County"/>
    <x v="1"/>
    <x v="9"/>
    <s v="March"/>
    <x v="1"/>
  </r>
  <r>
    <s v="TX501750"/>
    <x v="9"/>
    <x v="8"/>
    <n v="38.299999999999997"/>
    <n v="306.39999999999998"/>
    <x v="63"/>
    <d v="2025-03-06T00:00:00"/>
    <x v="1"/>
    <x v="0"/>
    <x v="0"/>
    <s v="California"/>
    <s v="San Bernardino County"/>
    <x v="3"/>
    <x v="9"/>
    <s v="March"/>
    <x v="1"/>
  </r>
  <r>
    <s v="TX501751"/>
    <x v="0"/>
    <x v="3"/>
    <n v="16.8"/>
    <n v="117.60000000000001"/>
    <x v="63"/>
    <d v="2025-03-08T00:00:00"/>
    <x v="1"/>
    <x v="2"/>
    <x v="1"/>
    <s v="California"/>
    <s v="San Diego County"/>
    <x v="2"/>
    <x v="9"/>
    <s v="March"/>
    <x v="1"/>
  </r>
  <r>
    <s v="TX501752"/>
    <x v="2"/>
    <x v="2"/>
    <n v="63.2"/>
    <n v="189.60000000000002"/>
    <x v="63"/>
    <d v="2025-03-06T00:00:00"/>
    <x v="2"/>
    <x v="0"/>
    <x v="2"/>
    <s v="California"/>
    <s v="San Diego County"/>
    <x v="3"/>
    <x v="9"/>
    <s v="March"/>
    <x v="2"/>
  </r>
  <r>
    <s v="TX501753"/>
    <x v="14"/>
    <x v="44"/>
    <n v="39.700000000000003"/>
    <n v="913.1"/>
    <x v="63"/>
    <d v="2025-03-06T00:00:00"/>
    <x v="1"/>
    <x v="0"/>
    <x v="0"/>
    <s v="California"/>
    <s v="San Diego County"/>
    <x v="3"/>
    <x v="9"/>
    <s v="March"/>
    <x v="1"/>
  </r>
  <r>
    <s v="TX501754"/>
    <x v="10"/>
    <x v="2"/>
    <n v="45.8"/>
    <n v="137.39999999999998"/>
    <x v="63"/>
    <d v="2025-03-06T00:00:00"/>
    <x v="2"/>
    <x v="1"/>
    <x v="2"/>
    <s v="California"/>
    <s v="San Diego County"/>
    <x v="3"/>
    <x v="9"/>
    <s v="March"/>
    <x v="2"/>
  </r>
  <r>
    <s v="TX501755"/>
    <x v="0"/>
    <x v="13"/>
    <n v="12.4"/>
    <n v="74.400000000000006"/>
    <x v="63"/>
    <d v="2025-03-08T00:00:00"/>
    <x v="1"/>
    <x v="0"/>
    <x v="0"/>
    <s v="California"/>
    <s v="San Diego County"/>
    <x v="2"/>
    <x v="9"/>
    <s v="March"/>
    <x v="1"/>
  </r>
  <r>
    <s v="TX501756"/>
    <x v="14"/>
    <x v="2"/>
    <n v="50.8"/>
    <n v="152.39999999999998"/>
    <x v="64"/>
    <d v="2025-03-06T00:00:00"/>
    <x v="2"/>
    <x v="4"/>
    <x v="0"/>
    <s v="California"/>
    <s v="San Francisco"/>
    <x v="7"/>
    <x v="9"/>
    <s v="March"/>
    <x v="2"/>
  </r>
  <r>
    <s v="TX501757"/>
    <x v="9"/>
    <x v="0"/>
    <n v="76"/>
    <n v="76"/>
    <x v="64"/>
    <d v="2025-03-10T00:00:00"/>
    <x v="3"/>
    <x v="2"/>
    <x v="2"/>
    <s v="California"/>
    <s v="San Francisco"/>
    <x v="5"/>
    <x v="9"/>
    <s v="March"/>
    <x v="3"/>
  </r>
  <r>
    <s v="TX501758"/>
    <x v="1"/>
    <x v="1"/>
    <n v="51.9"/>
    <n v="103.8"/>
    <x v="64"/>
    <d v="2025-03-07T00:00:00"/>
    <x v="1"/>
    <x v="1"/>
    <x v="2"/>
    <s v="California"/>
    <s v="San Joaquin County"/>
    <x v="3"/>
    <x v="9"/>
    <s v="March"/>
    <x v="1"/>
  </r>
  <r>
    <s v="TX501759"/>
    <x v="2"/>
    <x v="1"/>
    <n v="93.4"/>
    <n v="186.8"/>
    <x v="64"/>
    <d v="2025-03-13T00:00:00"/>
    <x v="1"/>
    <x v="0"/>
    <x v="3"/>
    <s v="California"/>
    <s v="Santa Clara County"/>
    <x v="6"/>
    <x v="9"/>
    <s v="March"/>
    <x v="1"/>
  </r>
  <r>
    <s v="TX501760"/>
    <x v="7"/>
    <x v="13"/>
    <n v="30.8"/>
    <n v="184.8"/>
    <x v="64"/>
    <d v="2025-03-09T00:00:00"/>
    <x v="2"/>
    <x v="1"/>
    <x v="0"/>
    <s v="California"/>
    <s v="Santa Clara County"/>
    <x v="2"/>
    <x v="9"/>
    <s v="March"/>
    <x v="2"/>
  </r>
  <r>
    <s v="TX501761"/>
    <x v="2"/>
    <x v="0"/>
    <n v="143.19999999999999"/>
    <n v="143.19999999999999"/>
    <x v="64"/>
    <d v="2025-03-09T00:00:00"/>
    <x v="1"/>
    <x v="2"/>
    <x v="0"/>
    <s v="California"/>
    <s v="Santa Clara County"/>
    <x v="2"/>
    <x v="9"/>
    <s v="March"/>
    <x v="1"/>
  </r>
  <r>
    <s v="TX501762"/>
    <x v="6"/>
    <x v="5"/>
    <n v="40.4"/>
    <n v="444.4"/>
    <x v="64"/>
    <d v="2025-03-08T00:00:00"/>
    <x v="1"/>
    <x v="2"/>
    <x v="2"/>
    <s v="California"/>
    <s v="Sonoma County"/>
    <x v="1"/>
    <x v="9"/>
    <s v="March"/>
    <x v="1"/>
  </r>
  <r>
    <s v="TX501763"/>
    <x v="2"/>
    <x v="10"/>
    <n v="131.5"/>
    <n v="2498.5"/>
    <x v="64"/>
    <d v="2025-03-08T00:00:00"/>
    <x v="1"/>
    <x v="1"/>
    <x v="1"/>
    <s v="California"/>
    <s v="Sonoma County"/>
    <x v="1"/>
    <x v="9"/>
    <s v="March"/>
    <x v="1"/>
  </r>
  <r>
    <s v="TX501764"/>
    <x v="18"/>
    <x v="3"/>
    <n v="61.6"/>
    <n v="431.2"/>
    <x v="64"/>
    <d v="2025-03-07T00:00:00"/>
    <x v="1"/>
    <x v="2"/>
    <x v="0"/>
    <s v="California"/>
    <s v="Alameda County"/>
    <x v="3"/>
    <x v="9"/>
    <s v="March"/>
    <x v="1"/>
  </r>
  <r>
    <s v="TX501765"/>
    <x v="9"/>
    <x v="9"/>
    <n v="32.700000000000003"/>
    <n v="163.5"/>
    <x v="64"/>
    <d v="2025-03-08T00:00:00"/>
    <x v="1"/>
    <x v="2"/>
    <x v="0"/>
    <s v="California"/>
    <s v="Contra Costa County"/>
    <x v="1"/>
    <x v="9"/>
    <s v="March"/>
    <x v="1"/>
  </r>
  <r>
    <s v="TX501766"/>
    <x v="0"/>
    <x v="7"/>
    <n v="13.7"/>
    <n v="137"/>
    <x v="64"/>
    <d v="2025-03-07T00:00:00"/>
    <x v="1"/>
    <x v="0"/>
    <x v="2"/>
    <s v="California"/>
    <s v="Los Angeles County"/>
    <x v="3"/>
    <x v="9"/>
    <s v="March"/>
    <x v="1"/>
  </r>
  <r>
    <s v="TX501767"/>
    <x v="0"/>
    <x v="12"/>
    <n v="32.1"/>
    <n v="128.4"/>
    <x v="64"/>
    <d v="2025-03-07T00:00:00"/>
    <x v="1"/>
    <x v="4"/>
    <x v="1"/>
    <s v="California"/>
    <s v="Los Angeles County"/>
    <x v="3"/>
    <x v="9"/>
    <s v="March"/>
    <x v="1"/>
  </r>
  <r>
    <s v="TX501768"/>
    <x v="14"/>
    <x v="8"/>
    <n v="12"/>
    <n v="96"/>
    <x v="64"/>
    <d v="2025-03-07T00:00:00"/>
    <x v="1"/>
    <x v="1"/>
    <x v="0"/>
    <s v="California"/>
    <s v="Merced County"/>
    <x v="3"/>
    <x v="9"/>
    <s v="March"/>
    <x v="1"/>
  </r>
  <r>
    <s v="TX501769"/>
    <x v="12"/>
    <x v="0"/>
    <n v="64.3"/>
    <n v="64.3"/>
    <x v="64"/>
    <d v="2025-03-08T00:00:00"/>
    <x v="2"/>
    <x v="2"/>
    <x v="2"/>
    <s v="California"/>
    <s v="Sacramento County"/>
    <x v="1"/>
    <x v="9"/>
    <s v="March"/>
    <x v="2"/>
  </r>
  <r>
    <s v="TX501770"/>
    <x v="1"/>
    <x v="2"/>
    <n v="58.2"/>
    <n v="174.60000000000002"/>
    <x v="64"/>
    <d v="2025-03-08T00:00:00"/>
    <x v="2"/>
    <x v="1"/>
    <x v="2"/>
    <s v="California"/>
    <s v="Sacramento County"/>
    <x v="1"/>
    <x v="9"/>
    <s v="March"/>
    <x v="2"/>
  </r>
  <r>
    <s v="TX501771"/>
    <x v="6"/>
    <x v="12"/>
    <n v="59.2"/>
    <n v="236.8"/>
    <x v="64"/>
    <d v="2025-03-06T00:00:00"/>
    <x v="1"/>
    <x v="1"/>
    <x v="2"/>
    <s v="California"/>
    <s v="Sacramento County"/>
    <x v="7"/>
    <x v="9"/>
    <s v="March"/>
    <x v="1"/>
  </r>
  <r>
    <s v="TX501772"/>
    <x v="10"/>
    <x v="5"/>
    <n v="35.6"/>
    <n v="391.6"/>
    <x v="64"/>
    <d v="2025-03-13T00:00:00"/>
    <x v="1"/>
    <x v="0"/>
    <x v="2"/>
    <s v="California"/>
    <s v="San Diego County"/>
    <x v="6"/>
    <x v="9"/>
    <s v="March"/>
    <x v="1"/>
  </r>
  <r>
    <s v="TX501773"/>
    <x v="16"/>
    <x v="8"/>
    <n v="37"/>
    <n v="296"/>
    <x v="64"/>
    <d v="2025-03-10T00:00:00"/>
    <x v="2"/>
    <x v="2"/>
    <x v="1"/>
    <s v="California"/>
    <s v="San Diego County"/>
    <x v="5"/>
    <x v="9"/>
    <s v="March"/>
    <x v="2"/>
  </r>
  <r>
    <s v="TX501774"/>
    <x v="1"/>
    <x v="15"/>
    <n v="80.8"/>
    <n v="1050.3999999999999"/>
    <x v="64"/>
    <d v="2025-03-08T00:00:00"/>
    <x v="2"/>
    <x v="0"/>
    <x v="0"/>
    <s v="California"/>
    <s v="San Diego County"/>
    <x v="1"/>
    <x v="9"/>
    <s v="March"/>
    <x v="2"/>
  </r>
  <r>
    <s v="TX501775"/>
    <x v="8"/>
    <x v="1"/>
    <n v="63.2"/>
    <n v="126.4"/>
    <x v="64"/>
    <d v="2025-03-07T00:00:00"/>
    <x v="1"/>
    <x v="0"/>
    <x v="1"/>
    <s v="California"/>
    <s v="San Diego County"/>
    <x v="3"/>
    <x v="9"/>
    <s v="March"/>
    <x v="1"/>
  </r>
  <r>
    <s v="TX501776"/>
    <x v="3"/>
    <x v="1"/>
    <n v="40.799999999999997"/>
    <n v="81.599999999999994"/>
    <x v="64"/>
    <d v="2025-03-08T00:00:00"/>
    <x v="1"/>
    <x v="0"/>
    <x v="1"/>
    <s v="California"/>
    <s v="San Francisco"/>
    <x v="1"/>
    <x v="9"/>
    <s v="March"/>
    <x v="1"/>
  </r>
  <r>
    <s v="TX501777"/>
    <x v="13"/>
    <x v="13"/>
    <n v="25.7"/>
    <n v="154.19999999999999"/>
    <x v="64"/>
    <d v="2025-03-08T00:00:00"/>
    <x v="1"/>
    <x v="4"/>
    <x v="0"/>
    <s v="California"/>
    <s v="Sonoma County"/>
    <x v="1"/>
    <x v="9"/>
    <s v="March"/>
    <x v="1"/>
  </r>
  <r>
    <s v="TX501778"/>
    <x v="16"/>
    <x v="1"/>
    <n v="49.9"/>
    <n v="99.8"/>
    <x v="64"/>
    <d v="2025-03-09T00:00:00"/>
    <x v="1"/>
    <x v="0"/>
    <x v="0"/>
    <s v="California"/>
    <s v="Tulare County"/>
    <x v="2"/>
    <x v="9"/>
    <s v="March"/>
    <x v="1"/>
  </r>
  <r>
    <s v="TX501779"/>
    <x v="8"/>
    <x v="1"/>
    <n v="20.2"/>
    <n v="40.4"/>
    <x v="64"/>
    <d v="2025-03-08T00:00:00"/>
    <x v="2"/>
    <x v="3"/>
    <x v="0"/>
    <s v="California"/>
    <s v="Alameda County"/>
    <x v="1"/>
    <x v="9"/>
    <s v="March"/>
    <x v="2"/>
  </r>
  <r>
    <s v="TX501780"/>
    <x v="6"/>
    <x v="2"/>
    <n v="48.4"/>
    <n v="145.19999999999999"/>
    <x v="64"/>
    <d v="2025-03-11T00:00:00"/>
    <x v="2"/>
    <x v="0"/>
    <x v="2"/>
    <s v="California"/>
    <s v="Alameda County"/>
    <x v="0"/>
    <x v="9"/>
    <s v="March"/>
    <x v="2"/>
  </r>
  <r>
    <s v="TX501781"/>
    <x v="6"/>
    <x v="1"/>
    <n v="81"/>
    <n v="162"/>
    <x v="64"/>
    <d v="2025-03-07T00:00:00"/>
    <x v="2"/>
    <x v="1"/>
    <x v="2"/>
    <s v="California"/>
    <s v="Alameda County"/>
    <x v="3"/>
    <x v="9"/>
    <s v="March"/>
    <x v="2"/>
  </r>
  <r>
    <s v="TX501782"/>
    <x v="8"/>
    <x v="13"/>
    <n v="19.899999999999999"/>
    <n v="119.39999999999999"/>
    <x v="64"/>
    <d v="2025-03-09T00:00:00"/>
    <x v="2"/>
    <x v="0"/>
    <x v="1"/>
    <s v="California"/>
    <s v="Kern County"/>
    <x v="2"/>
    <x v="9"/>
    <s v="March"/>
    <x v="2"/>
  </r>
  <r>
    <s v="TX501783"/>
    <x v="4"/>
    <x v="12"/>
    <n v="32.200000000000003"/>
    <n v="128.80000000000001"/>
    <x v="64"/>
    <d v="2025-03-16T00:00:00"/>
    <x v="1"/>
    <x v="0"/>
    <x v="0"/>
    <s v="California"/>
    <s v="Kern County"/>
    <x v="14"/>
    <x v="9"/>
    <s v="March"/>
    <x v="1"/>
  </r>
  <r>
    <s v="TX501784"/>
    <x v="5"/>
    <x v="2"/>
    <n v="76.8"/>
    <n v="230.39999999999998"/>
    <x v="64"/>
    <d v="2025-03-07T00:00:00"/>
    <x v="2"/>
    <x v="0"/>
    <x v="1"/>
    <s v="California"/>
    <s v="Los Angeles County"/>
    <x v="3"/>
    <x v="9"/>
    <s v="March"/>
    <x v="2"/>
  </r>
  <r>
    <s v="TX501785"/>
    <x v="6"/>
    <x v="1"/>
    <n v="41.9"/>
    <n v="83.8"/>
    <x v="64"/>
    <d v="2025-03-08T00:00:00"/>
    <x v="2"/>
    <x v="0"/>
    <x v="0"/>
    <s v="California"/>
    <s v="Los Angeles County"/>
    <x v="1"/>
    <x v="9"/>
    <s v="March"/>
    <x v="2"/>
  </r>
  <r>
    <s v="TX501786"/>
    <x v="0"/>
    <x v="3"/>
    <n v="34"/>
    <n v="238"/>
    <x v="64"/>
    <d v="2025-03-08T00:00:00"/>
    <x v="2"/>
    <x v="1"/>
    <x v="2"/>
    <s v="California"/>
    <s v="Los Angeles County"/>
    <x v="1"/>
    <x v="9"/>
    <s v="March"/>
    <x v="2"/>
  </r>
  <r>
    <s v="TX501787"/>
    <x v="7"/>
    <x v="3"/>
    <n v="61.3"/>
    <n v="429.09999999999997"/>
    <x v="64"/>
    <d v="2025-03-06T00:00:00"/>
    <x v="2"/>
    <x v="4"/>
    <x v="2"/>
    <s v="California"/>
    <s v="Los Angeles County"/>
    <x v="7"/>
    <x v="9"/>
    <s v="March"/>
    <x v="2"/>
  </r>
  <r>
    <s v="TX501788"/>
    <x v="9"/>
    <x v="0"/>
    <n v="54.7"/>
    <n v="54.7"/>
    <x v="65"/>
    <d v="2025-03-08T00:00:00"/>
    <x v="1"/>
    <x v="0"/>
    <x v="1"/>
    <s v="California"/>
    <s v="Los Angeles County"/>
    <x v="3"/>
    <x v="9"/>
    <s v="March"/>
    <x v="1"/>
  </r>
  <r>
    <s v="TX501789"/>
    <x v="6"/>
    <x v="7"/>
    <n v="84.7"/>
    <n v="847"/>
    <x v="65"/>
    <d v="2025-03-11T00:00:00"/>
    <x v="2"/>
    <x v="0"/>
    <x v="0"/>
    <s v="California"/>
    <s v="Los Angeles County"/>
    <x v="5"/>
    <x v="9"/>
    <s v="March"/>
    <x v="2"/>
  </r>
  <r>
    <s v="TX501790"/>
    <x v="1"/>
    <x v="2"/>
    <n v="93.4"/>
    <n v="280.20000000000005"/>
    <x v="65"/>
    <d v="2025-03-11T00:00:00"/>
    <x v="2"/>
    <x v="3"/>
    <x v="0"/>
    <s v="California"/>
    <s v="Los Angeles County"/>
    <x v="5"/>
    <x v="9"/>
    <s v="March"/>
    <x v="2"/>
  </r>
  <r>
    <s v="TX501791"/>
    <x v="8"/>
    <x v="9"/>
    <n v="27"/>
    <n v="135"/>
    <x v="65"/>
    <d v="2025-03-10T00:00:00"/>
    <x v="1"/>
    <x v="0"/>
    <x v="1"/>
    <s v="California"/>
    <s v="Los Angeles County"/>
    <x v="2"/>
    <x v="9"/>
    <s v="March"/>
    <x v="1"/>
  </r>
  <r>
    <s v="TX501792"/>
    <x v="0"/>
    <x v="12"/>
    <n v="10.9"/>
    <n v="43.6"/>
    <x v="65"/>
    <d v="2025-03-08T00:00:00"/>
    <x v="1"/>
    <x v="2"/>
    <x v="0"/>
    <s v="California"/>
    <s v="Los Angeles County"/>
    <x v="3"/>
    <x v="9"/>
    <s v="March"/>
    <x v="1"/>
  </r>
  <r>
    <s v="TX501793"/>
    <x v="16"/>
    <x v="2"/>
    <n v="48"/>
    <n v="144"/>
    <x v="65"/>
    <d v="2025-03-12T00:00:00"/>
    <x v="2"/>
    <x v="4"/>
    <x v="0"/>
    <s v="California"/>
    <s v="Los Angeles County"/>
    <x v="0"/>
    <x v="9"/>
    <s v="March"/>
    <x v="2"/>
  </r>
  <r>
    <s v="TX501794"/>
    <x v="5"/>
    <x v="1"/>
    <n v="67.900000000000006"/>
    <n v="135.80000000000001"/>
    <x v="65"/>
    <d v="2025-03-08T00:00:00"/>
    <x v="1"/>
    <x v="0"/>
    <x v="2"/>
    <s v="California"/>
    <s v="Riverside County"/>
    <x v="3"/>
    <x v="9"/>
    <s v="March"/>
    <x v="1"/>
  </r>
  <r>
    <s v="TX501795"/>
    <x v="4"/>
    <x v="2"/>
    <n v="36"/>
    <n v="108"/>
    <x v="65"/>
    <d v="2025-03-08T00:00:00"/>
    <x v="1"/>
    <x v="1"/>
    <x v="0"/>
    <s v="California"/>
    <s v="Sacramento County"/>
    <x v="3"/>
    <x v="9"/>
    <s v="March"/>
    <x v="1"/>
  </r>
  <r>
    <s v="TX501796"/>
    <x v="2"/>
    <x v="0"/>
    <n v="128.80000000000001"/>
    <n v="128.80000000000001"/>
    <x v="65"/>
    <d v="2025-03-08T00:00:00"/>
    <x v="1"/>
    <x v="4"/>
    <x v="2"/>
    <s v="California"/>
    <s v="Sacramento County"/>
    <x v="3"/>
    <x v="9"/>
    <s v="March"/>
    <x v="1"/>
  </r>
  <r>
    <s v="TX501797"/>
    <x v="18"/>
    <x v="3"/>
    <n v="33.299999999999997"/>
    <n v="233.09999999999997"/>
    <x v="65"/>
    <d v="2025-03-08T00:00:00"/>
    <x v="2"/>
    <x v="3"/>
    <x v="0"/>
    <s v="California"/>
    <s v="San Diego County"/>
    <x v="3"/>
    <x v="9"/>
    <s v="March"/>
    <x v="2"/>
  </r>
  <r>
    <s v="TX501798"/>
    <x v="10"/>
    <x v="2"/>
    <n v="37.799999999999997"/>
    <n v="113.39999999999999"/>
    <x v="65"/>
    <d v="2025-03-09T00:00:00"/>
    <x v="1"/>
    <x v="1"/>
    <x v="2"/>
    <s v="California"/>
    <s v="San Diego County"/>
    <x v="1"/>
    <x v="9"/>
    <s v="March"/>
    <x v="1"/>
  </r>
  <r>
    <s v="TX501799"/>
    <x v="5"/>
    <x v="2"/>
    <n v="26"/>
    <n v="78"/>
    <x v="65"/>
    <d v="2025-03-12T00:00:00"/>
    <x v="2"/>
    <x v="0"/>
    <x v="0"/>
    <s v="California"/>
    <s v="San Diego County"/>
    <x v="0"/>
    <x v="9"/>
    <s v="March"/>
    <x v="2"/>
  </r>
  <r>
    <s v="TX501800"/>
    <x v="8"/>
    <x v="10"/>
    <n v="28.3"/>
    <n v="537.70000000000005"/>
    <x v="65"/>
    <d v="2025-03-08T00:00:00"/>
    <x v="2"/>
    <x v="3"/>
    <x v="4"/>
    <s v="California"/>
    <s v="San Diego County"/>
    <x v="3"/>
    <x v="9"/>
    <s v="March"/>
    <x v="2"/>
  </r>
  <r>
    <s v="TX501801"/>
    <x v="8"/>
    <x v="12"/>
    <n v="31.3"/>
    <n v="125.2"/>
    <x v="65"/>
    <d v="2025-03-07T00:00:00"/>
    <x v="2"/>
    <x v="0"/>
    <x v="0"/>
    <s v="California"/>
    <s v="San Diego County"/>
    <x v="7"/>
    <x v="9"/>
    <s v="March"/>
    <x v="2"/>
  </r>
  <r>
    <s v="TX501802"/>
    <x v="7"/>
    <x v="2"/>
    <n v="69.5"/>
    <n v="208.5"/>
    <x v="65"/>
    <d v="2025-03-08T00:00:00"/>
    <x v="2"/>
    <x v="3"/>
    <x v="2"/>
    <s v="California"/>
    <s v="San Diego County"/>
    <x v="3"/>
    <x v="9"/>
    <s v="March"/>
    <x v="2"/>
  </r>
  <r>
    <s v="TX501803"/>
    <x v="0"/>
    <x v="1"/>
    <n v="16.7"/>
    <n v="33.4"/>
    <x v="65"/>
    <d v="2025-03-08T00:00:00"/>
    <x v="2"/>
    <x v="3"/>
    <x v="1"/>
    <s v="California"/>
    <s v="San Diego County"/>
    <x v="3"/>
    <x v="9"/>
    <s v="March"/>
    <x v="2"/>
  </r>
  <r>
    <s v="TX501804"/>
    <x v="9"/>
    <x v="1"/>
    <n v="62.6"/>
    <n v="125.2"/>
    <x v="65"/>
    <d v="2025-03-08T00:00:00"/>
    <x v="1"/>
    <x v="2"/>
    <x v="2"/>
    <s v="California"/>
    <s v="San Mateo County"/>
    <x v="3"/>
    <x v="9"/>
    <s v="March"/>
    <x v="1"/>
  </r>
  <r>
    <s v="TX501805"/>
    <x v="7"/>
    <x v="0"/>
    <n v="81.2"/>
    <n v="81.2"/>
    <x v="65"/>
    <d v="2025-03-13T00:00:00"/>
    <x v="1"/>
    <x v="4"/>
    <x v="4"/>
    <s v="California"/>
    <s v="San Mateo County"/>
    <x v="4"/>
    <x v="9"/>
    <s v="March"/>
    <x v="1"/>
  </r>
  <r>
    <s v="TX501806"/>
    <x v="0"/>
    <x v="7"/>
    <n v="12.7"/>
    <n v="127"/>
    <x v="65"/>
    <d v="2025-03-08T00:00:00"/>
    <x v="2"/>
    <x v="0"/>
    <x v="2"/>
    <s v="California"/>
    <s v="San Mateo County"/>
    <x v="3"/>
    <x v="9"/>
    <s v="March"/>
    <x v="2"/>
  </r>
  <r>
    <s v="TX501807"/>
    <x v="7"/>
    <x v="12"/>
    <n v="77.7"/>
    <n v="310.8"/>
    <x v="66"/>
    <d v="2025-03-12T00:00:00"/>
    <x v="1"/>
    <x v="1"/>
    <x v="0"/>
    <s v="California"/>
    <s v="Santa Clara County"/>
    <x v="5"/>
    <x v="9"/>
    <s v="March"/>
    <x v="1"/>
  </r>
  <r>
    <s v="TX501808"/>
    <x v="5"/>
    <x v="1"/>
    <n v="37.299999999999997"/>
    <n v="74.599999999999994"/>
    <x v="66"/>
    <d v="2025-03-09T00:00:00"/>
    <x v="2"/>
    <x v="0"/>
    <x v="2"/>
    <s v="California"/>
    <s v="Sonoma County"/>
    <x v="3"/>
    <x v="9"/>
    <s v="March"/>
    <x v="2"/>
  </r>
  <r>
    <s v="TX501809"/>
    <x v="10"/>
    <x v="12"/>
    <n v="35.6"/>
    <n v="142.4"/>
    <x v="66"/>
    <d v="2025-03-10T00:00:00"/>
    <x v="2"/>
    <x v="1"/>
    <x v="1"/>
    <s v="California"/>
    <s v="Stanislaus County"/>
    <x v="1"/>
    <x v="9"/>
    <s v="March"/>
    <x v="2"/>
  </r>
  <r>
    <s v="TX501810"/>
    <x v="2"/>
    <x v="2"/>
    <n v="95"/>
    <n v="285"/>
    <x v="66"/>
    <d v="2025-03-12T00:00:00"/>
    <x v="2"/>
    <x v="2"/>
    <x v="2"/>
    <s v="California"/>
    <s v="Yuba County"/>
    <x v="5"/>
    <x v="9"/>
    <s v="March"/>
    <x v="2"/>
  </r>
  <r>
    <s v="TX501811"/>
    <x v="2"/>
    <x v="12"/>
    <n v="172.1"/>
    <n v="688.4"/>
    <x v="66"/>
    <d v="2025-03-12T00:00:00"/>
    <x v="3"/>
    <x v="2"/>
    <x v="2"/>
    <s v="California"/>
    <s v="Alameda County"/>
    <x v="5"/>
    <x v="9"/>
    <s v="March"/>
    <x v="3"/>
  </r>
  <r>
    <s v="TX501812"/>
    <x v="2"/>
    <x v="1"/>
    <n v="233"/>
    <n v="466"/>
    <x v="66"/>
    <d v="2025-03-11T00:00:00"/>
    <x v="2"/>
    <x v="1"/>
    <x v="0"/>
    <s v="California"/>
    <s v="Alameda County"/>
    <x v="2"/>
    <x v="9"/>
    <s v="March"/>
    <x v="2"/>
  </r>
  <r>
    <s v="TX501813"/>
    <x v="0"/>
    <x v="0"/>
    <n v="43.5"/>
    <n v="43.5"/>
    <x v="66"/>
    <d v="2025-03-09T00:00:00"/>
    <x v="2"/>
    <x v="2"/>
    <x v="2"/>
    <s v="California"/>
    <s v="Alameda County"/>
    <x v="3"/>
    <x v="9"/>
    <s v="March"/>
    <x v="2"/>
  </r>
  <r>
    <s v="TX501814"/>
    <x v="9"/>
    <x v="1"/>
    <n v="47.8"/>
    <n v="95.6"/>
    <x v="66"/>
    <d v="2025-03-11T00:00:00"/>
    <x v="1"/>
    <x v="4"/>
    <x v="2"/>
    <s v="California"/>
    <s v="Contra Costa County"/>
    <x v="2"/>
    <x v="9"/>
    <s v="March"/>
    <x v="1"/>
  </r>
  <r>
    <s v="TX501815"/>
    <x v="12"/>
    <x v="1"/>
    <n v="65.8"/>
    <n v="131.6"/>
    <x v="66"/>
    <d v="2025-03-10T00:00:00"/>
    <x v="2"/>
    <x v="0"/>
    <x v="3"/>
    <s v="California"/>
    <s v="Imperial County"/>
    <x v="1"/>
    <x v="9"/>
    <s v="March"/>
    <x v="2"/>
  </r>
  <r>
    <s v="TX501816"/>
    <x v="15"/>
    <x v="5"/>
    <n v="38.700000000000003"/>
    <n v="425.70000000000005"/>
    <x v="66"/>
    <d v="2025-03-08T00:00:00"/>
    <x v="1"/>
    <x v="0"/>
    <x v="0"/>
    <s v="California"/>
    <s v="Kern County"/>
    <x v="7"/>
    <x v="9"/>
    <s v="March"/>
    <x v="1"/>
  </r>
  <r>
    <s v="TX501817"/>
    <x v="3"/>
    <x v="12"/>
    <n v="55.7"/>
    <n v="222.8"/>
    <x v="66"/>
    <d v="2025-03-10T00:00:00"/>
    <x v="3"/>
    <x v="0"/>
    <x v="1"/>
    <s v="California"/>
    <s v="Kern County"/>
    <x v="1"/>
    <x v="9"/>
    <s v="March"/>
    <x v="3"/>
  </r>
  <r>
    <s v="TX501818"/>
    <x v="7"/>
    <x v="1"/>
    <n v="102.4"/>
    <n v="204.8"/>
    <x v="66"/>
    <d v="2025-03-08T00:00:00"/>
    <x v="2"/>
    <x v="1"/>
    <x v="0"/>
    <s v="California"/>
    <s v="Los Angeles County"/>
    <x v="7"/>
    <x v="9"/>
    <s v="March"/>
    <x v="2"/>
  </r>
  <r>
    <s v="TX501819"/>
    <x v="1"/>
    <x v="0"/>
    <n v="92"/>
    <n v="92"/>
    <x v="66"/>
    <d v="2025-03-12T00:00:00"/>
    <x v="0"/>
    <x v="2"/>
    <x v="0"/>
    <s v="California"/>
    <s v="Los Angeles County"/>
    <x v="5"/>
    <x v="9"/>
    <s v="March"/>
    <x v="0"/>
  </r>
  <r>
    <s v="TX501820"/>
    <x v="6"/>
    <x v="12"/>
    <n v="75.900000000000006"/>
    <n v="303.60000000000002"/>
    <x v="66"/>
    <d v="2025-03-10T00:00:00"/>
    <x v="2"/>
    <x v="1"/>
    <x v="0"/>
    <s v="California"/>
    <s v="Los Angeles County"/>
    <x v="1"/>
    <x v="9"/>
    <s v="March"/>
    <x v="2"/>
  </r>
  <r>
    <s v="TX501821"/>
    <x v="1"/>
    <x v="12"/>
    <n v="36.200000000000003"/>
    <n v="144.80000000000001"/>
    <x v="66"/>
    <d v="2025-03-09T00:00:00"/>
    <x v="2"/>
    <x v="1"/>
    <x v="0"/>
    <s v="California"/>
    <s v="Los Angeles County"/>
    <x v="3"/>
    <x v="9"/>
    <s v="March"/>
    <x v="2"/>
  </r>
  <r>
    <s v="TX501822"/>
    <x v="6"/>
    <x v="45"/>
    <n v="83.5"/>
    <n v="7264.5"/>
    <x v="66"/>
    <d v="2025-03-10T00:00:00"/>
    <x v="0"/>
    <x v="3"/>
    <x v="0"/>
    <s v="California"/>
    <s v="Los Angeles County"/>
    <x v="1"/>
    <x v="9"/>
    <s v="March"/>
    <x v="0"/>
  </r>
  <r>
    <s v="TX501823"/>
    <x v="19"/>
    <x v="4"/>
    <n v="52.4"/>
    <n v="628.79999999999995"/>
    <x v="66"/>
    <d v="2025-03-08T00:00:00"/>
    <x v="1"/>
    <x v="2"/>
    <x v="0"/>
    <s v="California"/>
    <s v="Los Angeles County"/>
    <x v="7"/>
    <x v="9"/>
    <s v="March"/>
    <x v="1"/>
  </r>
  <r>
    <s v="TX501824"/>
    <x v="12"/>
    <x v="2"/>
    <n v="69.5"/>
    <n v="208.5"/>
    <x v="66"/>
    <d v="2025-03-09T00:00:00"/>
    <x v="3"/>
    <x v="4"/>
    <x v="0"/>
    <s v="California"/>
    <s v="Los Angeles County"/>
    <x v="3"/>
    <x v="9"/>
    <s v="March"/>
    <x v="3"/>
  </r>
  <r>
    <s v="TX501825"/>
    <x v="0"/>
    <x v="0"/>
    <n v="15.5"/>
    <n v="15.5"/>
    <x v="66"/>
    <d v="2025-03-10T00:00:00"/>
    <x v="1"/>
    <x v="0"/>
    <x v="0"/>
    <s v="California"/>
    <s v="Los Angeles County"/>
    <x v="1"/>
    <x v="9"/>
    <s v="March"/>
    <x v="1"/>
  </r>
  <r>
    <s v="TX501826"/>
    <x v="4"/>
    <x v="12"/>
    <n v="35.200000000000003"/>
    <n v="140.80000000000001"/>
    <x v="66"/>
    <d v="2025-03-09T00:00:00"/>
    <x v="2"/>
    <x v="2"/>
    <x v="2"/>
    <s v="California"/>
    <s v="Los Angeles County"/>
    <x v="3"/>
    <x v="9"/>
    <s v="March"/>
    <x v="2"/>
  </r>
  <r>
    <s v="TX501827"/>
    <x v="8"/>
    <x v="13"/>
    <n v="34.6"/>
    <n v="207.60000000000002"/>
    <x v="66"/>
    <d v="2025-03-09T00:00:00"/>
    <x v="0"/>
    <x v="0"/>
    <x v="1"/>
    <s v="California"/>
    <s v="Los Angeles County"/>
    <x v="3"/>
    <x v="9"/>
    <s v="March"/>
    <x v="0"/>
  </r>
  <r>
    <s v="TX501828"/>
    <x v="4"/>
    <x v="0"/>
    <n v="21.3"/>
    <n v="21.3"/>
    <x v="67"/>
    <d v="2025-03-10T00:00:00"/>
    <x v="1"/>
    <x v="2"/>
    <x v="1"/>
    <s v="California"/>
    <s v="Los Angeles County"/>
    <x v="3"/>
    <x v="10"/>
    <s v="March"/>
    <x v="1"/>
  </r>
  <r>
    <s v="TX501829"/>
    <x v="6"/>
    <x v="1"/>
    <n v="136.5"/>
    <n v="273"/>
    <x v="67"/>
    <d v="2025-03-15T00:00:00"/>
    <x v="2"/>
    <x v="0"/>
    <x v="0"/>
    <s v="California"/>
    <s v="Madera County"/>
    <x v="4"/>
    <x v="10"/>
    <s v="March"/>
    <x v="2"/>
  </r>
  <r>
    <s v="TX501830"/>
    <x v="9"/>
    <x v="3"/>
    <n v="30.7"/>
    <n v="214.9"/>
    <x v="67"/>
    <d v="2025-03-10T00:00:00"/>
    <x v="1"/>
    <x v="2"/>
    <x v="2"/>
    <s v="California"/>
    <s v="Orange County"/>
    <x v="3"/>
    <x v="10"/>
    <s v="March"/>
    <x v="1"/>
  </r>
  <r>
    <s v="TX501831"/>
    <x v="1"/>
    <x v="1"/>
    <n v="61.6"/>
    <n v="123.2"/>
    <x v="67"/>
    <d v="2025-03-10T00:00:00"/>
    <x v="2"/>
    <x v="2"/>
    <x v="2"/>
    <s v="California"/>
    <s v="Riverside County"/>
    <x v="3"/>
    <x v="10"/>
    <s v="March"/>
    <x v="2"/>
  </r>
  <r>
    <s v="TX501832"/>
    <x v="6"/>
    <x v="12"/>
    <n v="54.3"/>
    <n v="217.2"/>
    <x v="67"/>
    <d v="2025-03-11T00:00:00"/>
    <x v="0"/>
    <x v="4"/>
    <x v="0"/>
    <s v="California"/>
    <s v="San Bernardino County"/>
    <x v="1"/>
    <x v="10"/>
    <s v="March"/>
    <x v="0"/>
  </r>
  <r>
    <s v="TX501833"/>
    <x v="1"/>
    <x v="1"/>
    <n v="44.1"/>
    <n v="88.2"/>
    <x v="67"/>
    <d v="2025-03-21T00:00:00"/>
    <x v="2"/>
    <x v="0"/>
    <x v="2"/>
    <s v="California"/>
    <s v="San Diego County"/>
    <x v="13"/>
    <x v="10"/>
    <s v="March"/>
    <x v="2"/>
  </r>
  <r>
    <s v="TX501834"/>
    <x v="8"/>
    <x v="12"/>
    <n v="43.5"/>
    <n v="174"/>
    <x v="67"/>
    <d v="2025-03-15T00:00:00"/>
    <x v="1"/>
    <x v="3"/>
    <x v="0"/>
    <s v="California"/>
    <s v="San Diego County"/>
    <x v="4"/>
    <x v="10"/>
    <s v="March"/>
    <x v="1"/>
  </r>
  <r>
    <s v="TX501835"/>
    <x v="8"/>
    <x v="2"/>
    <n v="48.2"/>
    <n v="144.60000000000002"/>
    <x v="67"/>
    <d v="2025-03-13T00:00:00"/>
    <x v="1"/>
    <x v="3"/>
    <x v="1"/>
    <s v="California"/>
    <s v="San Diego County"/>
    <x v="5"/>
    <x v="10"/>
    <s v="March"/>
    <x v="1"/>
  </r>
  <r>
    <s v="TX501836"/>
    <x v="19"/>
    <x v="0"/>
    <n v="13.7"/>
    <n v="13.7"/>
    <x v="67"/>
    <d v="2025-03-10T00:00:00"/>
    <x v="2"/>
    <x v="2"/>
    <x v="2"/>
    <s v="California"/>
    <s v="San Diego County"/>
    <x v="3"/>
    <x v="10"/>
    <s v="March"/>
    <x v="2"/>
  </r>
  <r>
    <s v="TX501837"/>
    <x v="2"/>
    <x v="1"/>
    <n v="110.5"/>
    <n v="221"/>
    <x v="67"/>
    <d v="2025-03-10T00:00:00"/>
    <x v="2"/>
    <x v="0"/>
    <x v="1"/>
    <s v="California"/>
    <s v="San Diego County"/>
    <x v="3"/>
    <x v="10"/>
    <s v="March"/>
    <x v="2"/>
  </r>
  <r>
    <s v="TX501838"/>
    <x v="8"/>
    <x v="2"/>
    <n v="26"/>
    <n v="78"/>
    <x v="67"/>
    <d v="2025-03-14T00:00:00"/>
    <x v="2"/>
    <x v="1"/>
    <x v="1"/>
    <s v="California"/>
    <s v="San Diego County"/>
    <x v="0"/>
    <x v="10"/>
    <s v="March"/>
    <x v="2"/>
  </r>
  <r>
    <s v="TX501839"/>
    <x v="2"/>
    <x v="7"/>
    <n v="140.69999999999999"/>
    <n v="1407"/>
    <x v="67"/>
    <d v="2025-03-15T00:00:00"/>
    <x v="1"/>
    <x v="3"/>
    <x v="1"/>
    <s v="California"/>
    <s v="San Diego County"/>
    <x v="4"/>
    <x v="10"/>
    <s v="March"/>
    <x v="1"/>
  </r>
  <r>
    <s v="TX501840"/>
    <x v="17"/>
    <x v="1"/>
    <n v="41.7"/>
    <n v="83.4"/>
    <x v="67"/>
    <d v="2025-03-17T00:00:00"/>
    <x v="2"/>
    <x v="0"/>
    <x v="4"/>
    <s v="California"/>
    <s v="San Diego County"/>
    <x v="9"/>
    <x v="10"/>
    <s v="March"/>
    <x v="2"/>
  </r>
  <r>
    <s v="TX501841"/>
    <x v="2"/>
    <x v="1"/>
    <n v="135.1"/>
    <n v="270.2"/>
    <x v="67"/>
    <d v="2025-03-10T00:00:00"/>
    <x v="1"/>
    <x v="0"/>
    <x v="2"/>
    <s v="California"/>
    <s v="San Francisco"/>
    <x v="3"/>
    <x v="10"/>
    <s v="March"/>
    <x v="1"/>
  </r>
  <r>
    <s v="TX501842"/>
    <x v="12"/>
    <x v="32"/>
    <n v="95.5"/>
    <n v="2101"/>
    <x v="67"/>
    <d v="2025-03-10T00:00:00"/>
    <x v="2"/>
    <x v="4"/>
    <x v="4"/>
    <s v="California"/>
    <s v="San Joaquin County"/>
    <x v="3"/>
    <x v="10"/>
    <s v="March"/>
    <x v="2"/>
  </r>
  <r>
    <s v="TX501843"/>
    <x v="15"/>
    <x v="0"/>
    <n v="25.5"/>
    <n v="25.5"/>
    <x v="67"/>
    <d v="2025-03-12T00:00:00"/>
    <x v="0"/>
    <x v="2"/>
    <x v="2"/>
    <s v="California"/>
    <s v="Santa Clara County"/>
    <x v="2"/>
    <x v="10"/>
    <s v="March"/>
    <x v="0"/>
  </r>
  <r>
    <s v="TX501844"/>
    <x v="1"/>
    <x v="0"/>
    <n v="42.6"/>
    <n v="42.6"/>
    <x v="67"/>
    <d v="2025-03-13T00:00:00"/>
    <x v="2"/>
    <x v="0"/>
    <x v="0"/>
    <s v="California"/>
    <s v="Santa Clara County"/>
    <x v="5"/>
    <x v="10"/>
    <s v="March"/>
    <x v="2"/>
  </r>
  <r>
    <s v="TX501845"/>
    <x v="8"/>
    <x v="20"/>
    <n v="32.4"/>
    <n v="486"/>
    <x v="67"/>
    <d v="2025-03-10T00:00:00"/>
    <x v="1"/>
    <x v="1"/>
    <x v="1"/>
    <s v="California"/>
    <s v="Santa Clara County"/>
    <x v="3"/>
    <x v="10"/>
    <s v="March"/>
    <x v="1"/>
  </r>
  <r>
    <s v="TX501846"/>
    <x v="4"/>
    <x v="12"/>
    <n v="20.2"/>
    <n v="80.8"/>
    <x v="67"/>
    <d v="2025-03-10T00:00:00"/>
    <x v="3"/>
    <x v="2"/>
    <x v="0"/>
    <s v="California"/>
    <s v="Santa Clara County"/>
    <x v="3"/>
    <x v="10"/>
    <s v="March"/>
    <x v="3"/>
  </r>
  <r>
    <s v="TX501847"/>
    <x v="16"/>
    <x v="2"/>
    <n v="52.5"/>
    <n v="157.5"/>
    <x v="67"/>
    <d v="2025-03-14T00:00:00"/>
    <x v="2"/>
    <x v="4"/>
    <x v="0"/>
    <s v="California"/>
    <s v="Sonoma County"/>
    <x v="0"/>
    <x v="10"/>
    <s v="March"/>
    <x v="2"/>
  </r>
  <r>
    <s v="TX501848"/>
    <x v="2"/>
    <x v="9"/>
    <n v="59.9"/>
    <n v="299.5"/>
    <x v="67"/>
    <d v="2025-03-11T00:00:00"/>
    <x v="2"/>
    <x v="2"/>
    <x v="0"/>
    <s v="California"/>
    <s v="Stanislaus County"/>
    <x v="1"/>
    <x v="10"/>
    <s v="March"/>
    <x v="2"/>
  </r>
  <r>
    <s v="TX501849"/>
    <x v="4"/>
    <x v="1"/>
    <n v="53.2"/>
    <n v="106.4"/>
    <x v="67"/>
    <d v="2025-03-10T00:00:00"/>
    <x v="2"/>
    <x v="1"/>
    <x v="3"/>
    <s v="California"/>
    <s v="Tulare County"/>
    <x v="3"/>
    <x v="10"/>
    <s v="March"/>
    <x v="2"/>
  </r>
  <r>
    <s v="TX501850"/>
    <x v="2"/>
    <x v="1"/>
    <n v="60"/>
    <n v="120"/>
    <x v="67"/>
    <d v="2025-03-15T00:00:00"/>
    <x v="1"/>
    <x v="1"/>
    <x v="2"/>
    <s v="California"/>
    <s v="Tulare County"/>
    <x v="4"/>
    <x v="10"/>
    <s v="March"/>
    <x v="1"/>
  </r>
  <r>
    <s v="TX501851"/>
    <x v="8"/>
    <x v="2"/>
    <n v="29.3"/>
    <n v="87.9"/>
    <x v="67"/>
    <d v="2025-03-10T00:00:00"/>
    <x v="2"/>
    <x v="4"/>
    <x v="0"/>
    <s v="California"/>
    <s v="Ventura County"/>
    <x v="3"/>
    <x v="10"/>
    <s v="March"/>
    <x v="2"/>
  </r>
  <r>
    <s v="TX501852"/>
    <x v="12"/>
    <x v="1"/>
    <n v="55.4"/>
    <n v="110.8"/>
    <x v="67"/>
    <d v="2025-03-10T00:00:00"/>
    <x v="2"/>
    <x v="0"/>
    <x v="2"/>
    <s v="California"/>
    <s v="Alameda County"/>
    <x v="3"/>
    <x v="10"/>
    <s v="March"/>
    <x v="2"/>
  </r>
  <r>
    <s v="TX501853"/>
    <x v="0"/>
    <x v="9"/>
    <n v="20.100000000000001"/>
    <n v="100.5"/>
    <x v="67"/>
    <d v="2025-03-11T00:00:00"/>
    <x v="2"/>
    <x v="1"/>
    <x v="2"/>
    <s v="California"/>
    <s v="Alameda County"/>
    <x v="1"/>
    <x v="10"/>
    <s v="March"/>
    <x v="2"/>
  </r>
  <r>
    <s v="TX501854"/>
    <x v="14"/>
    <x v="9"/>
    <n v="24"/>
    <n v="120"/>
    <x v="67"/>
    <d v="2025-03-12T00:00:00"/>
    <x v="1"/>
    <x v="2"/>
    <x v="0"/>
    <s v="California"/>
    <s v="Contra Costa County"/>
    <x v="2"/>
    <x v="10"/>
    <s v="March"/>
    <x v="1"/>
  </r>
  <r>
    <s v="TX501855"/>
    <x v="8"/>
    <x v="1"/>
    <n v="30.6"/>
    <n v="61.2"/>
    <x v="68"/>
    <d v="2025-03-12T00:00:00"/>
    <x v="2"/>
    <x v="0"/>
    <x v="0"/>
    <s v="California"/>
    <s v="Contra Costa County"/>
    <x v="1"/>
    <x v="10"/>
    <s v="March"/>
    <x v="2"/>
  </r>
  <r>
    <s v="TX501856"/>
    <x v="10"/>
    <x v="9"/>
    <n v="33"/>
    <n v="165"/>
    <x v="68"/>
    <d v="2025-03-11T00:00:00"/>
    <x v="1"/>
    <x v="1"/>
    <x v="1"/>
    <s v="California"/>
    <s v="Glenn County"/>
    <x v="3"/>
    <x v="10"/>
    <s v="March"/>
    <x v="1"/>
  </r>
  <r>
    <s v="TX501857"/>
    <x v="17"/>
    <x v="11"/>
    <n v="42.1"/>
    <n v="378.90000000000003"/>
    <x v="68"/>
    <d v="2025-03-16T00:00:00"/>
    <x v="2"/>
    <x v="2"/>
    <x v="0"/>
    <s v="California"/>
    <s v="Humboldt County"/>
    <x v="4"/>
    <x v="10"/>
    <s v="March"/>
    <x v="2"/>
  </r>
  <r>
    <s v="TX501858"/>
    <x v="6"/>
    <x v="3"/>
    <n v="77.7"/>
    <n v="543.9"/>
    <x v="68"/>
    <d v="2025-03-15T00:00:00"/>
    <x v="2"/>
    <x v="1"/>
    <x v="2"/>
    <s v="California"/>
    <s v="Lake County"/>
    <x v="0"/>
    <x v="10"/>
    <s v="March"/>
    <x v="2"/>
  </r>
  <r>
    <s v="TX501859"/>
    <x v="17"/>
    <x v="13"/>
    <n v="22.7"/>
    <n v="136.19999999999999"/>
    <x v="68"/>
    <d v="2025-03-13T00:00:00"/>
    <x v="2"/>
    <x v="2"/>
    <x v="0"/>
    <s v="California"/>
    <s v="Los Angeles County"/>
    <x v="2"/>
    <x v="10"/>
    <s v="March"/>
    <x v="2"/>
  </r>
  <r>
    <s v="TX501860"/>
    <x v="2"/>
    <x v="1"/>
    <n v="133"/>
    <n v="266"/>
    <x v="68"/>
    <d v="2025-03-10T00:00:00"/>
    <x v="1"/>
    <x v="2"/>
    <x v="2"/>
    <s v="California"/>
    <s v="Los Angeles County"/>
    <x v="7"/>
    <x v="10"/>
    <s v="March"/>
    <x v="1"/>
  </r>
  <r>
    <s v="TX501861"/>
    <x v="0"/>
    <x v="1"/>
    <n v="23.3"/>
    <n v="46.6"/>
    <x v="68"/>
    <d v="2025-03-11T00:00:00"/>
    <x v="1"/>
    <x v="1"/>
    <x v="2"/>
    <s v="California"/>
    <s v="Los Angeles County"/>
    <x v="3"/>
    <x v="10"/>
    <s v="March"/>
    <x v="1"/>
  </r>
  <r>
    <s v="TX501862"/>
    <x v="8"/>
    <x v="2"/>
    <n v="20.7"/>
    <n v="62.099999999999994"/>
    <x v="68"/>
    <d v="2025-03-12T00:00:00"/>
    <x v="3"/>
    <x v="0"/>
    <x v="2"/>
    <s v="California"/>
    <s v="Los Angeles County"/>
    <x v="1"/>
    <x v="10"/>
    <s v="March"/>
    <x v="3"/>
  </r>
  <r>
    <s v="TX501863"/>
    <x v="12"/>
    <x v="1"/>
    <n v="47"/>
    <n v="94"/>
    <x v="68"/>
    <d v="2025-03-11T00:00:00"/>
    <x v="1"/>
    <x v="1"/>
    <x v="2"/>
    <s v="California"/>
    <s v="Los Angeles County"/>
    <x v="3"/>
    <x v="10"/>
    <s v="March"/>
    <x v="1"/>
  </r>
  <r>
    <s v="TX501864"/>
    <x v="12"/>
    <x v="2"/>
    <n v="38.200000000000003"/>
    <n v="114.60000000000001"/>
    <x v="68"/>
    <d v="2025-03-12T00:00:00"/>
    <x v="2"/>
    <x v="2"/>
    <x v="4"/>
    <s v="California"/>
    <s v="Los Angeles County"/>
    <x v="1"/>
    <x v="10"/>
    <s v="March"/>
    <x v="2"/>
  </r>
  <r>
    <s v="TX501865"/>
    <x v="9"/>
    <x v="0"/>
    <n v="39.1"/>
    <n v="39.1"/>
    <x v="68"/>
    <d v="2025-03-12T00:00:00"/>
    <x v="2"/>
    <x v="0"/>
    <x v="0"/>
    <s v="California"/>
    <s v="Los Angeles County"/>
    <x v="1"/>
    <x v="10"/>
    <s v="March"/>
    <x v="2"/>
  </r>
  <r>
    <s v="TX501866"/>
    <x v="7"/>
    <x v="30"/>
    <n v="55.6"/>
    <n v="1390"/>
    <x v="68"/>
    <d v="2025-03-12T00:00:00"/>
    <x v="1"/>
    <x v="0"/>
    <x v="2"/>
    <s v="California"/>
    <s v="Los Angeles County"/>
    <x v="1"/>
    <x v="10"/>
    <s v="March"/>
    <x v="1"/>
  </r>
  <r>
    <s v="TX501867"/>
    <x v="15"/>
    <x v="0"/>
    <n v="43.1"/>
    <n v="43.1"/>
    <x v="68"/>
    <d v="2025-03-10T00:00:00"/>
    <x v="3"/>
    <x v="1"/>
    <x v="2"/>
    <s v="California"/>
    <s v="Los Angeles County"/>
    <x v="7"/>
    <x v="10"/>
    <s v="March"/>
    <x v="3"/>
  </r>
  <r>
    <s v="TX501868"/>
    <x v="6"/>
    <x v="12"/>
    <n v="48.1"/>
    <n v="192.4"/>
    <x v="68"/>
    <d v="2025-03-11T00:00:00"/>
    <x v="2"/>
    <x v="4"/>
    <x v="2"/>
    <s v="California"/>
    <s v="Los Angeles County"/>
    <x v="3"/>
    <x v="10"/>
    <s v="March"/>
    <x v="2"/>
  </r>
  <r>
    <s v="TX501869"/>
    <x v="4"/>
    <x v="0"/>
    <n v="42"/>
    <n v="42"/>
    <x v="68"/>
    <d v="2025-03-11T00:00:00"/>
    <x v="3"/>
    <x v="0"/>
    <x v="0"/>
    <s v="California"/>
    <s v="Los Angeles County"/>
    <x v="3"/>
    <x v="10"/>
    <s v="March"/>
    <x v="3"/>
  </r>
  <r>
    <s v="TX501870"/>
    <x v="8"/>
    <x v="9"/>
    <n v="18.3"/>
    <n v="91.5"/>
    <x v="68"/>
    <d v="2025-03-10T00:00:00"/>
    <x v="2"/>
    <x v="2"/>
    <x v="0"/>
    <s v="California"/>
    <s v="Los Angeles County"/>
    <x v="7"/>
    <x v="10"/>
    <s v="March"/>
    <x v="2"/>
  </r>
  <r>
    <s v="TX501871"/>
    <x v="10"/>
    <x v="12"/>
    <n v="45.3"/>
    <n v="181.2"/>
    <x v="68"/>
    <d v="2025-03-13T00:00:00"/>
    <x v="2"/>
    <x v="0"/>
    <x v="2"/>
    <s v="California"/>
    <s v="Los Angeles County"/>
    <x v="2"/>
    <x v="10"/>
    <s v="March"/>
    <x v="2"/>
  </r>
  <r>
    <s v="TX501872"/>
    <x v="0"/>
    <x v="1"/>
    <n v="27.6"/>
    <n v="55.2"/>
    <x v="68"/>
    <d v="2025-03-12T00:00:00"/>
    <x v="1"/>
    <x v="0"/>
    <x v="2"/>
    <s v="California"/>
    <s v="Madera County"/>
    <x v="1"/>
    <x v="10"/>
    <s v="March"/>
    <x v="1"/>
  </r>
  <r>
    <s v="TX501873"/>
    <x v="4"/>
    <x v="9"/>
    <n v="26.9"/>
    <n v="134.5"/>
    <x v="68"/>
    <d v="2025-03-11T00:00:00"/>
    <x v="2"/>
    <x v="2"/>
    <x v="0"/>
    <s v="California"/>
    <s v="Orange County"/>
    <x v="3"/>
    <x v="10"/>
    <s v="March"/>
    <x v="2"/>
  </r>
  <r>
    <s v="TX501874"/>
    <x v="2"/>
    <x v="11"/>
    <n v="82.4"/>
    <n v="741.6"/>
    <x v="68"/>
    <d v="2025-03-12T00:00:00"/>
    <x v="3"/>
    <x v="2"/>
    <x v="0"/>
    <s v="California"/>
    <s v="Placer County"/>
    <x v="1"/>
    <x v="10"/>
    <s v="March"/>
    <x v="3"/>
  </r>
  <r>
    <s v="TX501875"/>
    <x v="6"/>
    <x v="0"/>
    <n v="103.7"/>
    <n v="103.7"/>
    <x v="68"/>
    <d v="2025-03-12T00:00:00"/>
    <x v="2"/>
    <x v="1"/>
    <x v="0"/>
    <s v="California"/>
    <s v="Placer County"/>
    <x v="1"/>
    <x v="10"/>
    <s v="March"/>
    <x v="2"/>
  </r>
  <r>
    <s v="TX501876"/>
    <x v="2"/>
    <x v="1"/>
    <n v="58.8"/>
    <n v="117.6"/>
    <x v="68"/>
    <d v="2025-03-15T00:00:00"/>
    <x v="2"/>
    <x v="1"/>
    <x v="2"/>
    <s v="California"/>
    <s v="Sacramento County"/>
    <x v="0"/>
    <x v="10"/>
    <s v="March"/>
    <x v="2"/>
  </r>
  <r>
    <s v="TX501877"/>
    <x v="13"/>
    <x v="0"/>
    <n v="31.5"/>
    <n v="31.5"/>
    <x v="68"/>
    <d v="2025-03-11T00:00:00"/>
    <x v="2"/>
    <x v="1"/>
    <x v="1"/>
    <s v="California"/>
    <s v="Sacramento County"/>
    <x v="3"/>
    <x v="10"/>
    <s v="March"/>
    <x v="2"/>
  </r>
  <r>
    <s v="TX501878"/>
    <x v="7"/>
    <x v="9"/>
    <n v="36.799999999999997"/>
    <n v="184"/>
    <x v="68"/>
    <d v="2025-03-12T00:00:00"/>
    <x v="2"/>
    <x v="0"/>
    <x v="0"/>
    <s v="California"/>
    <s v="San Diego County"/>
    <x v="1"/>
    <x v="10"/>
    <s v="March"/>
    <x v="2"/>
  </r>
  <r>
    <s v="TX501879"/>
    <x v="3"/>
    <x v="0"/>
    <n v="84.4"/>
    <n v="84.4"/>
    <x v="68"/>
    <d v="2025-03-11T00:00:00"/>
    <x v="2"/>
    <x v="0"/>
    <x v="0"/>
    <s v="California"/>
    <s v="San Diego County"/>
    <x v="3"/>
    <x v="10"/>
    <s v="March"/>
    <x v="2"/>
  </r>
  <r>
    <s v="TX501880"/>
    <x v="14"/>
    <x v="0"/>
    <n v="44.7"/>
    <n v="44.7"/>
    <x v="68"/>
    <d v="2025-03-11T00:00:00"/>
    <x v="1"/>
    <x v="0"/>
    <x v="1"/>
    <s v="California"/>
    <s v="San Diego County"/>
    <x v="3"/>
    <x v="10"/>
    <s v="March"/>
    <x v="1"/>
  </r>
  <r>
    <s v="TX501881"/>
    <x v="9"/>
    <x v="8"/>
    <n v="39.4"/>
    <n v="315.2"/>
    <x v="68"/>
    <d v="2025-03-11T00:00:00"/>
    <x v="2"/>
    <x v="1"/>
    <x v="2"/>
    <s v="California"/>
    <s v="San Diego County"/>
    <x v="3"/>
    <x v="10"/>
    <s v="March"/>
    <x v="2"/>
  </r>
  <r>
    <s v="TX501882"/>
    <x v="11"/>
    <x v="12"/>
    <n v="34.9"/>
    <n v="139.6"/>
    <x v="68"/>
    <d v="2025-03-12T00:00:00"/>
    <x v="2"/>
    <x v="0"/>
    <x v="2"/>
    <s v="California"/>
    <s v="San Diego County"/>
    <x v="1"/>
    <x v="10"/>
    <s v="March"/>
    <x v="2"/>
  </r>
  <r>
    <s v="TX501883"/>
    <x v="1"/>
    <x v="2"/>
    <n v="62.3"/>
    <n v="186.89999999999998"/>
    <x v="68"/>
    <d v="2025-03-12T00:00:00"/>
    <x v="1"/>
    <x v="4"/>
    <x v="2"/>
    <s v="California"/>
    <s v="San Diego County"/>
    <x v="1"/>
    <x v="10"/>
    <s v="March"/>
    <x v="1"/>
  </r>
  <r>
    <s v="TX501884"/>
    <x v="8"/>
    <x v="12"/>
    <n v="21.1"/>
    <n v="84.4"/>
    <x v="68"/>
    <d v="2025-03-13T00:00:00"/>
    <x v="1"/>
    <x v="3"/>
    <x v="0"/>
    <s v="California"/>
    <s v="San Diego County"/>
    <x v="2"/>
    <x v="10"/>
    <s v="March"/>
    <x v="1"/>
  </r>
  <r>
    <s v="TX501885"/>
    <x v="8"/>
    <x v="2"/>
    <n v="33.200000000000003"/>
    <n v="99.600000000000009"/>
    <x v="68"/>
    <d v="2025-03-24T00:00:00"/>
    <x v="0"/>
    <x v="0"/>
    <x v="4"/>
    <s v="California"/>
    <s v="San Diego County"/>
    <x v="12"/>
    <x v="10"/>
    <s v="March"/>
    <x v="0"/>
  </r>
  <r>
    <s v="TX501886"/>
    <x v="1"/>
    <x v="12"/>
    <n v="74.5"/>
    <n v="298"/>
    <x v="68"/>
    <d v="2025-03-11T00:00:00"/>
    <x v="1"/>
    <x v="4"/>
    <x v="0"/>
    <s v="California"/>
    <s v="San Diego County"/>
    <x v="3"/>
    <x v="10"/>
    <s v="March"/>
    <x v="1"/>
  </r>
  <r>
    <s v="TX501887"/>
    <x v="10"/>
    <x v="4"/>
    <n v="68.599999999999994"/>
    <n v="823.19999999999993"/>
    <x v="68"/>
    <d v="2025-03-13T00:00:00"/>
    <x v="2"/>
    <x v="0"/>
    <x v="2"/>
    <s v="California"/>
    <s v="San Diego County"/>
    <x v="2"/>
    <x v="10"/>
    <s v="March"/>
    <x v="2"/>
  </r>
  <r>
    <s v="TX501888"/>
    <x v="5"/>
    <x v="21"/>
    <n v="36.4"/>
    <n v="509.59999999999997"/>
    <x v="68"/>
    <d v="2025-03-12T00:00:00"/>
    <x v="2"/>
    <x v="0"/>
    <x v="1"/>
    <s v="California"/>
    <s v="San Mateo County"/>
    <x v="1"/>
    <x v="10"/>
    <s v="March"/>
    <x v="2"/>
  </r>
  <r>
    <s v="TX501889"/>
    <x v="16"/>
    <x v="9"/>
    <n v="67.599999999999994"/>
    <n v="338"/>
    <x v="69"/>
    <d v="2025-03-14T00:00:00"/>
    <x v="2"/>
    <x v="4"/>
    <x v="1"/>
    <s v="California"/>
    <s v="San Mateo County"/>
    <x v="2"/>
    <x v="10"/>
    <s v="March"/>
    <x v="2"/>
  </r>
  <r>
    <s v="TX501890"/>
    <x v="15"/>
    <x v="0"/>
    <n v="46.3"/>
    <n v="46.3"/>
    <x v="69"/>
    <d v="2025-03-12T00:00:00"/>
    <x v="1"/>
    <x v="2"/>
    <x v="0"/>
    <s v="California"/>
    <s v="San Mateo County"/>
    <x v="3"/>
    <x v="10"/>
    <s v="March"/>
    <x v="1"/>
  </r>
  <r>
    <s v="TX501891"/>
    <x v="1"/>
    <x v="2"/>
    <n v="124.2"/>
    <n v="372.6"/>
    <x v="69"/>
    <d v="2025-03-13T00:00:00"/>
    <x v="2"/>
    <x v="1"/>
    <x v="2"/>
    <s v="California"/>
    <s v="Santa Clara County"/>
    <x v="1"/>
    <x v="10"/>
    <s v="March"/>
    <x v="2"/>
  </r>
  <r>
    <s v="TX501892"/>
    <x v="10"/>
    <x v="1"/>
    <n v="37"/>
    <n v="74"/>
    <x v="69"/>
    <d v="2025-03-17T00:00:00"/>
    <x v="1"/>
    <x v="0"/>
    <x v="0"/>
    <s v="California"/>
    <s v="Santa Clara County"/>
    <x v="4"/>
    <x v="10"/>
    <s v="March"/>
    <x v="1"/>
  </r>
  <r>
    <s v="TX501893"/>
    <x v="5"/>
    <x v="0"/>
    <n v="41.8"/>
    <n v="41.8"/>
    <x v="69"/>
    <d v="2025-03-12T00:00:00"/>
    <x v="1"/>
    <x v="2"/>
    <x v="0"/>
    <s v="California"/>
    <s v="Sutter County"/>
    <x v="3"/>
    <x v="10"/>
    <s v="March"/>
    <x v="1"/>
  </r>
  <r>
    <s v="TX501894"/>
    <x v="9"/>
    <x v="1"/>
    <n v="57.2"/>
    <n v="114.4"/>
    <x v="69"/>
    <d v="2025-03-13T00:00:00"/>
    <x v="1"/>
    <x v="2"/>
    <x v="1"/>
    <s v="California"/>
    <s v="Tulare County"/>
    <x v="1"/>
    <x v="10"/>
    <s v="March"/>
    <x v="1"/>
  </r>
  <r>
    <s v="TX501895"/>
    <x v="6"/>
    <x v="1"/>
    <n v="47.1"/>
    <n v="94.2"/>
    <x v="69"/>
    <d v="2025-03-13T00:00:00"/>
    <x v="2"/>
    <x v="0"/>
    <x v="4"/>
    <s v="California"/>
    <s v="Tulare County"/>
    <x v="1"/>
    <x v="10"/>
    <s v="March"/>
    <x v="2"/>
  </r>
  <r>
    <s v="TX501896"/>
    <x v="5"/>
    <x v="2"/>
    <n v="86.4"/>
    <n v="259.20000000000005"/>
    <x v="69"/>
    <d v="2025-03-12T00:00:00"/>
    <x v="1"/>
    <x v="2"/>
    <x v="1"/>
    <s v="California"/>
    <s v="Tuolumne County"/>
    <x v="3"/>
    <x v="10"/>
    <s v="March"/>
    <x v="1"/>
  </r>
  <r>
    <s v="TX501897"/>
    <x v="6"/>
    <x v="9"/>
    <n v="105"/>
    <n v="525"/>
    <x v="69"/>
    <d v="2025-03-14T00:00:00"/>
    <x v="1"/>
    <x v="0"/>
    <x v="0"/>
    <s v="California"/>
    <s v="Ventura County"/>
    <x v="2"/>
    <x v="10"/>
    <s v="March"/>
    <x v="1"/>
  </r>
  <r>
    <s v="TX501898"/>
    <x v="18"/>
    <x v="0"/>
    <n v="33"/>
    <n v="33"/>
    <x v="69"/>
    <d v="2025-03-14T00:00:00"/>
    <x v="1"/>
    <x v="4"/>
    <x v="0"/>
    <s v="California"/>
    <s v="Alameda County"/>
    <x v="2"/>
    <x v="10"/>
    <s v="March"/>
    <x v="1"/>
  </r>
  <r>
    <s v="TX501899"/>
    <x v="6"/>
    <x v="9"/>
    <n v="106.6"/>
    <n v="533"/>
    <x v="69"/>
    <d v="2025-03-24T00:00:00"/>
    <x v="2"/>
    <x v="2"/>
    <x v="0"/>
    <s v="California"/>
    <s v="Contra Costa County"/>
    <x v="10"/>
    <x v="10"/>
    <s v="March"/>
    <x v="2"/>
  </r>
  <r>
    <s v="TX501900"/>
    <x v="10"/>
    <x v="46"/>
    <n v="26.8"/>
    <n v="857.6"/>
    <x v="69"/>
    <d v="2025-03-12T00:00:00"/>
    <x v="2"/>
    <x v="2"/>
    <x v="0"/>
    <s v="California"/>
    <s v="Contra Costa County"/>
    <x v="3"/>
    <x v="10"/>
    <s v="March"/>
    <x v="2"/>
  </r>
  <r>
    <s v="TX501901"/>
    <x v="17"/>
    <x v="9"/>
    <n v="25.8"/>
    <n v="129"/>
    <x v="69"/>
    <d v="2025-03-11T00:00:00"/>
    <x v="2"/>
    <x v="1"/>
    <x v="2"/>
    <s v="California"/>
    <s v="Los Angeles County"/>
    <x v="7"/>
    <x v="10"/>
    <s v="March"/>
    <x v="2"/>
  </r>
  <r>
    <s v="TX501902"/>
    <x v="2"/>
    <x v="2"/>
    <n v="217"/>
    <n v="651"/>
    <x v="69"/>
    <d v="2025-03-12T00:00:00"/>
    <x v="2"/>
    <x v="1"/>
    <x v="1"/>
    <s v="California"/>
    <s v="Los Angeles County"/>
    <x v="3"/>
    <x v="10"/>
    <s v="March"/>
    <x v="2"/>
  </r>
  <r>
    <s v="TX501903"/>
    <x v="2"/>
    <x v="1"/>
    <n v="97.3"/>
    <n v="194.6"/>
    <x v="69"/>
    <d v="2025-03-12T00:00:00"/>
    <x v="1"/>
    <x v="2"/>
    <x v="4"/>
    <s v="California"/>
    <s v="Los Angeles County"/>
    <x v="3"/>
    <x v="10"/>
    <s v="March"/>
    <x v="1"/>
  </r>
  <r>
    <s v="TX501904"/>
    <x v="1"/>
    <x v="0"/>
    <n v="49.8"/>
    <n v="49.8"/>
    <x v="69"/>
    <d v="2025-03-12T00:00:00"/>
    <x v="2"/>
    <x v="0"/>
    <x v="0"/>
    <s v="California"/>
    <s v="Los Angeles County"/>
    <x v="3"/>
    <x v="10"/>
    <s v="March"/>
    <x v="2"/>
  </r>
  <r>
    <s v="TX501905"/>
    <x v="12"/>
    <x v="9"/>
    <n v="32.6"/>
    <n v="163"/>
    <x v="69"/>
    <d v="2025-03-12T00:00:00"/>
    <x v="2"/>
    <x v="0"/>
    <x v="0"/>
    <s v="California"/>
    <s v="Los Angeles County"/>
    <x v="3"/>
    <x v="10"/>
    <s v="March"/>
    <x v="2"/>
  </r>
  <r>
    <s v="TX501906"/>
    <x v="9"/>
    <x v="1"/>
    <n v="40.1"/>
    <n v="80.2"/>
    <x v="69"/>
    <d v="2025-03-14T00:00:00"/>
    <x v="1"/>
    <x v="1"/>
    <x v="2"/>
    <s v="California"/>
    <s v="Los Angeles County"/>
    <x v="2"/>
    <x v="10"/>
    <s v="March"/>
    <x v="1"/>
  </r>
  <r>
    <s v="TX501907"/>
    <x v="10"/>
    <x v="1"/>
    <n v="49.4"/>
    <n v="98.8"/>
    <x v="69"/>
    <d v="2025-03-13T00:00:00"/>
    <x v="1"/>
    <x v="1"/>
    <x v="0"/>
    <s v="California"/>
    <s v="Los Angeles County"/>
    <x v="1"/>
    <x v="10"/>
    <s v="March"/>
    <x v="1"/>
  </r>
  <r>
    <s v="TX501908"/>
    <x v="2"/>
    <x v="0"/>
    <n v="67.3"/>
    <n v="67.3"/>
    <x v="69"/>
    <d v="2025-03-12T00:00:00"/>
    <x v="2"/>
    <x v="0"/>
    <x v="2"/>
    <s v="California"/>
    <s v="Los Angeles County"/>
    <x v="3"/>
    <x v="10"/>
    <s v="March"/>
    <x v="2"/>
  </r>
  <r>
    <s v="TX501909"/>
    <x v="18"/>
    <x v="12"/>
    <n v="44.5"/>
    <n v="178"/>
    <x v="69"/>
    <d v="2025-03-14T00:00:00"/>
    <x v="0"/>
    <x v="1"/>
    <x v="0"/>
    <s v="California"/>
    <s v="Los Angeles County"/>
    <x v="2"/>
    <x v="10"/>
    <s v="March"/>
    <x v="0"/>
  </r>
  <r>
    <s v="TX501910"/>
    <x v="6"/>
    <x v="5"/>
    <n v="111.1"/>
    <n v="1222.0999999999999"/>
    <x v="69"/>
    <d v="2025-03-12T00:00:00"/>
    <x v="2"/>
    <x v="4"/>
    <x v="0"/>
    <s v="California"/>
    <s v="Los Angeles County"/>
    <x v="3"/>
    <x v="10"/>
    <s v="March"/>
    <x v="2"/>
  </r>
  <r>
    <s v="TX501911"/>
    <x v="8"/>
    <x v="2"/>
    <n v="19.7"/>
    <n v="59.099999999999994"/>
    <x v="69"/>
    <d v="2025-03-12T00:00:00"/>
    <x v="2"/>
    <x v="4"/>
    <x v="4"/>
    <s v="California"/>
    <s v="Los Angeles County"/>
    <x v="3"/>
    <x v="10"/>
    <s v="March"/>
    <x v="2"/>
  </r>
  <r>
    <s v="TX501912"/>
    <x v="1"/>
    <x v="0"/>
    <n v="40.299999999999997"/>
    <n v="40.299999999999997"/>
    <x v="69"/>
    <d v="2025-03-12T00:00:00"/>
    <x v="3"/>
    <x v="1"/>
    <x v="0"/>
    <s v="California"/>
    <s v="Los Angeles County"/>
    <x v="3"/>
    <x v="10"/>
    <s v="March"/>
    <x v="3"/>
  </r>
  <r>
    <s v="TX501913"/>
    <x v="6"/>
    <x v="1"/>
    <n v="108.8"/>
    <n v="217.6"/>
    <x v="69"/>
    <d v="2025-03-16T00:00:00"/>
    <x v="1"/>
    <x v="0"/>
    <x v="2"/>
    <s v="California"/>
    <s v="Sacramento County"/>
    <x v="0"/>
    <x v="10"/>
    <s v="March"/>
    <x v="1"/>
  </r>
  <r>
    <s v="TX501914"/>
    <x v="8"/>
    <x v="2"/>
    <n v="48.2"/>
    <n v="144.60000000000002"/>
    <x v="69"/>
    <d v="2025-03-16T00:00:00"/>
    <x v="2"/>
    <x v="4"/>
    <x v="0"/>
    <s v="California"/>
    <s v="San Bernardino County"/>
    <x v="0"/>
    <x v="10"/>
    <s v="March"/>
    <x v="2"/>
  </r>
  <r>
    <s v="TX501915"/>
    <x v="2"/>
    <x v="2"/>
    <n v="104.7"/>
    <n v="314.10000000000002"/>
    <x v="69"/>
    <d v="2025-03-13T00:00:00"/>
    <x v="2"/>
    <x v="0"/>
    <x v="1"/>
    <s v="California"/>
    <s v="San Bernardino County"/>
    <x v="1"/>
    <x v="10"/>
    <s v="March"/>
    <x v="2"/>
  </r>
  <r>
    <s v="TX501916"/>
    <x v="1"/>
    <x v="1"/>
    <n v="80.599999999999994"/>
    <n v="161.19999999999999"/>
    <x v="69"/>
    <d v="2025-03-11T00:00:00"/>
    <x v="2"/>
    <x v="1"/>
    <x v="0"/>
    <s v="California"/>
    <s v="San Diego County"/>
    <x v="7"/>
    <x v="10"/>
    <s v="March"/>
    <x v="2"/>
  </r>
  <r>
    <s v="TX501917"/>
    <x v="6"/>
    <x v="0"/>
    <n v="65.5"/>
    <n v="65.5"/>
    <x v="69"/>
    <d v="2025-03-13T00:00:00"/>
    <x v="3"/>
    <x v="1"/>
    <x v="0"/>
    <s v="California"/>
    <s v="San Diego County"/>
    <x v="1"/>
    <x v="10"/>
    <s v="March"/>
    <x v="3"/>
  </r>
  <r>
    <s v="TX501918"/>
    <x v="9"/>
    <x v="2"/>
    <n v="61.4"/>
    <n v="184.2"/>
    <x v="69"/>
    <d v="2025-03-13T00:00:00"/>
    <x v="2"/>
    <x v="4"/>
    <x v="2"/>
    <s v="California"/>
    <s v="San Diego County"/>
    <x v="1"/>
    <x v="10"/>
    <s v="March"/>
    <x v="2"/>
  </r>
  <r>
    <s v="TX501919"/>
    <x v="0"/>
    <x v="0"/>
    <n v="12.5"/>
    <n v="12.5"/>
    <x v="70"/>
    <d v="2025-03-15T00:00:00"/>
    <x v="2"/>
    <x v="0"/>
    <x v="1"/>
    <s v="California"/>
    <s v="San Diego County"/>
    <x v="2"/>
    <x v="10"/>
    <s v="March"/>
    <x v="2"/>
  </r>
  <r>
    <s v="TX501920"/>
    <x v="4"/>
    <x v="12"/>
    <n v="35.1"/>
    <n v="140.4"/>
    <x v="70"/>
    <d v="2025-03-13T00:00:00"/>
    <x v="1"/>
    <x v="2"/>
    <x v="1"/>
    <s v="California"/>
    <s v="San Francisco"/>
    <x v="3"/>
    <x v="10"/>
    <s v="March"/>
    <x v="1"/>
  </r>
  <r>
    <s v="TX501921"/>
    <x v="5"/>
    <x v="1"/>
    <n v="55.7"/>
    <n v="111.4"/>
    <x v="70"/>
    <d v="2025-03-13T00:00:00"/>
    <x v="1"/>
    <x v="0"/>
    <x v="1"/>
    <s v="California"/>
    <s v="San Joaquin County"/>
    <x v="3"/>
    <x v="10"/>
    <s v="March"/>
    <x v="1"/>
  </r>
  <r>
    <s v="TX501922"/>
    <x v="7"/>
    <x v="1"/>
    <n v="57.7"/>
    <n v="115.4"/>
    <x v="70"/>
    <d v="2025-03-14T00:00:00"/>
    <x v="1"/>
    <x v="4"/>
    <x v="1"/>
    <s v="California"/>
    <s v="San Mateo County"/>
    <x v="1"/>
    <x v="10"/>
    <s v="March"/>
    <x v="1"/>
  </r>
  <r>
    <s v="TX501923"/>
    <x v="2"/>
    <x v="13"/>
    <n v="85.7"/>
    <n v="514.20000000000005"/>
    <x v="70"/>
    <d v="2025-03-13T00:00:00"/>
    <x v="1"/>
    <x v="3"/>
    <x v="2"/>
    <s v="California"/>
    <s v="San Mateo County"/>
    <x v="3"/>
    <x v="10"/>
    <s v="March"/>
    <x v="1"/>
  </r>
  <r>
    <s v="TX501924"/>
    <x v="2"/>
    <x v="2"/>
    <n v="86.9"/>
    <n v="260.70000000000005"/>
    <x v="70"/>
    <d v="2025-03-14T00:00:00"/>
    <x v="2"/>
    <x v="1"/>
    <x v="0"/>
    <s v="California"/>
    <s v="Santa Clara County"/>
    <x v="1"/>
    <x v="10"/>
    <s v="March"/>
    <x v="2"/>
  </r>
  <r>
    <s v="TX501925"/>
    <x v="18"/>
    <x v="1"/>
    <n v="46.4"/>
    <n v="92.8"/>
    <x v="70"/>
    <d v="2025-03-15T00:00:00"/>
    <x v="2"/>
    <x v="4"/>
    <x v="0"/>
    <s v="California"/>
    <s v="Santa Clara County"/>
    <x v="2"/>
    <x v="10"/>
    <s v="March"/>
    <x v="2"/>
  </r>
  <r>
    <s v="TX501926"/>
    <x v="5"/>
    <x v="2"/>
    <n v="25.4"/>
    <n v="76.199999999999989"/>
    <x v="70"/>
    <d v="2025-03-12T00:00:00"/>
    <x v="2"/>
    <x v="2"/>
    <x v="2"/>
    <s v="California"/>
    <s v="Sonoma County"/>
    <x v="7"/>
    <x v="10"/>
    <s v="March"/>
    <x v="2"/>
  </r>
  <r>
    <s v="TX501927"/>
    <x v="10"/>
    <x v="2"/>
    <n v="47.8"/>
    <n v="143.39999999999998"/>
    <x v="70"/>
    <d v="2025-03-12T00:00:00"/>
    <x v="0"/>
    <x v="2"/>
    <x v="2"/>
    <s v="California"/>
    <s v="Stanislaus County"/>
    <x v="7"/>
    <x v="10"/>
    <s v="March"/>
    <x v="0"/>
  </r>
  <r>
    <s v="TX501928"/>
    <x v="8"/>
    <x v="10"/>
    <n v="18.399999999999999"/>
    <n v="349.59999999999997"/>
    <x v="70"/>
    <d v="2025-03-14T00:00:00"/>
    <x v="3"/>
    <x v="2"/>
    <x v="0"/>
    <s v="California"/>
    <s v="Tulare County"/>
    <x v="1"/>
    <x v="10"/>
    <s v="March"/>
    <x v="3"/>
  </r>
  <r>
    <s v="TX501929"/>
    <x v="12"/>
    <x v="2"/>
    <n v="65.5"/>
    <n v="196.5"/>
    <x v="70"/>
    <d v="2025-03-20T00:00:00"/>
    <x v="2"/>
    <x v="0"/>
    <x v="0"/>
    <s v="California"/>
    <s v="Alameda County"/>
    <x v="9"/>
    <x v="10"/>
    <s v="March"/>
    <x v="2"/>
  </r>
  <r>
    <s v="TX501930"/>
    <x v="10"/>
    <x v="1"/>
    <n v="50.6"/>
    <n v="101.2"/>
    <x v="70"/>
    <d v="2025-03-15T00:00:00"/>
    <x v="1"/>
    <x v="2"/>
    <x v="4"/>
    <s v="California"/>
    <s v="Alameda County"/>
    <x v="2"/>
    <x v="10"/>
    <s v="March"/>
    <x v="1"/>
  </r>
  <r>
    <s v="TX501931"/>
    <x v="3"/>
    <x v="9"/>
    <n v="69"/>
    <n v="345"/>
    <x v="70"/>
    <d v="2025-03-16T00:00:00"/>
    <x v="1"/>
    <x v="3"/>
    <x v="0"/>
    <s v="California"/>
    <s v="Alameda County"/>
    <x v="5"/>
    <x v="10"/>
    <s v="March"/>
    <x v="1"/>
  </r>
  <r>
    <s v="TX501932"/>
    <x v="9"/>
    <x v="8"/>
    <n v="51.1"/>
    <n v="408.8"/>
    <x v="70"/>
    <d v="2025-03-14T00:00:00"/>
    <x v="2"/>
    <x v="0"/>
    <x v="0"/>
    <s v="California"/>
    <s v="Contra Costa County"/>
    <x v="1"/>
    <x v="10"/>
    <s v="March"/>
    <x v="2"/>
  </r>
  <r>
    <s v="TX501933"/>
    <x v="9"/>
    <x v="0"/>
    <n v="36.1"/>
    <n v="36.1"/>
    <x v="70"/>
    <d v="2025-03-13T00:00:00"/>
    <x v="2"/>
    <x v="0"/>
    <x v="2"/>
    <s v="California"/>
    <s v="Kings County"/>
    <x v="3"/>
    <x v="10"/>
    <s v="March"/>
    <x v="2"/>
  </r>
  <r>
    <s v="TX501934"/>
    <x v="14"/>
    <x v="0"/>
    <n v="18.7"/>
    <n v="18.7"/>
    <x v="70"/>
    <d v="2025-03-13T00:00:00"/>
    <x v="1"/>
    <x v="0"/>
    <x v="0"/>
    <s v="California"/>
    <s v="Los Angeles County"/>
    <x v="3"/>
    <x v="10"/>
    <s v="March"/>
    <x v="1"/>
  </r>
  <r>
    <s v="TX501935"/>
    <x v="17"/>
    <x v="0"/>
    <n v="30.1"/>
    <n v="30.1"/>
    <x v="70"/>
    <d v="2025-03-15T00:00:00"/>
    <x v="2"/>
    <x v="3"/>
    <x v="1"/>
    <s v="California"/>
    <s v="Los Angeles County"/>
    <x v="2"/>
    <x v="10"/>
    <s v="March"/>
    <x v="2"/>
  </r>
  <r>
    <s v="TX501936"/>
    <x v="8"/>
    <x v="0"/>
    <n v="16.3"/>
    <n v="16.3"/>
    <x v="70"/>
    <d v="2025-03-13T00:00:00"/>
    <x v="1"/>
    <x v="3"/>
    <x v="0"/>
    <s v="California"/>
    <s v="Los Angeles County"/>
    <x v="3"/>
    <x v="10"/>
    <s v="March"/>
    <x v="1"/>
  </r>
  <r>
    <s v="TX501937"/>
    <x v="1"/>
    <x v="2"/>
    <n v="63.8"/>
    <n v="191.39999999999998"/>
    <x v="70"/>
    <d v="2025-03-17T00:00:00"/>
    <x v="2"/>
    <x v="2"/>
    <x v="1"/>
    <s v="California"/>
    <s v="Los Angeles County"/>
    <x v="0"/>
    <x v="10"/>
    <s v="March"/>
    <x v="2"/>
  </r>
  <r>
    <s v="TX501938"/>
    <x v="1"/>
    <x v="3"/>
    <n v="73.900000000000006"/>
    <n v="517.30000000000007"/>
    <x v="70"/>
    <d v="2025-03-12T00:00:00"/>
    <x v="2"/>
    <x v="0"/>
    <x v="1"/>
    <s v="California"/>
    <s v="Los Angeles County"/>
    <x v="7"/>
    <x v="10"/>
    <s v="March"/>
    <x v="2"/>
  </r>
  <r>
    <s v="TX501939"/>
    <x v="0"/>
    <x v="1"/>
    <n v="20.2"/>
    <n v="40.4"/>
    <x v="70"/>
    <d v="2025-03-13T00:00:00"/>
    <x v="1"/>
    <x v="0"/>
    <x v="1"/>
    <s v="California"/>
    <s v="Los Angeles County"/>
    <x v="3"/>
    <x v="10"/>
    <s v="March"/>
    <x v="1"/>
  </r>
  <r>
    <s v="TX501940"/>
    <x v="11"/>
    <x v="5"/>
    <n v="29.5"/>
    <n v="324.5"/>
    <x v="70"/>
    <d v="2025-03-13T00:00:00"/>
    <x v="1"/>
    <x v="0"/>
    <x v="0"/>
    <s v="California"/>
    <s v="Los Angeles County"/>
    <x v="3"/>
    <x v="10"/>
    <s v="March"/>
    <x v="1"/>
  </r>
  <r>
    <s v="TX501941"/>
    <x v="15"/>
    <x v="3"/>
    <n v="37.9"/>
    <n v="265.3"/>
    <x v="70"/>
    <d v="2025-03-13T00:00:00"/>
    <x v="1"/>
    <x v="1"/>
    <x v="0"/>
    <s v="California"/>
    <s v="Los Angeles County"/>
    <x v="3"/>
    <x v="10"/>
    <s v="March"/>
    <x v="1"/>
  </r>
  <r>
    <s v="TX501942"/>
    <x v="2"/>
    <x v="0"/>
    <n v="56.5"/>
    <n v="56.5"/>
    <x v="70"/>
    <d v="2025-03-13T00:00:00"/>
    <x v="2"/>
    <x v="2"/>
    <x v="1"/>
    <s v="California"/>
    <s v="Los Angeles County"/>
    <x v="3"/>
    <x v="10"/>
    <s v="March"/>
    <x v="2"/>
  </r>
  <r>
    <s v="TX501943"/>
    <x v="2"/>
    <x v="1"/>
    <n v="66.900000000000006"/>
    <n v="133.80000000000001"/>
    <x v="70"/>
    <d v="2025-03-18T00:00:00"/>
    <x v="1"/>
    <x v="1"/>
    <x v="4"/>
    <s v="California"/>
    <s v="Orange County"/>
    <x v="4"/>
    <x v="10"/>
    <s v="March"/>
    <x v="1"/>
  </r>
  <r>
    <s v="TX501944"/>
    <x v="2"/>
    <x v="9"/>
    <n v="51.9"/>
    <n v="259.5"/>
    <x v="70"/>
    <d v="2025-03-15T00:00:00"/>
    <x v="1"/>
    <x v="1"/>
    <x v="0"/>
    <s v="California"/>
    <s v="San Bernardino County"/>
    <x v="2"/>
    <x v="10"/>
    <s v="March"/>
    <x v="1"/>
  </r>
  <r>
    <s v="TX501945"/>
    <x v="2"/>
    <x v="1"/>
    <n v="75.599999999999994"/>
    <n v="151.19999999999999"/>
    <x v="70"/>
    <d v="2025-03-15T00:00:00"/>
    <x v="1"/>
    <x v="1"/>
    <x v="0"/>
    <s v="California"/>
    <s v="San Diego County"/>
    <x v="2"/>
    <x v="10"/>
    <s v="March"/>
    <x v="1"/>
  </r>
  <r>
    <s v="TX501946"/>
    <x v="12"/>
    <x v="13"/>
    <n v="47.3"/>
    <n v="283.79999999999995"/>
    <x v="70"/>
    <d v="2025-03-23T00:00:00"/>
    <x v="1"/>
    <x v="0"/>
    <x v="0"/>
    <s v="California"/>
    <s v="San Diego County"/>
    <x v="11"/>
    <x v="10"/>
    <s v="March"/>
    <x v="1"/>
  </r>
  <r>
    <s v="TX501947"/>
    <x v="4"/>
    <x v="0"/>
    <n v="20.6"/>
    <n v="20.6"/>
    <x v="70"/>
    <d v="2025-03-13T00:00:00"/>
    <x v="0"/>
    <x v="0"/>
    <x v="1"/>
    <s v="California"/>
    <s v="San Diego County"/>
    <x v="3"/>
    <x v="10"/>
    <s v="March"/>
    <x v="0"/>
  </r>
  <r>
    <s v="TX501948"/>
    <x v="6"/>
    <x v="2"/>
    <n v="49.7"/>
    <n v="149.10000000000002"/>
    <x v="70"/>
    <d v="2025-03-14T00:00:00"/>
    <x v="1"/>
    <x v="0"/>
    <x v="1"/>
    <s v="California"/>
    <s v="San Diego County"/>
    <x v="1"/>
    <x v="10"/>
    <s v="March"/>
    <x v="1"/>
  </r>
  <r>
    <s v="TX501949"/>
    <x v="3"/>
    <x v="0"/>
    <n v="37.9"/>
    <n v="37.9"/>
    <x v="70"/>
    <d v="2025-03-14T00:00:00"/>
    <x v="2"/>
    <x v="0"/>
    <x v="0"/>
    <s v="California"/>
    <s v="San Diego County"/>
    <x v="1"/>
    <x v="10"/>
    <s v="March"/>
    <x v="2"/>
  </r>
  <r>
    <s v="TX501950"/>
    <x v="13"/>
    <x v="20"/>
    <n v="32"/>
    <n v="480"/>
    <x v="70"/>
    <d v="2025-03-14T00:00:00"/>
    <x v="2"/>
    <x v="4"/>
    <x v="0"/>
    <s v="California"/>
    <s v="Santa Clara County"/>
    <x v="1"/>
    <x v="10"/>
    <s v="March"/>
    <x v="2"/>
  </r>
  <r>
    <s v="TX501951"/>
    <x v="10"/>
    <x v="16"/>
    <n v="38.5"/>
    <n v="693"/>
    <x v="71"/>
    <d v="2025-03-14T00:00:00"/>
    <x v="1"/>
    <x v="0"/>
    <x v="2"/>
    <s v="California"/>
    <s v="Santa Clara County"/>
    <x v="3"/>
    <x v="10"/>
    <s v="March"/>
    <x v="1"/>
  </r>
  <r>
    <s v="TX501952"/>
    <x v="0"/>
    <x v="12"/>
    <n v="11.7"/>
    <n v="46.8"/>
    <x v="71"/>
    <d v="2025-03-15T00:00:00"/>
    <x v="2"/>
    <x v="1"/>
    <x v="0"/>
    <s v="California"/>
    <s v="Tulare County"/>
    <x v="1"/>
    <x v="10"/>
    <s v="March"/>
    <x v="2"/>
  </r>
  <r>
    <s v="TX501953"/>
    <x v="3"/>
    <x v="13"/>
    <n v="83.8"/>
    <n v="502.79999999999995"/>
    <x v="71"/>
    <d v="2025-03-14T00:00:00"/>
    <x v="1"/>
    <x v="0"/>
    <x v="0"/>
    <s v="California"/>
    <s v="Alameda County"/>
    <x v="3"/>
    <x v="10"/>
    <s v="March"/>
    <x v="1"/>
  </r>
  <r>
    <s v="TX501954"/>
    <x v="0"/>
    <x v="3"/>
    <n v="14"/>
    <n v="98"/>
    <x v="71"/>
    <d v="2025-03-16T00:00:00"/>
    <x v="1"/>
    <x v="0"/>
    <x v="1"/>
    <s v="California"/>
    <s v="Kern County"/>
    <x v="2"/>
    <x v="10"/>
    <s v="March"/>
    <x v="1"/>
  </r>
  <r>
    <s v="TX501955"/>
    <x v="16"/>
    <x v="12"/>
    <n v="77.3"/>
    <n v="309.2"/>
    <x v="71"/>
    <d v="2025-03-15T00:00:00"/>
    <x v="2"/>
    <x v="4"/>
    <x v="2"/>
    <s v="California"/>
    <s v="Los Angeles County"/>
    <x v="1"/>
    <x v="10"/>
    <s v="March"/>
    <x v="2"/>
  </r>
  <r>
    <s v="TX501956"/>
    <x v="2"/>
    <x v="1"/>
    <n v="76.900000000000006"/>
    <n v="153.80000000000001"/>
    <x v="71"/>
    <d v="2025-03-17T00:00:00"/>
    <x v="2"/>
    <x v="0"/>
    <x v="1"/>
    <s v="California"/>
    <s v="Los Angeles County"/>
    <x v="5"/>
    <x v="10"/>
    <s v="March"/>
    <x v="2"/>
  </r>
  <r>
    <s v="TX501957"/>
    <x v="1"/>
    <x v="0"/>
    <n v="48"/>
    <n v="48"/>
    <x v="71"/>
    <d v="2025-03-15T00:00:00"/>
    <x v="2"/>
    <x v="1"/>
    <x v="2"/>
    <s v="California"/>
    <s v="Los Angeles County"/>
    <x v="1"/>
    <x v="10"/>
    <s v="March"/>
    <x v="2"/>
  </r>
  <r>
    <s v="TX501958"/>
    <x v="2"/>
    <x v="0"/>
    <n v="94.5"/>
    <n v="94.5"/>
    <x v="71"/>
    <d v="2025-03-16T00:00:00"/>
    <x v="1"/>
    <x v="1"/>
    <x v="1"/>
    <s v="California"/>
    <s v="Los Angeles County"/>
    <x v="2"/>
    <x v="10"/>
    <s v="March"/>
    <x v="1"/>
  </r>
  <r>
    <s v="TX501959"/>
    <x v="10"/>
    <x v="2"/>
    <n v="58.4"/>
    <n v="175.2"/>
    <x v="71"/>
    <d v="2025-03-15T00:00:00"/>
    <x v="2"/>
    <x v="1"/>
    <x v="2"/>
    <s v="California"/>
    <s v="Los Angeles County"/>
    <x v="1"/>
    <x v="10"/>
    <s v="March"/>
    <x v="2"/>
  </r>
  <r>
    <s v="TX501960"/>
    <x v="7"/>
    <x v="15"/>
    <n v="42.2"/>
    <n v="548.6"/>
    <x v="71"/>
    <d v="2025-03-13T00:00:00"/>
    <x v="1"/>
    <x v="0"/>
    <x v="0"/>
    <s v="California"/>
    <s v="Orange County"/>
    <x v="7"/>
    <x v="10"/>
    <s v="March"/>
    <x v="1"/>
  </r>
  <r>
    <s v="TX501961"/>
    <x v="6"/>
    <x v="1"/>
    <n v="152.19999999999999"/>
    <n v="304.39999999999998"/>
    <x v="71"/>
    <d v="2025-03-14T00:00:00"/>
    <x v="1"/>
    <x v="4"/>
    <x v="1"/>
    <s v="California"/>
    <s v="Orange County"/>
    <x v="3"/>
    <x v="10"/>
    <s v="March"/>
    <x v="1"/>
  </r>
  <r>
    <s v="TX501962"/>
    <x v="6"/>
    <x v="25"/>
    <n v="72"/>
    <n v="1728"/>
    <x v="71"/>
    <d v="2025-03-14T00:00:00"/>
    <x v="1"/>
    <x v="0"/>
    <x v="1"/>
    <s v="California"/>
    <s v="Sacramento County"/>
    <x v="3"/>
    <x v="10"/>
    <s v="March"/>
    <x v="1"/>
  </r>
  <r>
    <s v="TX501963"/>
    <x v="1"/>
    <x v="44"/>
    <n v="70.900000000000006"/>
    <n v="1630.7"/>
    <x v="71"/>
    <d v="2025-03-14T00:00:00"/>
    <x v="2"/>
    <x v="2"/>
    <x v="0"/>
    <s v="California"/>
    <s v="San Diego County"/>
    <x v="3"/>
    <x v="10"/>
    <s v="March"/>
    <x v="2"/>
  </r>
  <r>
    <s v="TX501964"/>
    <x v="2"/>
    <x v="1"/>
    <n v="53.7"/>
    <n v="107.4"/>
    <x v="71"/>
    <d v="2025-03-14T00:00:00"/>
    <x v="1"/>
    <x v="2"/>
    <x v="2"/>
    <s v="California"/>
    <s v="San Diego County"/>
    <x v="3"/>
    <x v="10"/>
    <s v="March"/>
    <x v="1"/>
  </r>
  <r>
    <s v="TX501965"/>
    <x v="9"/>
    <x v="12"/>
    <n v="42.9"/>
    <n v="171.6"/>
    <x v="71"/>
    <d v="2025-03-14T00:00:00"/>
    <x v="2"/>
    <x v="2"/>
    <x v="4"/>
    <s v="California"/>
    <s v="San Mateo County"/>
    <x v="3"/>
    <x v="10"/>
    <s v="March"/>
    <x v="2"/>
  </r>
  <r>
    <s v="TX501966"/>
    <x v="2"/>
    <x v="3"/>
    <n v="107.5"/>
    <n v="752.5"/>
    <x v="71"/>
    <d v="2025-03-14T00:00:00"/>
    <x v="1"/>
    <x v="1"/>
    <x v="0"/>
    <s v="California"/>
    <s v="Santa Clara County"/>
    <x v="3"/>
    <x v="10"/>
    <s v="March"/>
    <x v="1"/>
  </r>
  <r>
    <s v="TX501967"/>
    <x v="17"/>
    <x v="27"/>
    <n v="21.5"/>
    <n v="344"/>
    <x v="71"/>
    <d v="2025-03-14T00:00:00"/>
    <x v="1"/>
    <x v="1"/>
    <x v="1"/>
    <s v="California"/>
    <s v="Santa Cruz County"/>
    <x v="3"/>
    <x v="10"/>
    <s v="March"/>
    <x v="1"/>
  </r>
  <r>
    <s v="TX501968"/>
    <x v="3"/>
    <x v="9"/>
    <n v="85.3"/>
    <n v="426.5"/>
    <x v="71"/>
    <d v="2025-03-15T00:00:00"/>
    <x v="2"/>
    <x v="3"/>
    <x v="0"/>
    <s v="California"/>
    <s v="Sonoma County"/>
    <x v="1"/>
    <x v="10"/>
    <s v="March"/>
    <x v="2"/>
  </r>
  <r>
    <s v="TX501969"/>
    <x v="7"/>
    <x v="9"/>
    <n v="80.8"/>
    <n v="404"/>
    <x v="71"/>
    <d v="2025-03-21T00:00:00"/>
    <x v="3"/>
    <x v="1"/>
    <x v="1"/>
    <s v="California"/>
    <s v="Stanislaus County"/>
    <x v="9"/>
    <x v="10"/>
    <s v="March"/>
    <x v="3"/>
  </r>
  <r>
    <s v="TX501970"/>
    <x v="2"/>
    <x v="2"/>
    <n v="123.1"/>
    <n v="369.29999999999995"/>
    <x v="71"/>
    <d v="2025-03-15T00:00:00"/>
    <x v="0"/>
    <x v="2"/>
    <x v="0"/>
    <s v="California"/>
    <s v="Alameda County"/>
    <x v="1"/>
    <x v="10"/>
    <s v="March"/>
    <x v="0"/>
  </r>
  <r>
    <s v="TX501971"/>
    <x v="8"/>
    <x v="1"/>
    <n v="36.9"/>
    <n v="73.8"/>
    <x v="71"/>
    <d v="2025-03-15T00:00:00"/>
    <x v="2"/>
    <x v="2"/>
    <x v="4"/>
    <s v="California"/>
    <s v="Butte County"/>
    <x v="1"/>
    <x v="10"/>
    <s v="March"/>
    <x v="2"/>
  </r>
  <r>
    <s v="TX501972"/>
    <x v="11"/>
    <x v="9"/>
    <n v="40"/>
    <n v="200"/>
    <x v="71"/>
    <d v="2025-03-14T00:00:00"/>
    <x v="1"/>
    <x v="0"/>
    <x v="0"/>
    <s v="California"/>
    <s v="Contra Costa County"/>
    <x v="3"/>
    <x v="10"/>
    <s v="March"/>
    <x v="1"/>
  </r>
  <r>
    <s v="TX501973"/>
    <x v="6"/>
    <x v="2"/>
    <n v="55.5"/>
    <n v="166.5"/>
    <x v="71"/>
    <d v="2025-03-14T00:00:00"/>
    <x v="1"/>
    <x v="4"/>
    <x v="2"/>
    <s v="California"/>
    <s v="Contra Costa County"/>
    <x v="3"/>
    <x v="10"/>
    <s v="March"/>
    <x v="1"/>
  </r>
  <r>
    <s v="TX501974"/>
    <x v="0"/>
    <x v="12"/>
    <n v="20.5"/>
    <n v="82"/>
    <x v="71"/>
    <d v="2025-03-17T00:00:00"/>
    <x v="2"/>
    <x v="4"/>
    <x v="0"/>
    <s v="California"/>
    <s v="Contra Costa County"/>
    <x v="5"/>
    <x v="10"/>
    <s v="March"/>
    <x v="2"/>
  </r>
  <r>
    <s v="TX501975"/>
    <x v="18"/>
    <x v="12"/>
    <n v="50.1"/>
    <n v="200.4"/>
    <x v="71"/>
    <d v="2025-03-14T00:00:00"/>
    <x v="2"/>
    <x v="4"/>
    <x v="0"/>
    <s v="California"/>
    <s v="Contra Costa County"/>
    <x v="3"/>
    <x v="10"/>
    <s v="March"/>
    <x v="2"/>
  </r>
  <r>
    <s v="TX501976"/>
    <x v="9"/>
    <x v="0"/>
    <n v="35.9"/>
    <n v="35.9"/>
    <x v="71"/>
    <d v="2025-03-15T00:00:00"/>
    <x v="1"/>
    <x v="1"/>
    <x v="2"/>
    <s v="California"/>
    <s v="Contra Costa County"/>
    <x v="1"/>
    <x v="10"/>
    <s v="March"/>
    <x v="1"/>
  </r>
  <r>
    <s v="TX501977"/>
    <x v="13"/>
    <x v="12"/>
    <n v="29.4"/>
    <n v="117.6"/>
    <x v="72"/>
    <d v="2025-03-15T00:00:00"/>
    <x v="1"/>
    <x v="2"/>
    <x v="2"/>
    <s v="California"/>
    <s v="Imperial County"/>
    <x v="3"/>
    <x v="10"/>
    <s v="March"/>
    <x v="1"/>
  </r>
  <r>
    <s v="TX501978"/>
    <x v="8"/>
    <x v="9"/>
    <n v="29.1"/>
    <n v="145.5"/>
    <x v="72"/>
    <d v="2025-03-22T00:00:00"/>
    <x v="3"/>
    <x v="2"/>
    <x v="1"/>
    <s v="California"/>
    <s v="Imperial County"/>
    <x v="9"/>
    <x v="10"/>
    <s v="March"/>
    <x v="3"/>
  </r>
  <r>
    <s v="TX501979"/>
    <x v="8"/>
    <x v="2"/>
    <n v="33.5"/>
    <n v="100.5"/>
    <x v="72"/>
    <d v="2025-03-26T00:00:00"/>
    <x v="1"/>
    <x v="0"/>
    <x v="2"/>
    <s v="California"/>
    <s v="Kern County"/>
    <x v="13"/>
    <x v="10"/>
    <s v="March"/>
    <x v="1"/>
  </r>
  <r>
    <s v="TX501980"/>
    <x v="4"/>
    <x v="7"/>
    <n v="36"/>
    <n v="360"/>
    <x v="72"/>
    <d v="2025-03-14T00:00:00"/>
    <x v="1"/>
    <x v="3"/>
    <x v="2"/>
    <s v="California"/>
    <s v="Los Angeles County"/>
    <x v="7"/>
    <x v="10"/>
    <s v="March"/>
    <x v="1"/>
  </r>
  <r>
    <s v="TX501981"/>
    <x v="16"/>
    <x v="2"/>
    <n v="57.3"/>
    <n v="171.89999999999998"/>
    <x v="72"/>
    <d v="2025-03-18T00:00:00"/>
    <x v="2"/>
    <x v="0"/>
    <x v="2"/>
    <s v="California"/>
    <s v="Los Angeles County"/>
    <x v="5"/>
    <x v="10"/>
    <s v="March"/>
    <x v="2"/>
  </r>
  <r>
    <s v="TX501982"/>
    <x v="1"/>
    <x v="0"/>
    <n v="81.400000000000006"/>
    <n v="81.400000000000006"/>
    <x v="72"/>
    <d v="2025-03-15T00:00:00"/>
    <x v="2"/>
    <x v="2"/>
    <x v="2"/>
    <s v="California"/>
    <s v="Los Angeles County"/>
    <x v="3"/>
    <x v="10"/>
    <s v="March"/>
    <x v="2"/>
  </r>
  <r>
    <s v="TX501983"/>
    <x v="10"/>
    <x v="1"/>
    <n v="35.299999999999997"/>
    <n v="70.599999999999994"/>
    <x v="72"/>
    <d v="2025-03-18T00:00:00"/>
    <x v="1"/>
    <x v="0"/>
    <x v="2"/>
    <s v="California"/>
    <s v="Los Angeles County"/>
    <x v="5"/>
    <x v="10"/>
    <s v="March"/>
    <x v="1"/>
  </r>
  <r>
    <s v="TX501984"/>
    <x v="3"/>
    <x v="0"/>
    <n v="36.1"/>
    <n v="36.1"/>
    <x v="72"/>
    <d v="2025-03-15T00:00:00"/>
    <x v="2"/>
    <x v="4"/>
    <x v="0"/>
    <s v="California"/>
    <s v="Los Angeles County"/>
    <x v="3"/>
    <x v="10"/>
    <s v="March"/>
    <x v="2"/>
  </r>
  <r>
    <s v="TX501985"/>
    <x v="1"/>
    <x v="1"/>
    <n v="36.700000000000003"/>
    <n v="73.400000000000006"/>
    <x v="72"/>
    <d v="2025-03-16T00:00:00"/>
    <x v="2"/>
    <x v="0"/>
    <x v="2"/>
    <s v="California"/>
    <s v="Los Angeles County"/>
    <x v="1"/>
    <x v="10"/>
    <s v="March"/>
    <x v="2"/>
  </r>
  <r>
    <s v="TX501986"/>
    <x v="10"/>
    <x v="0"/>
    <n v="20.9"/>
    <n v="20.9"/>
    <x v="72"/>
    <d v="2025-03-16T00:00:00"/>
    <x v="2"/>
    <x v="0"/>
    <x v="4"/>
    <s v="California"/>
    <s v="Los Angeles County"/>
    <x v="1"/>
    <x v="10"/>
    <s v="March"/>
    <x v="2"/>
  </r>
  <r>
    <s v="TX501987"/>
    <x v="12"/>
    <x v="2"/>
    <n v="58.8"/>
    <n v="176.39999999999998"/>
    <x v="72"/>
    <d v="2025-03-18T00:00:00"/>
    <x v="1"/>
    <x v="0"/>
    <x v="2"/>
    <s v="California"/>
    <s v="Orange County"/>
    <x v="5"/>
    <x v="10"/>
    <s v="March"/>
    <x v="1"/>
  </r>
  <r>
    <s v="TX501988"/>
    <x v="2"/>
    <x v="2"/>
    <n v="97.6"/>
    <n v="292.79999999999995"/>
    <x v="73"/>
    <d v="2025-03-17T00:00:00"/>
    <x v="0"/>
    <x v="0"/>
    <x v="0"/>
    <s v="California"/>
    <s v="Sacramento County"/>
    <x v="1"/>
    <x v="10"/>
    <s v="March"/>
    <x v="0"/>
  </r>
  <r>
    <s v="TX501989"/>
    <x v="1"/>
    <x v="1"/>
    <n v="58.7"/>
    <n v="117.4"/>
    <x v="73"/>
    <d v="2025-03-18T00:00:00"/>
    <x v="2"/>
    <x v="0"/>
    <x v="1"/>
    <s v="California"/>
    <s v="Sacramento County"/>
    <x v="2"/>
    <x v="10"/>
    <s v="March"/>
    <x v="2"/>
  </r>
  <r>
    <s v="TX501990"/>
    <x v="6"/>
    <x v="9"/>
    <n v="71.900000000000006"/>
    <n v="359.5"/>
    <x v="73"/>
    <d v="2025-03-16T00:00:00"/>
    <x v="0"/>
    <x v="0"/>
    <x v="1"/>
    <s v="California"/>
    <s v="Sacramento County"/>
    <x v="3"/>
    <x v="10"/>
    <s v="March"/>
    <x v="0"/>
  </r>
  <r>
    <s v="TX501991"/>
    <x v="1"/>
    <x v="1"/>
    <n v="62.4"/>
    <n v="124.8"/>
    <x v="73"/>
    <d v="2025-03-17T00:00:00"/>
    <x v="0"/>
    <x v="0"/>
    <x v="1"/>
    <s v="California"/>
    <s v="San Diego County"/>
    <x v="1"/>
    <x v="10"/>
    <s v="March"/>
    <x v="0"/>
  </r>
  <r>
    <s v="TX501992"/>
    <x v="6"/>
    <x v="27"/>
    <n v="53.8"/>
    <n v="860.8"/>
    <x v="73"/>
    <d v="2025-03-16T00:00:00"/>
    <x v="2"/>
    <x v="1"/>
    <x v="0"/>
    <s v="California"/>
    <s v="San Diego County"/>
    <x v="3"/>
    <x v="10"/>
    <s v="March"/>
    <x v="2"/>
  </r>
  <r>
    <s v="TX501993"/>
    <x v="9"/>
    <x v="0"/>
    <n v="43.8"/>
    <n v="43.8"/>
    <x v="73"/>
    <d v="2025-03-22T00:00:00"/>
    <x v="2"/>
    <x v="0"/>
    <x v="2"/>
    <s v="California"/>
    <s v="San Diego County"/>
    <x v="6"/>
    <x v="10"/>
    <s v="March"/>
    <x v="2"/>
  </r>
  <r>
    <s v="TX501994"/>
    <x v="5"/>
    <x v="2"/>
    <n v="53.6"/>
    <n v="160.80000000000001"/>
    <x v="73"/>
    <d v="2025-03-16T00:00:00"/>
    <x v="1"/>
    <x v="3"/>
    <x v="0"/>
    <s v="California"/>
    <s v="San Diego County"/>
    <x v="3"/>
    <x v="10"/>
    <s v="March"/>
    <x v="1"/>
  </r>
  <r>
    <s v="TX501995"/>
    <x v="12"/>
    <x v="1"/>
    <n v="84.3"/>
    <n v="168.6"/>
    <x v="73"/>
    <d v="2025-03-18T00:00:00"/>
    <x v="1"/>
    <x v="4"/>
    <x v="1"/>
    <s v="California"/>
    <s v="San Diego County"/>
    <x v="2"/>
    <x v="10"/>
    <s v="March"/>
    <x v="1"/>
  </r>
  <r>
    <s v="TX501996"/>
    <x v="6"/>
    <x v="11"/>
    <n v="117.9"/>
    <n v="1061.1000000000001"/>
    <x v="73"/>
    <d v="2025-03-16T00:00:00"/>
    <x v="2"/>
    <x v="1"/>
    <x v="2"/>
    <s v="California"/>
    <s v="San Diego County"/>
    <x v="3"/>
    <x v="10"/>
    <s v="March"/>
    <x v="2"/>
  </r>
  <r>
    <s v="TX501997"/>
    <x v="4"/>
    <x v="8"/>
    <n v="30"/>
    <n v="240"/>
    <x v="73"/>
    <d v="2025-03-16T00:00:00"/>
    <x v="2"/>
    <x v="1"/>
    <x v="0"/>
    <s v="California"/>
    <s v="San Joaquin County"/>
    <x v="3"/>
    <x v="10"/>
    <s v="March"/>
    <x v="2"/>
  </r>
  <r>
    <s v="TX501998"/>
    <x v="14"/>
    <x v="2"/>
    <n v="37.299999999999997"/>
    <n v="111.89999999999999"/>
    <x v="73"/>
    <d v="2025-03-16T00:00:00"/>
    <x v="1"/>
    <x v="2"/>
    <x v="0"/>
    <s v="California"/>
    <s v="San Mateo County"/>
    <x v="3"/>
    <x v="10"/>
    <s v="March"/>
    <x v="1"/>
  </r>
  <r>
    <s v="TX501999"/>
    <x v="4"/>
    <x v="11"/>
    <n v="25.1"/>
    <n v="225.9"/>
    <x v="73"/>
    <d v="2025-03-17T00:00:00"/>
    <x v="1"/>
    <x v="1"/>
    <x v="2"/>
    <s v="California"/>
    <s v="Santa Clara County"/>
    <x v="1"/>
    <x v="10"/>
    <s v="March"/>
    <x v="1"/>
  </r>
  <r>
    <s v="TX502000"/>
    <x v="8"/>
    <x v="5"/>
    <n v="36"/>
    <n v="396"/>
    <x v="73"/>
    <d v="2025-03-25T00:00:00"/>
    <x v="1"/>
    <x v="1"/>
    <x v="0"/>
    <s v="California"/>
    <s v="Sonoma County"/>
    <x v="14"/>
    <x v="10"/>
    <s v="March"/>
    <x v="1"/>
  </r>
  <r>
    <s v="TX502001"/>
    <x v="16"/>
    <x v="2"/>
    <n v="48.5"/>
    <n v="145.5"/>
    <x v="73"/>
    <d v="2025-03-19T00:00:00"/>
    <x v="2"/>
    <x v="1"/>
    <x v="0"/>
    <s v="California"/>
    <s v="Stanislaus County"/>
    <x v="5"/>
    <x v="10"/>
    <s v="March"/>
    <x v="2"/>
  </r>
  <r>
    <s v="TX502002"/>
    <x v="17"/>
    <x v="13"/>
    <n v="21.1"/>
    <n v="126.60000000000001"/>
    <x v="73"/>
    <d v="2025-03-16T00:00:00"/>
    <x v="1"/>
    <x v="1"/>
    <x v="2"/>
    <s v="California"/>
    <s v="Alameda County"/>
    <x v="3"/>
    <x v="10"/>
    <s v="March"/>
    <x v="1"/>
  </r>
  <r>
    <s v="TX502003"/>
    <x v="15"/>
    <x v="21"/>
    <n v="43.2"/>
    <n v="604.80000000000007"/>
    <x v="73"/>
    <d v="2025-03-16T00:00:00"/>
    <x v="3"/>
    <x v="0"/>
    <x v="1"/>
    <s v="California"/>
    <s v="Alameda County"/>
    <x v="3"/>
    <x v="10"/>
    <s v="March"/>
    <x v="3"/>
  </r>
  <r>
    <s v="TX502004"/>
    <x v="9"/>
    <x v="1"/>
    <n v="21.1"/>
    <n v="42.2"/>
    <x v="73"/>
    <d v="2025-03-16T00:00:00"/>
    <x v="0"/>
    <x v="3"/>
    <x v="1"/>
    <s v="California"/>
    <s v="Alameda County"/>
    <x v="3"/>
    <x v="10"/>
    <s v="March"/>
    <x v="0"/>
  </r>
  <r>
    <s v="TX502005"/>
    <x v="6"/>
    <x v="12"/>
    <n v="41.3"/>
    <n v="165.2"/>
    <x v="73"/>
    <d v="2025-03-17T00:00:00"/>
    <x v="2"/>
    <x v="3"/>
    <x v="2"/>
    <s v="California"/>
    <s v="Contra Costa County"/>
    <x v="1"/>
    <x v="10"/>
    <s v="March"/>
    <x v="2"/>
  </r>
  <r>
    <s v="TX502006"/>
    <x v="8"/>
    <x v="1"/>
    <n v="15.3"/>
    <n v="30.6"/>
    <x v="73"/>
    <d v="2025-03-18T00:00:00"/>
    <x v="0"/>
    <x v="2"/>
    <x v="2"/>
    <s v="California"/>
    <s v="Contra Costa County"/>
    <x v="2"/>
    <x v="10"/>
    <s v="March"/>
    <x v="0"/>
  </r>
  <r>
    <s v="TX502007"/>
    <x v="1"/>
    <x v="0"/>
    <n v="54.6"/>
    <n v="54.6"/>
    <x v="73"/>
    <d v="2025-03-17T00:00:00"/>
    <x v="1"/>
    <x v="1"/>
    <x v="1"/>
    <s v="California"/>
    <s v="Fresno County"/>
    <x v="1"/>
    <x v="10"/>
    <s v="March"/>
    <x v="1"/>
  </r>
  <r>
    <s v="TX502008"/>
    <x v="8"/>
    <x v="0"/>
    <n v="15.9"/>
    <n v="15.9"/>
    <x v="73"/>
    <d v="2025-03-16T00:00:00"/>
    <x v="1"/>
    <x v="0"/>
    <x v="1"/>
    <s v="California"/>
    <s v="Kern County"/>
    <x v="3"/>
    <x v="10"/>
    <s v="March"/>
    <x v="1"/>
  </r>
  <r>
    <s v="TX502009"/>
    <x v="9"/>
    <x v="0"/>
    <n v="50.2"/>
    <n v="50.2"/>
    <x v="73"/>
    <d v="2025-03-17T00:00:00"/>
    <x v="2"/>
    <x v="3"/>
    <x v="2"/>
    <s v="California"/>
    <s v="Kings County"/>
    <x v="1"/>
    <x v="10"/>
    <s v="March"/>
    <x v="2"/>
  </r>
  <r>
    <s v="TX502010"/>
    <x v="11"/>
    <x v="12"/>
    <n v="85.1"/>
    <n v="340.4"/>
    <x v="73"/>
    <d v="2025-03-16T00:00:00"/>
    <x v="2"/>
    <x v="3"/>
    <x v="4"/>
    <s v="California"/>
    <s v="Kings County"/>
    <x v="3"/>
    <x v="10"/>
    <s v="March"/>
    <x v="2"/>
  </r>
  <r>
    <s v="TX502011"/>
    <x v="11"/>
    <x v="1"/>
    <n v="41.4"/>
    <n v="82.8"/>
    <x v="73"/>
    <d v="2025-03-16T00:00:00"/>
    <x v="2"/>
    <x v="0"/>
    <x v="2"/>
    <s v="California"/>
    <s v="Los Angeles County"/>
    <x v="3"/>
    <x v="10"/>
    <s v="March"/>
    <x v="2"/>
  </r>
  <r>
    <s v="TX502012"/>
    <x v="4"/>
    <x v="3"/>
    <n v="32.700000000000003"/>
    <n v="228.90000000000003"/>
    <x v="73"/>
    <d v="2025-03-16T00:00:00"/>
    <x v="2"/>
    <x v="2"/>
    <x v="1"/>
    <s v="California"/>
    <s v="Los Angeles County"/>
    <x v="3"/>
    <x v="10"/>
    <s v="March"/>
    <x v="2"/>
  </r>
  <r>
    <s v="TX502013"/>
    <x v="4"/>
    <x v="1"/>
    <n v="41.6"/>
    <n v="83.2"/>
    <x v="73"/>
    <d v="2025-03-17T00:00:00"/>
    <x v="1"/>
    <x v="4"/>
    <x v="1"/>
    <s v="California"/>
    <s v="Los Angeles County"/>
    <x v="1"/>
    <x v="10"/>
    <s v="March"/>
    <x v="1"/>
  </r>
  <r>
    <s v="TX502014"/>
    <x v="5"/>
    <x v="12"/>
    <n v="64.8"/>
    <n v="259.2"/>
    <x v="73"/>
    <d v="2025-03-16T00:00:00"/>
    <x v="0"/>
    <x v="2"/>
    <x v="0"/>
    <s v="California"/>
    <s v="Los Angeles County"/>
    <x v="3"/>
    <x v="10"/>
    <s v="March"/>
    <x v="0"/>
  </r>
  <r>
    <s v="TX502015"/>
    <x v="15"/>
    <x v="1"/>
    <n v="33.6"/>
    <n v="67.2"/>
    <x v="73"/>
    <d v="2025-03-16T00:00:00"/>
    <x v="1"/>
    <x v="0"/>
    <x v="2"/>
    <s v="California"/>
    <s v="Los Angeles County"/>
    <x v="3"/>
    <x v="10"/>
    <s v="March"/>
    <x v="1"/>
  </r>
  <r>
    <s v="TX502016"/>
    <x v="6"/>
    <x v="2"/>
    <n v="100.7"/>
    <n v="302.10000000000002"/>
    <x v="73"/>
    <d v="2025-03-16T00:00:00"/>
    <x v="0"/>
    <x v="1"/>
    <x v="0"/>
    <s v="California"/>
    <s v="Los Angeles County"/>
    <x v="3"/>
    <x v="10"/>
    <s v="March"/>
    <x v="0"/>
  </r>
  <r>
    <s v="TX502017"/>
    <x v="4"/>
    <x v="1"/>
    <n v="49.3"/>
    <n v="98.6"/>
    <x v="74"/>
    <d v="2025-03-18T00:00:00"/>
    <x v="2"/>
    <x v="4"/>
    <x v="2"/>
    <s v="California"/>
    <s v="Los Angeles County"/>
    <x v="1"/>
    <x v="11"/>
    <s v="March"/>
    <x v="2"/>
  </r>
  <r>
    <s v="TX502018"/>
    <x v="2"/>
    <x v="13"/>
    <n v="97"/>
    <n v="582"/>
    <x v="74"/>
    <d v="2025-03-19T00:00:00"/>
    <x v="1"/>
    <x v="2"/>
    <x v="2"/>
    <s v="California"/>
    <s v="Los Angeles County"/>
    <x v="2"/>
    <x v="11"/>
    <s v="March"/>
    <x v="1"/>
  </r>
  <r>
    <s v="TX502019"/>
    <x v="0"/>
    <x v="13"/>
    <n v="25.2"/>
    <n v="151.19999999999999"/>
    <x v="74"/>
    <d v="2025-03-19T00:00:00"/>
    <x v="2"/>
    <x v="4"/>
    <x v="2"/>
    <s v="California"/>
    <s v="Los Angeles County"/>
    <x v="2"/>
    <x v="11"/>
    <s v="March"/>
    <x v="2"/>
  </r>
  <r>
    <s v="TX502020"/>
    <x v="0"/>
    <x v="5"/>
    <n v="12.2"/>
    <n v="134.19999999999999"/>
    <x v="74"/>
    <d v="2025-03-17T00:00:00"/>
    <x v="0"/>
    <x v="0"/>
    <x v="1"/>
    <s v="California"/>
    <s v="Los Angeles County"/>
    <x v="3"/>
    <x v="11"/>
    <s v="March"/>
    <x v="0"/>
  </r>
  <r>
    <s v="TX502021"/>
    <x v="8"/>
    <x v="3"/>
    <n v="38.799999999999997"/>
    <n v="271.59999999999997"/>
    <x v="74"/>
    <d v="2025-03-18T00:00:00"/>
    <x v="2"/>
    <x v="1"/>
    <x v="1"/>
    <s v="California"/>
    <s v="Riverside County"/>
    <x v="1"/>
    <x v="11"/>
    <s v="March"/>
    <x v="2"/>
  </r>
  <r>
    <s v="TX502022"/>
    <x v="2"/>
    <x v="12"/>
    <n v="53.2"/>
    <n v="212.8"/>
    <x v="74"/>
    <d v="2025-03-17T00:00:00"/>
    <x v="1"/>
    <x v="0"/>
    <x v="2"/>
    <s v="California"/>
    <s v="San Diego County"/>
    <x v="3"/>
    <x v="11"/>
    <s v="March"/>
    <x v="1"/>
  </r>
  <r>
    <s v="TX502023"/>
    <x v="6"/>
    <x v="3"/>
    <n v="151"/>
    <n v="1057"/>
    <x v="74"/>
    <d v="2025-03-17T00:00:00"/>
    <x v="3"/>
    <x v="1"/>
    <x v="1"/>
    <s v="California"/>
    <s v="San Diego County"/>
    <x v="3"/>
    <x v="11"/>
    <s v="March"/>
    <x v="3"/>
  </r>
  <r>
    <s v="TX502024"/>
    <x v="1"/>
    <x v="1"/>
    <n v="37.1"/>
    <n v="74.2"/>
    <x v="74"/>
    <d v="2025-03-17T00:00:00"/>
    <x v="2"/>
    <x v="4"/>
    <x v="0"/>
    <s v="California"/>
    <s v="San Diego County"/>
    <x v="3"/>
    <x v="11"/>
    <s v="March"/>
    <x v="2"/>
  </r>
  <r>
    <s v="TX502025"/>
    <x v="5"/>
    <x v="1"/>
    <n v="38.9"/>
    <n v="77.8"/>
    <x v="74"/>
    <d v="2025-03-17T00:00:00"/>
    <x v="1"/>
    <x v="4"/>
    <x v="0"/>
    <s v="California"/>
    <s v="San Diego County"/>
    <x v="3"/>
    <x v="11"/>
    <s v="March"/>
    <x v="1"/>
  </r>
  <r>
    <s v="TX502026"/>
    <x v="10"/>
    <x v="1"/>
    <n v="35.200000000000003"/>
    <n v="70.400000000000006"/>
    <x v="74"/>
    <d v="2025-03-17T00:00:00"/>
    <x v="1"/>
    <x v="0"/>
    <x v="2"/>
    <s v="California"/>
    <s v="San Francisco"/>
    <x v="3"/>
    <x v="11"/>
    <s v="March"/>
    <x v="1"/>
  </r>
  <r>
    <s v="TX502027"/>
    <x v="0"/>
    <x v="1"/>
    <n v="22.3"/>
    <n v="44.6"/>
    <x v="74"/>
    <d v="2025-03-18T00:00:00"/>
    <x v="2"/>
    <x v="1"/>
    <x v="0"/>
    <s v="California"/>
    <s v="San Mateo County"/>
    <x v="1"/>
    <x v="11"/>
    <s v="March"/>
    <x v="2"/>
  </r>
  <r>
    <s v="TX502028"/>
    <x v="9"/>
    <x v="0"/>
    <n v="43.3"/>
    <n v="43.3"/>
    <x v="74"/>
    <d v="2025-03-19T00:00:00"/>
    <x v="2"/>
    <x v="0"/>
    <x v="2"/>
    <s v="California"/>
    <s v="Santa Clara County"/>
    <x v="2"/>
    <x v="11"/>
    <s v="March"/>
    <x v="2"/>
  </r>
  <r>
    <s v="TX502029"/>
    <x v="6"/>
    <x v="13"/>
    <n v="75.900000000000006"/>
    <n v="455.40000000000003"/>
    <x v="74"/>
    <d v="2025-03-22T00:00:00"/>
    <x v="1"/>
    <x v="0"/>
    <x v="0"/>
    <s v="California"/>
    <s v="Santa Clara County"/>
    <x v="4"/>
    <x v="11"/>
    <s v="March"/>
    <x v="1"/>
  </r>
  <r>
    <s v="TX502030"/>
    <x v="6"/>
    <x v="2"/>
    <n v="78.7"/>
    <n v="236.10000000000002"/>
    <x v="74"/>
    <d v="2025-03-20T00:00:00"/>
    <x v="2"/>
    <x v="2"/>
    <x v="1"/>
    <s v="California"/>
    <s v="Santa Clara County"/>
    <x v="5"/>
    <x v="11"/>
    <s v="March"/>
    <x v="2"/>
  </r>
  <r>
    <s v="TX502031"/>
    <x v="1"/>
    <x v="0"/>
    <n v="66.3"/>
    <n v="66.3"/>
    <x v="74"/>
    <d v="2025-03-20T00:00:00"/>
    <x v="2"/>
    <x v="0"/>
    <x v="2"/>
    <s v="California"/>
    <s v="Stanislaus County"/>
    <x v="5"/>
    <x v="11"/>
    <s v="March"/>
    <x v="2"/>
  </r>
  <r>
    <s v="TX502032"/>
    <x v="8"/>
    <x v="1"/>
    <n v="33.6"/>
    <n v="67.2"/>
    <x v="74"/>
    <d v="2025-03-16T00:00:00"/>
    <x v="1"/>
    <x v="0"/>
    <x v="1"/>
    <s v="California"/>
    <s v="Stanislaus County"/>
    <x v="7"/>
    <x v="11"/>
    <s v="March"/>
    <x v="1"/>
  </r>
  <r>
    <s v="TX502033"/>
    <x v="2"/>
    <x v="3"/>
    <n v="61.4"/>
    <n v="429.8"/>
    <x v="74"/>
    <d v="2025-03-17T00:00:00"/>
    <x v="1"/>
    <x v="4"/>
    <x v="0"/>
    <s v="California"/>
    <s v="Stanislaus County"/>
    <x v="3"/>
    <x v="11"/>
    <s v="March"/>
    <x v="1"/>
  </r>
  <r>
    <s v="TX502034"/>
    <x v="8"/>
    <x v="1"/>
    <n v="17.5"/>
    <n v="35"/>
    <x v="74"/>
    <d v="2025-03-19T00:00:00"/>
    <x v="2"/>
    <x v="0"/>
    <x v="0"/>
    <s v="California"/>
    <s v="Alameda County"/>
    <x v="2"/>
    <x v="11"/>
    <s v="March"/>
    <x v="2"/>
  </r>
  <r>
    <s v="TX502035"/>
    <x v="8"/>
    <x v="1"/>
    <n v="32.5"/>
    <n v="65"/>
    <x v="74"/>
    <d v="2025-03-19T00:00:00"/>
    <x v="2"/>
    <x v="1"/>
    <x v="0"/>
    <s v="California"/>
    <s v="Alameda County"/>
    <x v="2"/>
    <x v="11"/>
    <s v="March"/>
    <x v="2"/>
  </r>
  <r>
    <s v="TX502036"/>
    <x v="4"/>
    <x v="0"/>
    <n v="34.6"/>
    <n v="34.6"/>
    <x v="74"/>
    <d v="2025-03-17T00:00:00"/>
    <x v="2"/>
    <x v="4"/>
    <x v="0"/>
    <s v="California"/>
    <s v="Alameda County"/>
    <x v="3"/>
    <x v="11"/>
    <s v="March"/>
    <x v="2"/>
  </r>
  <r>
    <s v="TX502037"/>
    <x v="2"/>
    <x v="0"/>
    <n v="75.900000000000006"/>
    <n v="75.900000000000006"/>
    <x v="74"/>
    <d v="2025-03-16T00:00:00"/>
    <x v="1"/>
    <x v="1"/>
    <x v="2"/>
    <s v="California"/>
    <s v="Alameda County"/>
    <x v="7"/>
    <x v="11"/>
    <s v="March"/>
    <x v="1"/>
  </r>
  <r>
    <s v="TX502038"/>
    <x v="1"/>
    <x v="2"/>
    <n v="42.1"/>
    <n v="126.30000000000001"/>
    <x v="74"/>
    <d v="2025-03-19T00:00:00"/>
    <x v="1"/>
    <x v="1"/>
    <x v="1"/>
    <s v="California"/>
    <s v="Alameda County"/>
    <x v="2"/>
    <x v="11"/>
    <s v="March"/>
    <x v="1"/>
  </r>
  <r>
    <s v="TX502039"/>
    <x v="7"/>
    <x v="2"/>
    <n v="65.3"/>
    <n v="195.89999999999998"/>
    <x v="74"/>
    <d v="2025-03-23T00:00:00"/>
    <x v="1"/>
    <x v="0"/>
    <x v="0"/>
    <s v="California"/>
    <s v="Contra Costa County"/>
    <x v="6"/>
    <x v="11"/>
    <s v="March"/>
    <x v="1"/>
  </r>
  <r>
    <s v="TX502040"/>
    <x v="15"/>
    <x v="0"/>
    <n v="20.6"/>
    <n v="20.6"/>
    <x v="74"/>
    <d v="2025-03-19T00:00:00"/>
    <x v="1"/>
    <x v="3"/>
    <x v="0"/>
    <s v="California"/>
    <s v="El Dorado County"/>
    <x v="2"/>
    <x v="11"/>
    <s v="March"/>
    <x v="1"/>
  </r>
  <r>
    <s v="TX502041"/>
    <x v="8"/>
    <x v="3"/>
    <n v="16.5"/>
    <n v="115.5"/>
    <x v="74"/>
    <d v="2025-03-17T00:00:00"/>
    <x v="1"/>
    <x v="1"/>
    <x v="1"/>
    <s v="California"/>
    <s v="Fresno County"/>
    <x v="3"/>
    <x v="11"/>
    <s v="March"/>
    <x v="1"/>
  </r>
  <r>
    <s v="TX502042"/>
    <x v="16"/>
    <x v="7"/>
    <n v="36.200000000000003"/>
    <n v="362"/>
    <x v="74"/>
    <d v="2025-03-18T00:00:00"/>
    <x v="1"/>
    <x v="0"/>
    <x v="2"/>
    <s v="California"/>
    <s v="Fresno County"/>
    <x v="1"/>
    <x v="11"/>
    <s v="March"/>
    <x v="1"/>
  </r>
  <r>
    <s v="TX502043"/>
    <x v="6"/>
    <x v="0"/>
    <n v="53.2"/>
    <n v="53.2"/>
    <x v="74"/>
    <d v="2025-03-17T00:00:00"/>
    <x v="2"/>
    <x v="0"/>
    <x v="1"/>
    <s v="California"/>
    <s v="Kern County"/>
    <x v="3"/>
    <x v="11"/>
    <s v="March"/>
    <x v="2"/>
  </r>
  <r>
    <s v="TX502044"/>
    <x v="2"/>
    <x v="21"/>
    <n v="176"/>
    <n v="2464"/>
    <x v="74"/>
    <d v="2025-03-17T00:00:00"/>
    <x v="2"/>
    <x v="0"/>
    <x v="1"/>
    <s v="California"/>
    <s v="Los Angeles County"/>
    <x v="3"/>
    <x v="11"/>
    <s v="March"/>
    <x v="2"/>
  </r>
  <r>
    <s v="TX502045"/>
    <x v="1"/>
    <x v="0"/>
    <n v="52.4"/>
    <n v="52.4"/>
    <x v="74"/>
    <d v="2025-03-17T00:00:00"/>
    <x v="1"/>
    <x v="1"/>
    <x v="0"/>
    <s v="California"/>
    <s v="Los Angeles County"/>
    <x v="3"/>
    <x v="11"/>
    <s v="March"/>
    <x v="1"/>
  </r>
  <r>
    <s v="TX502046"/>
    <x v="10"/>
    <x v="2"/>
    <n v="48.2"/>
    <n v="144.60000000000002"/>
    <x v="74"/>
    <d v="2025-03-17T00:00:00"/>
    <x v="2"/>
    <x v="1"/>
    <x v="2"/>
    <s v="California"/>
    <s v="Los Angeles County"/>
    <x v="3"/>
    <x v="11"/>
    <s v="March"/>
    <x v="2"/>
  </r>
  <r>
    <s v="TX502047"/>
    <x v="15"/>
    <x v="0"/>
    <n v="51.6"/>
    <n v="51.6"/>
    <x v="74"/>
    <d v="2025-03-20T00:00:00"/>
    <x v="2"/>
    <x v="2"/>
    <x v="1"/>
    <s v="California"/>
    <s v="Los Angeles County"/>
    <x v="5"/>
    <x v="11"/>
    <s v="March"/>
    <x v="2"/>
  </r>
  <r>
    <s v="TX502048"/>
    <x v="0"/>
    <x v="12"/>
    <n v="33.700000000000003"/>
    <n v="134.80000000000001"/>
    <x v="75"/>
    <d v="2025-03-18T00:00:00"/>
    <x v="1"/>
    <x v="0"/>
    <x v="0"/>
    <s v="California"/>
    <s v="Los Angeles County"/>
    <x v="3"/>
    <x v="11"/>
    <s v="March"/>
    <x v="1"/>
  </r>
  <r>
    <s v="TX502049"/>
    <x v="4"/>
    <x v="7"/>
    <n v="36.299999999999997"/>
    <n v="363"/>
    <x v="75"/>
    <d v="2025-03-19T00:00:00"/>
    <x v="2"/>
    <x v="4"/>
    <x v="1"/>
    <s v="California"/>
    <s v="Los Angeles County"/>
    <x v="1"/>
    <x v="11"/>
    <s v="March"/>
    <x v="2"/>
  </r>
  <r>
    <s v="TX502050"/>
    <x v="8"/>
    <x v="0"/>
    <n v="23.4"/>
    <n v="23.4"/>
    <x v="75"/>
    <d v="2025-03-22T00:00:00"/>
    <x v="2"/>
    <x v="1"/>
    <x v="2"/>
    <s v="California"/>
    <s v="Los Angeles County"/>
    <x v="0"/>
    <x v="11"/>
    <s v="March"/>
    <x v="2"/>
  </r>
  <r>
    <s v="TX502051"/>
    <x v="15"/>
    <x v="8"/>
    <n v="56.6"/>
    <n v="452.8"/>
    <x v="75"/>
    <d v="2025-03-19T00:00:00"/>
    <x v="2"/>
    <x v="1"/>
    <x v="0"/>
    <s v="California"/>
    <s v="Los Angeles County"/>
    <x v="1"/>
    <x v="11"/>
    <s v="March"/>
    <x v="2"/>
  </r>
  <r>
    <s v="TX502052"/>
    <x v="15"/>
    <x v="1"/>
    <n v="26.8"/>
    <n v="53.6"/>
    <x v="75"/>
    <d v="2025-03-18T00:00:00"/>
    <x v="1"/>
    <x v="0"/>
    <x v="0"/>
    <s v="California"/>
    <s v="Nevada County"/>
    <x v="3"/>
    <x v="11"/>
    <s v="March"/>
    <x v="1"/>
  </r>
  <r>
    <s v="TX502053"/>
    <x v="0"/>
    <x v="2"/>
    <n v="11.3"/>
    <n v="33.900000000000006"/>
    <x v="75"/>
    <d v="2025-03-19T00:00:00"/>
    <x v="1"/>
    <x v="2"/>
    <x v="0"/>
    <s v="California"/>
    <s v="Orange County"/>
    <x v="1"/>
    <x v="11"/>
    <s v="March"/>
    <x v="1"/>
  </r>
  <r>
    <s v="TX502054"/>
    <x v="6"/>
    <x v="2"/>
    <n v="60.1"/>
    <n v="180.3"/>
    <x v="75"/>
    <d v="2025-03-20T00:00:00"/>
    <x v="2"/>
    <x v="0"/>
    <x v="0"/>
    <s v="California"/>
    <s v="San Bernardino County"/>
    <x v="2"/>
    <x v="11"/>
    <s v="March"/>
    <x v="2"/>
  </r>
  <r>
    <s v="TX502055"/>
    <x v="0"/>
    <x v="5"/>
    <n v="27.7"/>
    <n v="304.7"/>
    <x v="75"/>
    <d v="2025-03-22T00:00:00"/>
    <x v="2"/>
    <x v="0"/>
    <x v="0"/>
    <s v="California"/>
    <s v="San Diego County"/>
    <x v="0"/>
    <x v="11"/>
    <s v="March"/>
    <x v="2"/>
  </r>
  <r>
    <s v="TX502056"/>
    <x v="15"/>
    <x v="0"/>
    <n v="71.400000000000006"/>
    <n v="71.400000000000006"/>
    <x v="75"/>
    <d v="2025-03-20T00:00:00"/>
    <x v="1"/>
    <x v="0"/>
    <x v="2"/>
    <s v="California"/>
    <s v="San Diego County"/>
    <x v="2"/>
    <x v="11"/>
    <s v="March"/>
    <x v="1"/>
  </r>
  <r>
    <s v="TX502057"/>
    <x v="2"/>
    <x v="1"/>
    <n v="66.7"/>
    <n v="133.4"/>
    <x v="75"/>
    <d v="2025-03-18T00:00:00"/>
    <x v="2"/>
    <x v="0"/>
    <x v="2"/>
    <s v="California"/>
    <s v="San Diego County"/>
    <x v="3"/>
    <x v="11"/>
    <s v="March"/>
    <x v="2"/>
  </r>
  <r>
    <s v="TX502058"/>
    <x v="13"/>
    <x v="9"/>
    <n v="39.1"/>
    <n v="195.5"/>
    <x v="75"/>
    <d v="2025-03-18T00:00:00"/>
    <x v="2"/>
    <x v="0"/>
    <x v="0"/>
    <s v="California"/>
    <s v="San Diego County"/>
    <x v="3"/>
    <x v="11"/>
    <s v="March"/>
    <x v="2"/>
  </r>
  <r>
    <s v="TX502059"/>
    <x v="8"/>
    <x v="12"/>
    <n v="24.9"/>
    <n v="99.6"/>
    <x v="75"/>
    <d v="2025-03-22T00:00:00"/>
    <x v="1"/>
    <x v="1"/>
    <x v="2"/>
    <s v="California"/>
    <s v="San Diego County"/>
    <x v="0"/>
    <x v="11"/>
    <s v="March"/>
    <x v="1"/>
  </r>
  <r>
    <s v="TX502060"/>
    <x v="5"/>
    <x v="9"/>
    <n v="29.2"/>
    <n v="146"/>
    <x v="75"/>
    <d v="2025-03-18T00:00:00"/>
    <x v="1"/>
    <x v="0"/>
    <x v="2"/>
    <s v="California"/>
    <s v="San Francisco"/>
    <x v="3"/>
    <x v="11"/>
    <s v="March"/>
    <x v="1"/>
  </r>
  <r>
    <s v="TX502061"/>
    <x v="13"/>
    <x v="21"/>
    <n v="28.3"/>
    <n v="396.2"/>
    <x v="75"/>
    <d v="2025-03-19T00:00:00"/>
    <x v="2"/>
    <x v="1"/>
    <x v="0"/>
    <s v="California"/>
    <s v="Santa Clara County"/>
    <x v="1"/>
    <x v="11"/>
    <s v="March"/>
    <x v="2"/>
  </r>
  <r>
    <s v="TX502062"/>
    <x v="9"/>
    <x v="2"/>
    <n v="37.799999999999997"/>
    <n v="113.39999999999999"/>
    <x v="75"/>
    <d v="2025-03-18T00:00:00"/>
    <x v="2"/>
    <x v="0"/>
    <x v="1"/>
    <s v="California"/>
    <s v="Santa Clara County"/>
    <x v="3"/>
    <x v="11"/>
    <s v="March"/>
    <x v="2"/>
  </r>
  <r>
    <s v="TX502063"/>
    <x v="14"/>
    <x v="3"/>
    <n v="28.1"/>
    <n v="196.70000000000002"/>
    <x v="75"/>
    <d v="2025-03-23T00:00:00"/>
    <x v="2"/>
    <x v="2"/>
    <x v="0"/>
    <s v="California"/>
    <s v="Santa Clara County"/>
    <x v="4"/>
    <x v="11"/>
    <s v="March"/>
    <x v="2"/>
  </r>
  <r>
    <s v="TX502064"/>
    <x v="1"/>
    <x v="2"/>
    <n v="59.7"/>
    <n v="179.10000000000002"/>
    <x v="75"/>
    <d v="2025-03-19T00:00:00"/>
    <x v="2"/>
    <x v="2"/>
    <x v="0"/>
    <s v="California"/>
    <s v="Santa Clara County"/>
    <x v="1"/>
    <x v="11"/>
    <s v="March"/>
    <x v="2"/>
  </r>
  <r>
    <s v="TX502065"/>
    <x v="16"/>
    <x v="0"/>
    <n v="71.900000000000006"/>
    <n v="71.900000000000006"/>
    <x v="75"/>
    <d v="2025-03-18T00:00:00"/>
    <x v="1"/>
    <x v="1"/>
    <x v="1"/>
    <s v="California"/>
    <s v="Santa Clara County"/>
    <x v="3"/>
    <x v="11"/>
    <s v="March"/>
    <x v="1"/>
  </r>
  <r>
    <s v="TX502066"/>
    <x v="1"/>
    <x v="1"/>
    <n v="56.9"/>
    <n v="113.8"/>
    <x v="75"/>
    <d v="2025-03-18T00:00:00"/>
    <x v="1"/>
    <x v="2"/>
    <x v="0"/>
    <s v="California"/>
    <s v="Ventura County"/>
    <x v="3"/>
    <x v="11"/>
    <s v="March"/>
    <x v="1"/>
  </r>
  <r>
    <s v="TX502067"/>
    <x v="8"/>
    <x v="1"/>
    <n v="15.8"/>
    <n v="31.6"/>
    <x v="75"/>
    <d v="2025-03-20T00:00:00"/>
    <x v="2"/>
    <x v="2"/>
    <x v="1"/>
    <s v="California"/>
    <s v="Contra Costa County"/>
    <x v="2"/>
    <x v="11"/>
    <s v="March"/>
    <x v="2"/>
  </r>
  <r>
    <s v="TX502068"/>
    <x v="11"/>
    <x v="12"/>
    <n v="61.7"/>
    <n v="246.8"/>
    <x v="75"/>
    <d v="2025-03-19T00:00:00"/>
    <x v="2"/>
    <x v="2"/>
    <x v="0"/>
    <s v="California"/>
    <s v="Kern County"/>
    <x v="1"/>
    <x v="11"/>
    <s v="March"/>
    <x v="2"/>
  </r>
  <r>
    <s v="TX502069"/>
    <x v="2"/>
    <x v="7"/>
    <n v="105.2"/>
    <n v="1052"/>
    <x v="75"/>
    <d v="2025-03-19T00:00:00"/>
    <x v="1"/>
    <x v="1"/>
    <x v="4"/>
    <s v="California"/>
    <s v="Los Angeles County"/>
    <x v="1"/>
    <x v="11"/>
    <s v="March"/>
    <x v="1"/>
  </r>
  <r>
    <s v="TX502070"/>
    <x v="0"/>
    <x v="1"/>
    <n v="17"/>
    <n v="34"/>
    <x v="75"/>
    <d v="2025-03-19T00:00:00"/>
    <x v="2"/>
    <x v="2"/>
    <x v="0"/>
    <s v="California"/>
    <s v="Los Angeles County"/>
    <x v="1"/>
    <x v="11"/>
    <s v="March"/>
    <x v="2"/>
  </r>
  <r>
    <s v="TX502071"/>
    <x v="6"/>
    <x v="2"/>
    <n v="84.1"/>
    <n v="252.29999999999998"/>
    <x v="75"/>
    <d v="2025-03-18T00:00:00"/>
    <x v="1"/>
    <x v="2"/>
    <x v="0"/>
    <s v="California"/>
    <s v="Los Angeles County"/>
    <x v="3"/>
    <x v="11"/>
    <s v="March"/>
    <x v="1"/>
  </r>
  <r>
    <s v="TX502072"/>
    <x v="3"/>
    <x v="12"/>
    <n v="59.5"/>
    <n v="238"/>
    <x v="75"/>
    <d v="2025-03-22T00:00:00"/>
    <x v="1"/>
    <x v="0"/>
    <x v="2"/>
    <s v="California"/>
    <s v="Los Angeles County"/>
    <x v="0"/>
    <x v="11"/>
    <s v="March"/>
    <x v="1"/>
  </r>
  <r>
    <s v="TX502073"/>
    <x v="8"/>
    <x v="1"/>
    <n v="57.5"/>
    <n v="115"/>
    <x v="75"/>
    <d v="2025-03-19T00:00:00"/>
    <x v="1"/>
    <x v="1"/>
    <x v="2"/>
    <s v="California"/>
    <s v="Los Angeles County"/>
    <x v="1"/>
    <x v="11"/>
    <s v="March"/>
    <x v="1"/>
  </r>
  <r>
    <s v="TX502074"/>
    <x v="8"/>
    <x v="0"/>
    <n v="34.299999999999997"/>
    <n v="34.299999999999997"/>
    <x v="75"/>
    <d v="2025-03-18T00:00:00"/>
    <x v="2"/>
    <x v="4"/>
    <x v="2"/>
    <s v="California"/>
    <s v="Los Angeles County"/>
    <x v="3"/>
    <x v="11"/>
    <s v="March"/>
    <x v="2"/>
  </r>
  <r>
    <s v="TX502075"/>
    <x v="5"/>
    <x v="1"/>
    <n v="27.8"/>
    <n v="55.6"/>
    <x v="76"/>
    <d v="2025-03-20T00:00:00"/>
    <x v="2"/>
    <x v="0"/>
    <x v="0"/>
    <s v="California"/>
    <s v="Los Angeles County"/>
    <x v="1"/>
    <x v="11"/>
    <s v="March"/>
    <x v="2"/>
  </r>
  <r>
    <s v="TX502076"/>
    <x v="12"/>
    <x v="1"/>
    <n v="85"/>
    <n v="170"/>
    <x v="76"/>
    <d v="2025-03-18T00:00:00"/>
    <x v="1"/>
    <x v="2"/>
    <x v="2"/>
    <s v="California"/>
    <s v="Los Angeles County"/>
    <x v="7"/>
    <x v="11"/>
    <s v="March"/>
    <x v="1"/>
  </r>
  <r>
    <s v="TX502077"/>
    <x v="6"/>
    <x v="1"/>
    <n v="95"/>
    <n v="190"/>
    <x v="76"/>
    <d v="2025-03-20T00:00:00"/>
    <x v="2"/>
    <x v="0"/>
    <x v="0"/>
    <s v="California"/>
    <s v="Los Angeles County"/>
    <x v="1"/>
    <x v="11"/>
    <s v="March"/>
    <x v="2"/>
  </r>
  <r>
    <s v="TX502078"/>
    <x v="16"/>
    <x v="1"/>
    <n v="32"/>
    <n v="64"/>
    <x v="76"/>
    <d v="2025-03-20T00:00:00"/>
    <x v="1"/>
    <x v="0"/>
    <x v="1"/>
    <s v="California"/>
    <s v="Los Angeles County"/>
    <x v="1"/>
    <x v="11"/>
    <s v="March"/>
    <x v="1"/>
  </r>
  <r>
    <s v="TX502079"/>
    <x v="2"/>
    <x v="1"/>
    <n v="65.2"/>
    <n v="130.4"/>
    <x v="76"/>
    <d v="2025-03-19T00:00:00"/>
    <x v="2"/>
    <x v="1"/>
    <x v="0"/>
    <s v="California"/>
    <s v="Los Angeles County"/>
    <x v="3"/>
    <x v="11"/>
    <s v="March"/>
    <x v="2"/>
  </r>
  <r>
    <s v="TX502080"/>
    <x v="17"/>
    <x v="12"/>
    <n v="22"/>
    <n v="88"/>
    <x v="76"/>
    <d v="2025-03-19T00:00:00"/>
    <x v="1"/>
    <x v="1"/>
    <x v="2"/>
    <s v="California"/>
    <s v="Los Angeles County"/>
    <x v="3"/>
    <x v="11"/>
    <s v="March"/>
    <x v="1"/>
  </r>
  <r>
    <s v="TX502081"/>
    <x v="15"/>
    <x v="2"/>
    <n v="69.400000000000006"/>
    <n v="208.20000000000002"/>
    <x v="76"/>
    <d v="2025-03-21T00:00:00"/>
    <x v="1"/>
    <x v="1"/>
    <x v="2"/>
    <s v="California"/>
    <s v="Los Angeles County"/>
    <x v="2"/>
    <x v="11"/>
    <s v="March"/>
    <x v="1"/>
  </r>
  <r>
    <s v="TX502082"/>
    <x v="10"/>
    <x v="13"/>
    <n v="31.5"/>
    <n v="189"/>
    <x v="76"/>
    <d v="2025-03-20T00:00:00"/>
    <x v="2"/>
    <x v="0"/>
    <x v="2"/>
    <s v="California"/>
    <s v="Los Angeles County"/>
    <x v="1"/>
    <x v="11"/>
    <s v="March"/>
    <x v="2"/>
  </r>
  <r>
    <s v="TX502083"/>
    <x v="6"/>
    <x v="0"/>
    <n v="45.8"/>
    <n v="45.8"/>
    <x v="76"/>
    <d v="2025-03-22T00:00:00"/>
    <x v="3"/>
    <x v="0"/>
    <x v="0"/>
    <s v="California"/>
    <s v="Los Angeles County"/>
    <x v="5"/>
    <x v="11"/>
    <s v="March"/>
    <x v="3"/>
  </r>
  <r>
    <s v="TX502084"/>
    <x v="19"/>
    <x v="12"/>
    <n v="12.8"/>
    <n v="51.2"/>
    <x v="76"/>
    <d v="2025-03-25T00:00:00"/>
    <x v="2"/>
    <x v="1"/>
    <x v="1"/>
    <s v="California"/>
    <s v="Placer County"/>
    <x v="6"/>
    <x v="11"/>
    <s v="March"/>
    <x v="2"/>
  </r>
  <r>
    <s v="TX502085"/>
    <x v="5"/>
    <x v="2"/>
    <n v="115.3"/>
    <n v="345.9"/>
    <x v="76"/>
    <d v="2025-03-19T00:00:00"/>
    <x v="2"/>
    <x v="2"/>
    <x v="2"/>
    <s v="California"/>
    <s v="Sacramento County"/>
    <x v="3"/>
    <x v="11"/>
    <s v="March"/>
    <x v="2"/>
  </r>
  <r>
    <s v="TX502086"/>
    <x v="5"/>
    <x v="1"/>
    <n v="85"/>
    <n v="170"/>
    <x v="76"/>
    <d v="2025-03-20T00:00:00"/>
    <x v="2"/>
    <x v="1"/>
    <x v="0"/>
    <s v="California"/>
    <s v="San Bernardino County"/>
    <x v="1"/>
    <x v="11"/>
    <s v="March"/>
    <x v="2"/>
  </r>
  <r>
    <s v="TX502087"/>
    <x v="8"/>
    <x v="2"/>
    <n v="56.6"/>
    <n v="169.8"/>
    <x v="76"/>
    <d v="2025-03-19T00:00:00"/>
    <x v="2"/>
    <x v="1"/>
    <x v="2"/>
    <s v="California"/>
    <s v="San Bernardino County"/>
    <x v="3"/>
    <x v="11"/>
    <s v="March"/>
    <x v="2"/>
  </r>
  <r>
    <s v="TX502088"/>
    <x v="15"/>
    <x v="6"/>
    <n v="46.3"/>
    <n v="1250.0999999999999"/>
    <x v="76"/>
    <d v="2025-03-21T00:00:00"/>
    <x v="1"/>
    <x v="0"/>
    <x v="0"/>
    <s v="California"/>
    <s v="San Bernardino County"/>
    <x v="2"/>
    <x v="11"/>
    <s v="March"/>
    <x v="1"/>
  </r>
  <r>
    <s v="TX502089"/>
    <x v="14"/>
    <x v="12"/>
    <n v="23"/>
    <n v="92"/>
    <x v="76"/>
    <d v="2025-03-22T00:00:00"/>
    <x v="1"/>
    <x v="3"/>
    <x v="2"/>
    <s v="California"/>
    <s v="San Bernardino County"/>
    <x v="5"/>
    <x v="11"/>
    <s v="March"/>
    <x v="1"/>
  </r>
  <r>
    <s v="TX502090"/>
    <x v="8"/>
    <x v="13"/>
    <n v="42.1"/>
    <n v="252.60000000000002"/>
    <x v="76"/>
    <d v="2025-03-20T00:00:00"/>
    <x v="1"/>
    <x v="4"/>
    <x v="0"/>
    <s v="California"/>
    <s v="San Diego County"/>
    <x v="1"/>
    <x v="11"/>
    <s v="March"/>
    <x v="1"/>
  </r>
  <r>
    <s v="TX502091"/>
    <x v="5"/>
    <x v="3"/>
    <n v="57.4"/>
    <n v="401.8"/>
    <x v="76"/>
    <d v="2025-03-22T00:00:00"/>
    <x v="2"/>
    <x v="1"/>
    <x v="4"/>
    <s v="California"/>
    <s v="San Diego County"/>
    <x v="5"/>
    <x v="11"/>
    <s v="March"/>
    <x v="2"/>
  </r>
  <r>
    <s v="TX502092"/>
    <x v="0"/>
    <x v="13"/>
    <n v="13.2"/>
    <n v="79.199999999999989"/>
    <x v="76"/>
    <d v="2025-03-22T00:00:00"/>
    <x v="1"/>
    <x v="2"/>
    <x v="0"/>
    <s v="California"/>
    <s v="San Diego County"/>
    <x v="5"/>
    <x v="11"/>
    <s v="March"/>
    <x v="1"/>
  </r>
  <r>
    <s v="TX502093"/>
    <x v="6"/>
    <x v="2"/>
    <n v="52.3"/>
    <n v="156.89999999999998"/>
    <x v="76"/>
    <d v="2025-03-19T00:00:00"/>
    <x v="1"/>
    <x v="1"/>
    <x v="0"/>
    <s v="California"/>
    <s v="San Diego County"/>
    <x v="3"/>
    <x v="11"/>
    <s v="March"/>
    <x v="1"/>
  </r>
  <r>
    <s v="TX502094"/>
    <x v="8"/>
    <x v="1"/>
    <n v="15.7"/>
    <n v="31.4"/>
    <x v="76"/>
    <d v="2025-03-21T00:00:00"/>
    <x v="1"/>
    <x v="1"/>
    <x v="2"/>
    <s v="California"/>
    <s v="San Diego County"/>
    <x v="2"/>
    <x v="11"/>
    <s v="March"/>
    <x v="1"/>
  </r>
  <r>
    <s v="TX502095"/>
    <x v="7"/>
    <x v="2"/>
    <n v="35"/>
    <n v="105"/>
    <x v="76"/>
    <d v="2025-03-21T00:00:00"/>
    <x v="2"/>
    <x v="1"/>
    <x v="2"/>
    <s v="California"/>
    <s v="San Mateo County"/>
    <x v="2"/>
    <x v="11"/>
    <s v="March"/>
    <x v="2"/>
  </r>
  <r>
    <s v="TX502096"/>
    <x v="4"/>
    <x v="2"/>
    <n v="26.6"/>
    <n v="79.800000000000011"/>
    <x v="76"/>
    <d v="2025-03-18T00:00:00"/>
    <x v="1"/>
    <x v="1"/>
    <x v="2"/>
    <s v="California"/>
    <s v="Santa Clara County"/>
    <x v="7"/>
    <x v="11"/>
    <s v="March"/>
    <x v="1"/>
  </r>
  <r>
    <s v="TX502097"/>
    <x v="4"/>
    <x v="8"/>
    <n v="47.9"/>
    <n v="383.2"/>
    <x v="77"/>
    <d v="2025-03-20T00:00:00"/>
    <x v="2"/>
    <x v="3"/>
    <x v="2"/>
    <s v="California"/>
    <s v="Tulare County"/>
    <x v="3"/>
    <x v="11"/>
    <s v="March"/>
    <x v="2"/>
  </r>
  <r>
    <s v="TX502098"/>
    <x v="5"/>
    <x v="0"/>
    <n v="80.099999999999994"/>
    <n v="80.099999999999994"/>
    <x v="77"/>
    <d v="2025-03-20T00:00:00"/>
    <x v="1"/>
    <x v="2"/>
    <x v="0"/>
    <s v="California"/>
    <s v="Alameda County"/>
    <x v="3"/>
    <x v="11"/>
    <s v="March"/>
    <x v="1"/>
  </r>
  <r>
    <s v="TX502099"/>
    <x v="6"/>
    <x v="9"/>
    <n v="50.4"/>
    <n v="252"/>
    <x v="77"/>
    <d v="2025-03-20T00:00:00"/>
    <x v="1"/>
    <x v="1"/>
    <x v="2"/>
    <s v="California"/>
    <s v="Alameda County"/>
    <x v="3"/>
    <x v="11"/>
    <s v="March"/>
    <x v="1"/>
  </r>
  <r>
    <s v="TX502100"/>
    <x v="10"/>
    <x v="3"/>
    <n v="43.3"/>
    <n v="303.09999999999997"/>
    <x v="77"/>
    <d v="2025-03-20T00:00:00"/>
    <x v="1"/>
    <x v="2"/>
    <x v="0"/>
    <s v="California"/>
    <s v="Alameda County"/>
    <x v="3"/>
    <x v="11"/>
    <s v="March"/>
    <x v="1"/>
  </r>
  <r>
    <s v="TX502101"/>
    <x v="10"/>
    <x v="12"/>
    <n v="57.5"/>
    <n v="230"/>
    <x v="77"/>
    <d v="2025-03-20T00:00:00"/>
    <x v="2"/>
    <x v="1"/>
    <x v="2"/>
    <s v="California"/>
    <s v="Contra Costa County"/>
    <x v="3"/>
    <x v="11"/>
    <s v="March"/>
    <x v="2"/>
  </r>
  <r>
    <s v="TX502102"/>
    <x v="9"/>
    <x v="15"/>
    <n v="24.8"/>
    <n v="322.40000000000003"/>
    <x v="77"/>
    <d v="2025-03-20T00:00:00"/>
    <x v="1"/>
    <x v="0"/>
    <x v="0"/>
    <s v="California"/>
    <s v="Del Norte County"/>
    <x v="3"/>
    <x v="11"/>
    <s v="March"/>
    <x v="1"/>
  </r>
  <r>
    <s v="TX502103"/>
    <x v="2"/>
    <x v="11"/>
    <n v="85.7"/>
    <n v="771.30000000000007"/>
    <x v="77"/>
    <d v="2025-03-20T00:00:00"/>
    <x v="2"/>
    <x v="0"/>
    <x v="0"/>
    <s v="California"/>
    <s v="El Dorado County"/>
    <x v="3"/>
    <x v="11"/>
    <s v="March"/>
    <x v="2"/>
  </r>
  <r>
    <s v="TX502104"/>
    <x v="7"/>
    <x v="0"/>
    <n v="47.1"/>
    <n v="47.1"/>
    <x v="77"/>
    <d v="2025-03-21T00:00:00"/>
    <x v="2"/>
    <x v="0"/>
    <x v="0"/>
    <s v="California"/>
    <s v="Fresno County"/>
    <x v="1"/>
    <x v="11"/>
    <s v="March"/>
    <x v="2"/>
  </r>
  <r>
    <s v="TX502105"/>
    <x v="5"/>
    <x v="7"/>
    <n v="83.2"/>
    <n v="832"/>
    <x v="77"/>
    <d v="2025-03-23T00:00:00"/>
    <x v="2"/>
    <x v="0"/>
    <x v="0"/>
    <s v="California"/>
    <s v="Imperial County"/>
    <x v="5"/>
    <x v="11"/>
    <s v="March"/>
    <x v="2"/>
  </r>
  <r>
    <s v="TX502106"/>
    <x v="2"/>
    <x v="2"/>
    <n v="157"/>
    <n v="471"/>
    <x v="77"/>
    <d v="2025-03-21T00:00:00"/>
    <x v="2"/>
    <x v="0"/>
    <x v="2"/>
    <s v="California"/>
    <s v="Kern County"/>
    <x v="1"/>
    <x v="11"/>
    <s v="March"/>
    <x v="2"/>
  </r>
  <r>
    <s v="TX502107"/>
    <x v="16"/>
    <x v="12"/>
    <n v="33.700000000000003"/>
    <n v="134.80000000000001"/>
    <x v="77"/>
    <d v="2025-03-20T00:00:00"/>
    <x v="1"/>
    <x v="2"/>
    <x v="2"/>
    <s v="California"/>
    <s v="Kern County"/>
    <x v="3"/>
    <x v="11"/>
    <s v="March"/>
    <x v="1"/>
  </r>
  <r>
    <s v="TX502108"/>
    <x v="2"/>
    <x v="2"/>
    <n v="60.8"/>
    <n v="182.39999999999998"/>
    <x v="77"/>
    <d v="2025-03-23T00:00:00"/>
    <x v="2"/>
    <x v="1"/>
    <x v="1"/>
    <s v="California"/>
    <s v="Los Angeles County"/>
    <x v="5"/>
    <x v="11"/>
    <s v="March"/>
    <x v="2"/>
  </r>
  <r>
    <s v="TX502109"/>
    <x v="7"/>
    <x v="0"/>
    <n v="57.6"/>
    <n v="57.6"/>
    <x v="77"/>
    <d v="2025-03-20T00:00:00"/>
    <x v="1"/>
    <x v="1"/>
    <x v="4"/>
    <s v="California"/>
    <s v="Los Angeles County"/>
    <x v="3"/>
    <x v="11"/>
    <s v="March"/>
    <x v="1"/>
  </r>
  <r>
    <s v="TX502110"/>
    <x v="10"/>
    <x v="0"/>
    <n v="32"/>
    <n v="32"/>
    <x v="77"/>
    <d v="2025-03-21T00:00:00"/>
    <x v="1"/>
    <x v="0"/>
    <x v="0"/>
    <s v="California"/>
    <s v="Los Angeles County"/>
    <x v="1"/>
    <x v="11"/>
    <s v="March"/>
    <x v="1"/>
  </r>
  <r>
    <s v="TX502111"/>
    <x v="10"/>
    <x v="12"/>
    <n v="23.5"/>
    <n v="94"/>
    <x v="77"/>
    <d v="2025-03-20T00:00:00"/>
    <x v="2"/>
    <x v="0"/>
    <x v="2"/>
    <s v="California"/>
    <s v="Los Angeles County"/>
    <x v="3"/>
    <x v="11"/>
    <s v="March"/>
    <x v="2"/>
  </r>
  <r>
    <s v="TX502112"/>
    <x v="12"/>
    <x v="2"/>
    <n v="44.8"/>
    <n v="134.39999999999998"/>
    <x v="77"/>
    <d v="2025-03-20T00:00:00"/>
    <x v="3"/>
    <x v="4"/>
    <x v="0"/>
    <s v="California"/>
    <s v="Los Angeles County"/>
    <x v="3"/>
    <x v="11"/>
    <s v="March"/>
    <x v="3"/>
  </r>
  <r>
    <s v="TX502113"/>
    <x v="0"/>
    <x v="8"/>
    <n v="11.7"/>
    <n v="93.6"/>
    <x v="77"/>
    <d v="2025-03-20T00:00:00"/>
    <x v="1"/>
    <x v="2"/>
    <x v="2"/>
    <s v="California"/>
    <s v="Los Angeles County"/>
    <x v="3"/>
    <x v="11"/>
    <s v="March"/>
    <x v="1"/>
  </r>
  <r>
    <s v="TX502114"/>
    <x v="7"/>
    <x v="1"/>
    <n v="38.799999999999997"/>
    <n v="77.599999999999994"/>
    <x v="77"/>
    <d v="2025-03-22T00:00:00"/>
    <x v="2"/>
    <x v="2"/>
    <x v="0"/>
    <s v="California"/>
    <s v="Los Angeles County"/>
    <x v="2"/>
    <x v="11"/>
    <s v="March"/>
    <x v="2"/>
  </r>
  <r>
    <s v="TX502115"/>
    <x v="5"/>
    <x v="21"/>
    <n v="86.9"/>
    <n v="1216.6000000000001"/>
    <x v="77"/>
    <d v="2025-03-24T00:00:00"/>
    <x v="2"/>
    <x v="1"/>
    <x v="0"/>
    <s v="California"/>
    <s v="Los Angeles County"/>
    <x v="0"/>
    <x v="11"/>
    <s v="March"/>
    <x v="2"/>
  </r>
  <r>
    <s v="TX502116"/>
    <x v="8"/>
    <x v="0"/>
    <n v="18.3"/>
    <n v="18.3"/>
    <x v="77"/>
    <d v="2025-03-20T00:00:00"/>
    <x v="2"/>
    <x v="0"/>
    <x v="0"/>
    <s v="California"/>
    <s v="Los Angeles County"/>
    <x v="3"/>
    <x v="11"/>
    <s v="March"/>
    <x v="2"/>
  </r>
  <r>
    <s v="TX502117"/>
    <x v="5"/>
    <x v="0"/>
    <n v="47.5"/>
    <n v="47.5"/>
    <x v="77"/>
    <d v="2025-03-23T00:00:00"/>
    <x v="1"/>
    <x v="4"/>
    <x v="2"/>
    <s v="California"/>
    <s v="Los Angeles County"/>
    <x v="5"/>
    <x v="11"/>
    <s v="March"/>
    <x v="1"/>
  </r>
  <r>
    <s v="TX502118"/>
    <x v="1"/>
    <x v="1"/>
    <n v="78.599999999999994"/>
    <n v="157.19999999999999"/>
    <x v="77"/>
    <d v="2025-03-20T00:00:00"/>
    <x v="1"/>
    <x v="2"/>
    <x v="2"/>
    <s v="California"/>
    <s v="Los Angeles County"/>
    <x v="3"/>
    <x v="11"/>
    <s v="March"/>
    <x v="1"/>
  </r>
  <r>
    <s v="TX502119"/>
    <x v="6"/>
    <x v="12"/>
    <n v="87.3"/>
    <n v="349.2"/>
    <x v="77"/>
    <d v="2025-03-20T00:00:00"/>
    <x v="1"/>
    <x v="0"/>
    <x v="0"/>
    <s v="California"/>
    <s v="Los Angeles County"/>
    <x v="3"/>
    <x v="11"/>
    <s v="March"/>
    <x v="1"/>
  </r>
  <r>
    <s v="TX502120"/>
    <x v="9"/>
    <x v="1"/>
    <n v="63.2"/>
    <n v="126.4"/>
    <x v="77"/>
    <d v="2025-03-19T00:00:00"/>
    <x v="1"/>
    <x v="4"/>
    <x v="1"/>
    <s v="California"/>
    <s v="Los Angeles County"/>
    <x v="7"/>
    <x v="11"/>
    <s v="March"/>
    <x v="1"/>
  </r>
  <r>
    <s v="TX502121"/>
    <x v="5"/>
    <x v="9"/>
    <n v="33.700000000000003"/>
    <n v="168.5"/>
    <x v="77"/>
    <d v="2025-03-20T00:00:00"/>
    <x v="2"/>
    <x v="0"/>
    <x v="0"/>
    <s v="California"/>
    <s v="Los Angeles County"/>
    <x v="3"/>
    <x v="11"/>
    <s v="March"/>
    <x v="2"/>
  </r>
  <r>
    <s v="TX502122"/>
    <x v="2"/>
    <x v="2"/>
    <n v="107.4"/>
    <n v="322.20000000000005"/>
    <x v="77"/>
    <d v="2025-04-01T00:00:00"/>
    <x v="2"/>
    <x v="1"/>
    <x v="2"/>
    <s v="California"/>
    <s v="Los Angeles County"/>
    <x v="10"/>
    <x v="11"/>
    <s v="March"/>
    <x v="2"/>
  </r>
  <r>
    <s v="TX502123"/>
    <x v="4"/>
    <x v="12"/>
    <n v="22.2"/>
    <n v="88.8"/>
    <x v="77"/>
    <d v="2025-03-20T00:00:00"/>
    <x v="0"/>
    <x v="1"/>
    <x v="2"/>
    <s v="California"/>
    <s v="Merced County"/>
    <x v="3"/>
    <x v="11"/>
    <s v="March"/>
    <x v="0"/>
  </r>
  <r>
    <s v="TX502124"/>
    <x v="18"/>
    <x v="2"/>
    <n v="52.8"/>
    <n v="158.39999999999998"/>
    <x v="77"/>
    <d v="2025-03-20T00:00:00"/>
    <x v="1"/>
    <x v="3"/>
    <x v="2"/>
    <s v="California"/>
    <s v="Merced County"/>
    <x v="3"/>
    <x v="11"/>
    <s v="March"/>
    <x v="1"/>
  </r>
  <r>
    <s v="TX502125"/>
    <x v="8"/>
    <x v="2"/>
    <n v="41.5"/>
    <n v="124.5"/>
    <x v="77"/>
    <d v="2025-03-22T00:00:00"/>
    <x v="2"/>
    <x v="0"/>
    <x v="0"/>
    <s v="California"/>
    <s v="Orange County"/>
    <x v="2"/>
    <x v="11"/>
    <s v="March"/>
    <x v="2"/>
  </r>
  <r>
    <s v="TX502126"/>
    <x v="12"/>
    <x v="8"/>
    <n v="103.5"/>
    <n v="828"/>
    <x v="77"/>
    <d v="2025-03-22T00:00:00"/>
    <x v="2"/>
    <x v="0"/>
    <x v="2"/>
    <s v="California"/>
    <s v="Riverside County"/>
    <x v="2"/>
    <x v="11"/>
    <s v="March"/>
    <x v="2"/>
  </r>
  <r>
    <s v="TX502127"/>
    <x v="4"/>
    <x v="21"/>
    <n v="37.5"/>
    <n v="525"/>
    <x v="77"/>
    <d v="2025-03-19T00:00:00"/>
    <x v="2"/>
    <x v="1"/>
    <x v="2"/>
    <s v="California"/>
    <s v="Sacramento County"/>
    <x v="7"/>
    <x v="11"/>
    <s v="March"/>
    <x v="2"/>
  </r>
  <r>
    <s v="TX502128"/>
    <x v="15"/>
    <x v="8"/>
    <n v="44.4"/>
    <n v="355.2"/>
    <x v="77"/>
    <d v="2025-03-25T00:00:00"/>
    <x v="2"/>
    <x v="3"/>
    <x v="2"/>
    <s v="California"/>
    <s v="San Bernardino County"/>
    <x v="4"/>
    <x v="11"/>
    <s v="March"/>
    <x v="2"/>
  </r>
  <r>
    <s v="TX502129"/>
    <x v="8"/>
    <x v="2"/>
    <n v="26.2"/>
    <n v="78.599999999999994"/>
    <x v="77"/>
    <d v="2025-03-20T00:00:00"/>
    <x v="1"/>
    <x v="0"/>
    <x v="0"/>
    <s v="California"/>
    <s v="San Diego County"/>
    <x v="3"/>
    <x v="11"/>
    <s v="March"/>
    <x v="1"/>
  </r>
  <r>
    <s v="TX502130"/>
    <x v="1"/>
    <x v="3"/>
    <n v="32.200000000000003"/>
    <n v="225.40000000000003"/>
    <x v="77"/>
    <d v="2025-03-20T00:00:00"/>
    <x v="2"/>
    <x v="1"/>
    <x v="2"/>
    <s v="California"/>
    <s v="San Diego County"/>
    <x v="3"/>
    <x v="11"/>
    <s v="March"/>
    <x v="2"/>
  </r>
  <r>
    <s v="TX502131"/>
    <x v="8"/>
    <x v="0"/>
    <n v="17.399999999999999"/>
    <n v="17.399999999999999"/>
    <x v="77"/>
    <d v="2025-03-23T00:00:00"/>
    <x v="0"/>
    <x v="2"/>
    <x v="1"/>
    <s v="California"/>
    <s v="San Diego County"/>
    <x v="5"/>
    <x v="11"/>
    <s v="March"/>
    <x v="0"/>
  </r>
  <r>
    <s v="TX502132"/>
    <x v="8"/>
    <x v="13"/>
    <n v="72.3"/>
    <n v="433.79999999999995"/>
    <x v="77"/>
    <d v="2025-03-22T00:00:00"/>
    <x v="2"/>
    <x v="0"/>
    <x v="0"/>
    <s v="California"/>
    <s v="San Diego County"/>
    <x v="2"/>
    <x v="11"/>
    <s v="March"/>
    <x v="2"/>
  </r>
  <r>
    <s v="TX502133"/>
    <x v="8"/>
    <x v="5"/>
    <n v="24.3"/>
    <n v="267.3"/>
    <x v="77"/>
    <d v="2025-03-20T00:00:00"/>
    <x v="1"/>
    <x v="0"/>
    <x v="0"/>
    <s v="California"/>
    <s v="San Diego County"/>
    <x v="3"/>
    <x v="11"/>
    <s v="March"/>
    <x v="1"/>
  </r>
  <r>
    <s v="TX502134"/>
    <x v="13"/>
    <x v="2"/>
    <n v="49.1"/>
    <n v="147.30000000000001"/>
    <x v="77"/>
    <d v="2025-03-25T00:00:00"/>
    <x v="1"/>
    <x v="2"/>
    <x v="4"/>
    <s v="California"/>
    <s v="San Diego County"/>
    <x v="4"/>
    <x v="11"/>
    <s v="March"/>
    <x v="1"/>
  </r>
  <r>
    <s v="TX502135"/>
    <x v="2"/>
    <x v="7"/>
    <n v="234.7"/>
    <n v="2347"/>
    <x v="77"/>
    <d v="2025-03-20T00:00:00"/>
    <x v="1"/>
    <x v="3"/>
    <x v="1"/>
    <s v="California"/>
    <s v="San Diego County"/>
    <x v="3"/>
    <x v="11"/>
    <s v="March"/>
    <x v="1"/>
  </r>
  <r>
    <s v="TX502136"/>
    <x v="3"/>
    <x v="9"/>
    <n v="76.099999999999994"/>
    <n v="380.5"/>
    <x v="77"/>
    <d v="2025-03-21T00:00:00"/>
    <x v="1"/>
    <x v="1"/>
    <x v="1"/>
    <s v="California"/>
    <s v="San Francisco"/>
    <x v="1"/>
    <x v="11"/>
    <s v="March"/>
    <x v="1"/>
  </r>
  <r>
    <s v="TX502137"/>
    <x v="1"/>
    <x v="2"/>
    <n v="93.9"/>
    <n v="281.70000000000005"/>
    <x v="77"/>
    <d v="2025-03-20T00:00:00"/>
    <x v="1"/>
    <x v="1"/>
    <x v="4"/>
    <s v="California"/>
    <s v="Santa Clara County"/>
    <x v="3"/>
    <x v="11"/>
    <s v="March"/>
    <x v="1"/>
  </r>
  <r>
    <s v="TX502138"/>
    <x v="2"/>
    <x v="12"/>
    <n v="187"/>
    <n v="748"/>
    <x v="78"/>
    <d v="2025-03-23T00:00:00"/>
    <x v="1"/>
    <x v="0"/>
    <x v="0"/>
    <s v="California"/>
    <s v="Santa Clara County"/>
    <x v="2"/>
    <x v="11"/>
    <s v="March"/>
    <x v="1"/>
  </r>
  <r>
    <s v="TX502139"/>
    <x v="8"/>
    <x v="1"/>
    <n v="18"/>
    <n v="36"/>
    <x v="78"/>
    <d v="2025-03-21T00:00:00"/>
    <x v="2"/>
    <x v="1"/>
    <x v="2"/>
    <s v="California"/>
    <s v="Shasta County"/>
    <x v="3"/>
    <x v="11"/>
    <s v="March"/>
    <x v="2"/>
  </r>
  <r>
    <s v="TX502140"/>
    <x v="4"/>
    <x v="0"/>
    <n v="24.4"/>
    <n v="24.4"/>
    <x v="78"/>
    <d v="2025-03-21T00:00:00"/>
    <x v="2"/>
    <x v="4"/>
    <x v="2"/>
    <s v="California"/>
    <s v="Alameda County"/>
    <x v="3"/>
    <x v="11"/>
    <s v="March"/>
    <x v="2"/>
  </r>
  <r>
    <s v="TX502141"/>
    <x v="10"/>
    <x v="1"/>
    <n v="38.799999999999997"/>
    <n v="77.599999999999994"/>
    <x v="78"/>
    <d v="2025-03-21T00:00:00"/>
    <x v="1"/>
    <x v="4"/>
    <x v="1"/>
    <s v="California"/>
    <s v="Los Angeles County"/>
    <x v="3"/>
    <x v="11"/>
    <s v="March"/>
    <x v="1"/>
  </r>
  <r>
    <s v="TX502142"/>
    <x v="3"/>
    <x v="0"/>
    <n v="59.7"/>
    <n v="59.7"/>
    <x v="78"/>
    <d v="2025-03-23T00:00:00"/>
    <x v="1"/>
    <x v="3"/>
    <x v="0"/>
    <s v="California"/>
    <s v="Los Angeles County"/>
    <x v="2"/>
    <x v="11"/>
    <s v="March"/>
    <x v="1"/>
  </r>
  <r>
    <s v="TX502143"/>
    <x v="7"/>
    <x v="0"/>
    <n v="31.2"/>
    <n v="31.2"/>
    <x v="78"/>
    <d v="2025-03-21T00:00:00"/>
    <x v="1"/>
    <x v="1"/>
    <x v="2"/>
    <s v="California"/>
    <s v="Los Angeles County"/>
    <x v="3"/>
    <x v="11"/>
    <s v="March"/>
    <x v="1"/>
  </r>
  <r>
    <s v="TX502144"/>
    <x v="0"/>
    <x v="0"/>
    <n v="16.8"/>
    <n v="16.8"/>
    <x v="78"/>
    <d v="2025-03-21T00:00:00"/>
    <x v="2"/>
    <x v="2"/>
    <x v="1"/>
    <s v="California"/>
    <s v="Los Angeles County"/>
    <x v="3"/>
    <x v="11"/>
    <s v="March"/>
    <x v="2"/>
  </r>
  <r>
    <s v="TX502145"/>
    <x v="8"/>
    <x v="0"/>
    <n v="46"/>
    <n v="46"/>
    <x v="78"/>
    <d v="2025-03-21T00:00:00"/>
    <x v="1"/>
    <x v="0"/>
    <x v="0"/>
    <s v="California"/>
    <s v="Los Angeles County"/>
    <x v="3"/>
    <x v="11"/>
    <s v="March"/>
    <x v="1"/>
  </r>
  <r>
    <s v="TX502146"/>
    <x v="9"/>
    <x v="8"/>
    <n v="42.2"/>
    <n v="337.6"/>
    <x v="78"/>
    <d v="2025-03-23T00:00:00"/>
    <x v="2"/>
    <x v="3"/>
    <x v="2"/>
    <s v="California"/>
    <s v="Los Angeles County"/>
    <x v="2"/>
    <x v="11"/>
    <s v="March"/>
    <x v="2"/>
  </r>
  <r>
    <s v="TX502147"/>
    <x v="1"/>
    <x v="2"/>
    <n v="71.5"/>
    <n v="214.5"/>
    <x v="78"/>
    <d v="2025-04-03T00:00:00"/>
    <x v="2"/>
    <x v="0"/>
    <x v="0"/>
    <s v="California"/>
    <s v="Los Angeles County"/>
    <x v="12"/>
    <x v="11"/>
    <s v="March"/>
    <x v="2"/>
  </r>
  <r>
    <s v="TX502148"/>
    <x v="1"/>
    <x v="1"/>
    <n v="76.599999999999994"/>
    <n v="153.19999999999999"/>
    <x v="78"/>
    <d v="2025-03-20T00:00:00"/>
    <x v="1"/>
    <x v="0"/>
    <x v="2"/>
    <s v="California"/>
    <s v="Los Angeles County"/>
    <x v="7"/>
    <x v="11"/>
    <s v="March"/>
    <x v="1"/>
  </r>
  <r>
    <s v="TX502149"/>
    <x v="12"/>
    <x v="1"/>
    <n v="87.3"/>
    <n v="174.6"/>
    <x v="78"/>
    <d v="2025-03-28T00:00:00"/>
    <x v="2"/>
    <x v="3"/>
    <x v="2"/>
    <s v="California"/>
    <s v="Los Angeles County"/>
    <x v="9"/>
    <x v="11"/>
    <s v="March"/>
    <x v="2"/>
  </r>
  <r>
    <s v="TX502150"/>
    <x v="1"/>
    <x v="0"/>
    <n v="63"/>
    <n v="63"/>
    <x v="78"/>
    <d v="2025-03-23T00:00:00"/>
    <x v="1"/>
    <x v="3"/>
    <x v="0"/>
    <s v="California"/>
    <s v="Los Angeles County"/>
    <x v="2"/>
    <x v="11"/>
    <s v="March"/>
    <x v="1"/>
  </r>
  <r>
    <s v="TX502151"/>
    <x v="8"/>
    <x v="1"/>
    <n v="41.7"/>
    <n v="83.4"/>
    <x v="78"/>
    <d v="2025-03-21T00:00:00"/>
    <x v="2"/>
    <x v="4"/>
    <x v="1"/>
    <s v="California"/>
    <s v="Marin County"/>
    <x v="3"/>
    <x v="11"/>
    <s v="March"/>
    <x v="2"/>
  </r>
  <r>
    <s v="TX502152"/>
    <x v="6"/>
    <x v="1"/>
    <n v="76.099999999999994"/>
    <n v="152.19999999999999"/>
    <x v="78"/>
    <d v="2025-03-20T00:00:00"/>
    <x v="2"/>
    <x v="4"/>
    <x v="2"/>
    <s v="California"/>
    <s v="Napa County"/>
    <x v="7"/>
    <x v="11"/>
    <s v="March"/>
    <x v="2"/>
  </r>
  <r>
    <s v="TX502153"/>
    <x v="13"/>
    <x v="1"/>
    <n v="28.5"/>
    <n v="57"/>
    <x v="78"/>
    <d v="2025-03-21T00:00:00"/>
    <x v="2"/>
    <x v="0"/>
    <x v="2"/>
    <s v="California"/>
    <s v="Nevada County"/>
    <x v="3"/>
    <x v="11"/>
    <s v="March"/>
    <x v="2"/>
  </r>
  <r>
    <s v="TX502154"/>
    <x v="0"/>
    <x v="12"/>
    <n v="32.1"/>
    <n v="128.4"/>
    <x v="78"/>
    <d v="2025-03-21T00:00:00"/>
    <x v="2"/>
    <x v="1"/>
    <x v="2"/>
    <s v="California"/>
    <s v="Orange County"/>
    <x v="3"/>
    <x v="11"/>
    <s v="March"/>
    <x v="2"/>
  </r>
  <r>
    <s v="TX502155"/>
    <x v="4"/>
    <x v="2"/>
    <n v="39"/>
    <n v="117"/>
    <x v="78"/>
    <d v="2025-03-23T00:00:00"/>
    <x v="1"/>
    <x v="1"/>
    <x v="2"/>
    <s v="California"/>
    <s v="Orange County"/>
    <x v="2"/>
    <x v="11"/>
    <s v="March"/>
    <x v="1"/>
  </r>
  <r>
    <s v="TX502156"/>
    <x v="6"/>
    <x v="0"/>
    <n v="78.5"/>
    <n v="78.5"/>
    <x v="78"/>
    <d v="2025-03-21T00:00:00"/>
    <x v="1"/>
    <x v="1"/>
    <x v="0"/>
    <s v="California"/>
    <s v="Sacramento County"/>
    <x v="3"/>
    <x v="11"/>
    <s v="March"/>
    <x v="1"/>
  </r>
  <r>
    <s v="TX502157"/>
    <x v="4"/>
    <x v="9"/>
    <n v="49.7"/>
    <n v="248.5"/>
    <x v="78"/>
    <d v="2025-03-22T00:00:00"/>
    <x v="2"/>
    <x v="0"/>
    <x v="0"/>
    <s v="California"/>
    <s v="Sacramento County"/>
    <x v="1"/>
    <x v="11"/>
    <s v="March"/>
    <x v="2"/>
  </r>
  <r>
    <s v="TX502158"/>
    <x v="1"/>
    <x v="12"/>
    <n v="68.400000000000006"/>
    <n v="273.60000000000002"/>
    <x v="78"/>
    <d v="2025-03-21T00:00:00"/>
    <x v="2"/>
    <x v="2"/>
    <x v="2"/>
    <s v="California"/>
    <s v="San Bernardino County"/>
    <x v="3"/>
    <x v="11"/>
    <s v="March"/>
    <x v="2"/>
  </r>
  <r>
    <s v="TX502159"/>
    <x v="3"/>
    <x v="1"/>
    <n v="72.900000000000006"/>
    <n v="145.80000000000001"/>
    <x v="78"/>
    <d v="2025-03-23T00:00:00"/>
    <x v="0"/>
    <x v="0"/>
    <x v="2"/>
    <s v="California"/>
    <s v="San Bernardino County"/>
    <x v="2"/>
    <x v="11"/>
    <s v="March"/>
    <x v="0"/>
  </r>
  <r>
    <s v="TX502160"/>
    <x v="5"/>
    <x v="15"/>
    <n v="30.3"/>
    <n v="393.90000000000003"/>
    <x v="78"/>
    <d v="2025-03-21T00:00:00"/>
    <x v="1"/>
    <x v="4"/>
    <x v="0"/>
    <s v="California"/>
    <s v="San Bernardino County"/>
    <x v="3"/>
    <x v="11"/>
    <s v="March"/>
    <x v="1"/>
  </r>
  <r>
    <s v="TX502161"/>
    <x v="6"/>
    <x v="5"/>
    <n v="57.9"/>
    <n v="636.9"/>
    <x v="78"/>
    <d v="2025-03-21T00:00:00"/>
    <x v="2"/>
    <x v="0"/>
    <x v="0"/>
    <s v="California"/>
    <s v="San Diego County"/>
    <x v="3"/>
    <x v="11"/>
    <s v="March"/>
    <x v="2"/>
  </r>
  <r>
    <s v="TX502162"/>
    <x v="1"/>
    <x v="0"/>
    <n v="96.7"/>
    <n v="96.7"/>
    <x v="78"/>
    <d v="2025-03-21T00:00:00"/>
    <x v="1"/>
    <x v="0"/>
    <x v="0"/>
    <s v="California"/>
    <s v="San Diego County"/>
    <x v="3"/>
    <x v="11"/>
    <s v="March"/>
    <x v="1"/>
  </r>
  <r>
    <s v="TX502163"/>
    <x v="8"/>
    <x v="4"/>
    <n v="27.6"/>
    <n v="331.20000000000005"/>
    <x v="78"/>
    <d v="2025-03-22T00:00:00"/>
    <x v="1"/>
    <x v="2"/>
    <x v="2"/>
    <s v="California"/>
    <s v="San Diego County"/>
    <x v="1"/>
    <x v="11"/>
    <s v="March"/>
    <x v="1"/>
  </r>
  <r>
    <s v="TX502164"/>
    <x v="6"/>
    <x v="12"/>
    <n v="64.7"/>
    <n v="258.8"/>
    <x v="78"/>
    <d v="2025-03-20T00:00:00"/>
    <x v="1"/>
    <x v="3"/>
    <x v="2"/>
    <s v="California"/>
    <s v="San Diego County"/>
    <x v="7"/>
    <x v="11"/>
    <s v="March"/>
    <x v="1"/>
  </r>
  <r>
    <s v="TX502165"/>
    <x v="10"/>
    <x v="13"/>
    <n v="30.5"/>
    <n v="183"/>
    <x v="78"/>
    <d v="2025-03-21T00:00:00"/>
    <x v="1"/>
    <x v="4"/>
    <x v="0"/>
    <s v="California"/>
    <s v="San Diego County"/>
    <x v="3"/>
    <x v="11"/>
    <s v="March"/>
    <x v="1"/>
  </r>
  <r>
    <s v="TX502166"/>
    <x v="6"/>
    <x v="47"/>
    <n v="106"/>
    <n v="7420"/>
    <x v="79"/>
    <d v="2025-03-23T00:00:00"/>
    <x v="1"/>
    <x v="4"/>
    <x v="2"/>
    <s v="California"/>
    <s v="San Diego County"/>
    <x v="1"/>
    <x v="11"/>
    <s v="March"/>
    <x v="1"/>
  </r>
  <r>
    <s v="TX502167"/>
    <x v="12"/>
    <x v="9"/>
    <n v="76.8"/>
    <n v="384"/>
    <x v="79"/>
    <d v="2025-03-27T00:00:00"/>
    <x v="0"/>
    <x v="1"/>
    <x v="1"/>
    <s v="California"/>
    <s v="Sonoma County"/>
    <x v="4"/>
    <x v="11"/>
    <s v="March"/>
    <x v="0"/>
  </r>
  <r>
    <s v="TX502168"/>
    <x v="6"/>
    <x v="1"/>
    <n v="80.400000000000006"/>
    <n v="160.80000000000001"/>
    <x v="79"/>
    <d v="2025-03-22T00:00:00"/>
    <x v="2"/>
    <x v="2"/>
    <x v="0"/>
    <s v="California"/>
    <s v="Ventura County"/>
    <x v="3"/>
    <x v="11"/>
    <s v="March"/>
    <x v="2"/>
  </r>
  <r>
    <s v="TX502169"/>
    <x v="6"/>
    <x v="12"/>
    <n v="69.099999999999994"/>
    <n v="276.39999999999998"/>
    <x v="79"/>
    <d v="2025-03-22T00:00:00"/>
    <x v="1"/>
    <x v="1"/>
    <x v="2"/>
    <s v="California"/>
    <s v="Alameda County"/>
    <x v="3"/>
    <x v="11"/>
    <s v="March"/>
    <x v="1"/>
  </r>
  <r>
    <s v="TX502170"/>
    <x v="18"/>
    <x v="1"/>
    <n v="76.400000000000006"/>
    <n v="152.80000000000001"/>
    <x v="79"/>
    <d v="2025-03-21T00:00:00"/>
    <x v="1"/>
    <x v="3"/>
    <x v="0"/>
    <s v="California"/>
    <s v="Alameda County"/>
    <x v="7"/>
    <x v="11"/>
    <s v="March"/>
    <x v="1"/>
  </r>
  <r>
    <s v="TX502171"/>
    <x v="2"/>
    <x v="1"/>
    <n v="61.3"/>
    <n v="122.6"/>
    <x v="79"/>
    <d v="2025-03-22T00:00:00"/>
    <x v="2"/>
    <x v="1"/>
    <x v="1"/>
    <s v="California"/>
    <s v="Alameda County"/>
    <x v="3"/>
    <x v="11"/>
    <s v="March"/>
    <x v="2"/>
  </r>
  <r>
    <s v="TX502172"/>
    <x v="7"/>
    <x v="0"/>
    <n v="58"/>
    <n v="58"/>
    <x v="79"/>
    <d v="2025-03-22T00:00:00"/>
    <x v="1"/>
    <x v="3"/>
    <x v="1"/>
    <s v="California"/>
    <s v="Contra Costa County"/>
    <x v="3"/>
    <x v="11"/>
    <s v="March"/>
    <x v="1"/>
  </r>
  <r>
    <s v="TX502173"/>
    <x v="2"/>
    <x v="8"/>
    <n v="102.3"/>
    <n v="818.4"/>
    <x v="79"/>
    <d v="2025-03-23T00:00:00"/>
    <x v="1"/>
    <x v="2"/>
    <x v="0"/>
    <s v="California"/>
    <s v="El Dorado County"/>
    <x v="1"/>
    <x v="11"/>
    <s v="March"/>
    <x v="1"/>
  </r>
  <r>
    <s v="TX502174"/>
    <x v="19"/>
    <x v="1"/>
    <n v="13.8"/>
    <n v="27.6"/>
    <x v="79"/>
    <d v="2025-03-22T00:00:00"/>
    <x v="2"/>
    <x v="4"/>
    <x v="2"/>
    <s v="California"/>
    <s v="Fresno County"/>
    <x v="3"/>
    <x v="11"/>
    <s v="March"/>
    <x v="2"/>
  </r>
  <r>
    <s v="TX502175"/>
    <x v="8"/>
    <x v="2"/>
    <n v="33.299999999999997"/>
    <n v="99.899999999999991"/>
    <x v="79"/>
    <d v="2025-03-24T00:00:00"/>
    <x v="2"/>
    <x v="2"/>
    <x v="0"/>
    <s v="California"/>
    <s v="Kern County"/>
    <x v="2"/>
    <x v="11"/>
    <s v="March"/>
    <x v="2"/>
  </r>
  <r>
    <s v="TX502176"/>
    <x v="10"/>
    <x v="0"/>
    <n v="27.4"/>
    <n v="27.4"/>
    <x v="79"/>
    <d v="2025-03-24T00:00:00"/>
    <x v="1"/>
    <x v="0"/>
    <x v="2"/>
    <s v="California"/>
    <s v="Kern County"/>
    <x v="2"/>
    <x v="11"/>
    <s v="March"/>
    <x v="1"/>
  </r>
  <r>
    <s v="TX502177"/>
    <x v="14"/>
    <x v="1"/>
    <n v="25.6"/>
    <n v="51.2"/>
    <x v="79"/>
    <d v="2025-03-22T00:00:00"/>
    <x v="2"/>
    <x v="1"/>
    <x v="1"/>
    <s v="California"/>
    <s v="Los Angeles County"/>
    <x v="3"/>
    <x v="11"/>
    <s v="March"/>
    <x v="2"/>
  </r>
  <r>
    <s v="TX502178"/>
    <x v="13"/>
    <x v="0"/>
    <n v="58.4"/>
    <n v="58.4"/>
    <x v="79"/>
    <d v="2025-03-22T00:00:00"/>
    <x v="2"/>
    <x v="2"/>
    <x v="2"/>
    <s v="California"/>
    <s v="Los Angeles County"/>
    <x v="3"/>
    <x v="11"/>
    <s v="March"/>
    <x v="2"/>
  </r>
  <r>
    <s v="TX502179"/>
    <x v="11"/>
    <x v="17"/>
    <n v="27"/>
    <n v="810"/>
    <x v="79"/>
    <d v="2025-03-22T00:00:00"/>
    <x v="2"/>
    <x v="4"/>
    <x v="0"/>
    <s v="California"/>
    <s v="Los Angeles County"/>
    <x v="3"/>
    <x v="11"/>
    <s v="March"/>
    <x v="2"/>
  </r>
  <r>
    <s v="TX502180"/>
    <x v="0"/>
    <x v="12"/>
    <n v="14.2"/>
    <n v="56.8"/>
    <x v="79"/>
    <d v="2025-03-22T00:00:00"/>
    <x v="1"/>
    <x v="0"/>
    <x v="2"/>
    <s v="California"/>
    <s v="Los Angeles County"/>
    <x v="3"/>
    <x v="11"/>
    <s v="March"/>
    <x v="1"/>
  </r>
  <r>
    <s v="TX502181"/>
    <x v="7"/>
    <x v="1"/>
    <n v="68"/>
    <n v="136"/>
    <x v="79"/>
    <d v="2025-03-31T00:00:00"/>
    <x v="1"/>
    <x v="2"/>
    <x v="1"/>
    <s v="California"/>
    <s v="Los Angeles County"/>
    <x v="14"/>
    <x v="11"/>
    <s v="March"/>
    <x v="1"/>
  </r>
  <r>
    <s v="TX502182"/>
    <x v="8"/>
    <x v="0"/>
    <n v="30.7"/>
    <n v="30.7"/>
    <x v="79"/>
    <d v="2025-03-22T00:00:00"/>
    <x v="1"/>
    <x v="0"/>
    <x v="0"/>
    <s v="California"/>
    <s v="Los Angeles County"/>
    <x v="3"/>
    <x v="11"/>
    <s v="March"/>
    <x v="1"/>
  </r>
  <r>
    <s v="TX502183"/>
    <x v="17"/>
    <x v="15"/>
    <n v="51.6"/>
    <n v="670.80000000000007"/>
    <x v="79"/>
    <d v="2025-03-24T00:00:00"/>
    <x v="3"/>
    <x v="1"/>
    <x v="2"/>
    <s v="California"/>
    <s v="Los Angeles County"/>
    <x v="2"/>
    <x v="11"/>
    <s v="March"/>
    <x v="3"/>
  </r>
  <r>
    <s v="TX502184"/>
    <x v="8"/>
    <x v="2"/>
    <n v="20.6"/>
    <n v="61.800000000000004"/>
    <x v="79"/>
    <d v="2025-03-25T00:00:00"/>
    <x v="2"/>
    <x v="4"/>
    <x v="2"/>
    <s v="California"/>
    <s v="Los Angeles County"/>
    <x v="5"/>
    <x v="11"/>
    <s v="March"/>
    <x v="2"/>
  </r>
  <r>
    <s v="TX502185"/>
    <x v="8"/>
    <x v="0"/>
    <n v="24.8"/>
    <n v="24.8"/>
    <x v="79"/>
    <d v="2025-03-22T00:00:00"/>
    <x v="1"/>
    <x v="4"/>
    <x v="0"/>
    <s v="California"/>
    <s v="Los Angeles County"/>
    <x v="3"/>
    <x v="11"/>
    <s v="March"/>
    <x v="1"/>
  </r>
  <r>
    <s v="TX502186"/>
    <x v="0"/>
    <x v="3"/>
    <n v="11.2"/>
    <n v="78.399999999999991"/>
    <x v="79"/>
    <d v="2025-03-24T00:00:00"/>
    <x v="1"/>
    <x v="1"/>
    <x v="0"/>
    <s v="California"/>
    <s v="Los Angeles County"/>
    <x v="2"/>
    <x v="11"/>
    <s v="March"/>
    <x v="1"/>
  </r>
  <r>
    <s v="TX502187"/>
    <x v="11"/>
    <x v="1"/>
    <n v="51.2"/>
    <n v="102.4"/>
    <x v="79"/>
    <d v="2025-03-22T00:00:00"/>
    <x v="2"/>
    <x v="1"/>
    <x v="2"/>
    <s v="California"/>
    <s v="Los Angeles County"/>
    <x v="3"/>
    <x v="11"/>
    <s v="March"/>
    <x v="2"/>
  </r>
  <r>
    <s v="TX502188"/>
    <x v="7"/>
    <x v="13"/>
    <n v="90.5"/>
    <n v="543"/>
    <x v="79"/>
    <d v="2025-03-22T00:00:00"/>
    <x v="2"/>
    <x v="1"/>
    <x v="4"/>
    <s v="California"/>
    <s v="Los Angeles County"/>
    <x v="3"/>
    <x v="11"/>
    <s v="March"/>
    <x v="2"/>
  </r>
  <r>
    <s v="TX502189"/>
    <x v="1"/>
    <x v="1"/>
    <n v="42.4"/>
    <n v="84.8"/>
    <x v="79"/>
    <d v="2025-03-22T00:00:00"/>
    <x v="1"/>
    <x v="1"/>
    <x v="2"/>
    <s v="California"/>
    <s v="Nevada County"/>
    <x v="3"/>
    <x v="11"/>
    <s v="March"/>
    <x v="1"/>
  </r>
  <r>
    <s v="TX502190"/>
    <x v="1"/>
    <x v="1"/>
    <n v="38.200000000000003"/>
    <n v="76.400000000000006"/>
    <x v="79"/>
    <d v="2025-03-22T00:00:00"/>
    <x v="1"/>
    <x v="0"/>
    <x v="0"/>
    <s v="California"/>
    <s v="Placer County"/>
    <x v="3"/>
    <x v="11"/>
    <s v="March"/>
    <x v="1"/>
  </r>
  <r>
    <s v="TX502191"/>
    <x v="2"/>
    <x v="11"/>
    <n v="121.3"/>
    <n v="1091.7"/>
    <x v="79"/>
    <d v="2025-03-26T00:00:00"/>
    <x v="1"/>
    <x v="0"/>
    <x v="0"/>
    <s v="California"/>
    <s v="Sacramento County"/>
    <x v="0"/>
    <x v="11"/>
    <s v="March"/>
    <x v="1"/>
  </r>
  <r>
    <s v="TX502192"/>
    <x v="6"/>
    <x v="1"/>
    <n v="46.9"/>
    <n v="93.8"/>
    <x v="79"/>
    <d v="2025-03-28T00:00:00"/>
    <x v="1"/>
    <x v="0"/>
    <x v="0"/>
    <s v="California"/>
    <s v="San Diego County"/>
    <x v="6"/>
    <x v="11"/>
    <s v="March"/>
    <x v="1"/>
  </r>
  <r>
    <s v="TX502193"/>
    <x v="10"/>
    <x v="0"/>
    <n v="55.3"/>
    <n v="55.3"/>
    <x v="79"/>
    <d v="2025-03-23T00:00:00"/>
    <x v="1"/>
    <x v="0"/>
    <x v="0"/>
    <s v="California"/>
    <s v="San Diego County"/>
    <x v="1"/>
    <x v="11"/>
    <s v="March"/>
    <x v="1"/>
  </r>
  <r>
    <s v="TX502194"/>
    <x v="2"/>
    <x v="2"/>
    <n v="70.599999999999994"/>
    <n v="211.79999999999998"/>
    <x v="80"/>
    <d v="2025-03-22T00:00:00"/>
    <x v="2"/>
    <x v="0"/>
    <x v="1"/>
    <s v="California"/>
    <s v="San Diego County"/>
    <x v="7"/>
    <x v="11"/>
    <s v="March"/>
    <x v="2"/>
  </r>
  <r>
    <s v="TX502195"/>
    <x v="14"/>
    <x v="12"/>
    <n v="26.1"/>
    <n v="104.4"/>
    <x v="80"/>
    <d v="2025-03-24T00:00:00"/>
    <x v="1"/>
    <x v="0"/>
    <x v="0"/>
    <s v="California"/>
    <s v="San Diego County"/>
    <x v="1"/>
    <x v="11"/>
    <s v="March"/>
    <x v="1"/>
  </r>
  <r>
    <s v="TX502196"/>
    <x v="9"/>
    <x v="5"/>
    <n v="34.5"/>
    <n v="379.5"/>
    <x v="80"/>
    <d v="2025-03-26T00:00:00"/>
    <x v="1"/>
    <x v="2"/>
    <x v="0"/>
    <s v="California"/>
    <s v="San Francisco"/>
    <x v="5"/>
    <x v="11"/>
    <s v="March"/>
    <x v="1"/>
  </r>
  <r>
    <s v="TX502197"/>
    <x v="1"/>
    <x v="1"/>
    <n v="64.2"/>
    <n v="128.4"/>
    <x v="80"/>
    <d v="2025-03-23T00:00:00"/>
    <x v="2"/>
    <x v="0"/>
    <x v="1"/>
    <s v="California"/>
    <s v="San Francisco"/>
    <x v="3"/>
    <x v="11"/>
    <s v="March"/>
    <x v="2"/>
  </r>
  <r>
    <s v="TX502198"/>
    <x v="2"/>
    <x v="12"/>
    <n v="145.69999999999999"/>
    <n v="582.79999999999995"/>
    <x v="80"/>
    <d v="2025-03-23T00:00:00"/>
    <x v="2"/>
    <x v="0"/>
    <x v="4"/>
    <s v="California"/>
    <s v="San Francisco"/>
    <x v="3"/>
    <x v="11"/>
    <s v="March"/>
    <x v="2"/>
  </r>
  <r>
    <s v="TX502199"/>
    <x v="12"/>
    <x v="1"/>
    <n v="78.5"/>
    <n v="157"/>
    <x v="80"/>
    <d v="2025-03-23T00:00:00"/>
    <x v="1"/>
    <x v="2"/>
    <x v="0"/>
    <s v="California"/>
    <s v="San Joaquin County"/>
    <x v="3"/>
    <x v="11"/>
    <s v="March"/>
    <x v="1"/>
  </r>
  <r>
    <s v="TX502200"/>
    <x v="1"/>
    <x v="0"/>
    <n v="34.200000000000003"/>
    <n v="34.200000000000003"/>
    <x v="80"/>
    <d v="2025-03-24T00:00:00"/>
    <x v="1"/>
    <x v="0"/>
    <x v="0"/>
    <s v="California"/>
    <s v="San Mateo County"/>
    <x v="1"/>
    <x v="11"/>
    <s v="March"/>
    <x v="1"/>
  </r>
  <r>
    <s v="TX502201"/>
    <x v="19"/>
    <x v="0"/>
    <n v="26.2"/>
    <n v="26.2"/>
    <x v="80"/>
    <d v="2025-03-23T00:00:00"/>
    <x v="1"/>
    <x v="2"/>
    <x v="0"/>
    <s v="California"/>
    <s v="San Mateo County"/>
    <x v="3"/>
    <x v="11"/>
    <s v="March"/>
    <x v="1"/>
  </r>
  <r>
    <s v="TX502202"/>
    <x v="6"/>
    <x v="12"/>
    <n v="53.2"/>
    <n v="212.8"/>
    <x v="80"/>
    <d v="2025-03-23T00:00:00"/>
    <x v="1"/>
    <x v="1"/>
    <x v="1"/>
    <s v="California"/>
    <s v="Santa Clara County"/>
    <x v="3"/>
    <x v="11"/>
    <s v="March"/>
    <x v="1"/>
  </r>
  <r>
    <s v="TX502203"/>
    <x v="1"/>
    <x v="0"/>
    <n v="35.4"/>
    <n v="35.4"/>
    <x v="80"/>
    <d v="2025-03-26T00:00:00"/>
    <x v="1"/>
    <x v="1"/>
    <x v="4"/>
    <s v="California"/>
    <s v="Sonoma County"/>
    <x v="5"/>
    <x v="11"/>
    <s v="March"/>
    <x v="1"/>
  </r>
  <r>
    <s v="TX502204"/>
    <x v="14"/>
    <x v="1"/>
    <n v="21.3"/>
    <n v="42.6"/>
    <x v="80"/>
    <d v="2025-03-23T00:00:00"/>
    <x v="1"/>
    <x v="2"/>
    <x v="0"/>
    <s v="California"/>
    <s v="Tulare County"/>
    <x v="3"/>
    <x v="11"/>
    <s v="March"/>
    <x v="1"/>
  </r>
  <r>
    <s v="TX502205"/>
    <x v="8"/>
    <x v="12"/>
    <n v="32.9"/>
    <n v="131.6"/>
    <x v="80"/>
    <d v="2025-03-25T00:00:00"/>
    <x v="2"/>
    <x v="4"/>
    <x v="2"/>
    <s v="California"/>
    <s v="Alameda County"/>
    <x v="2"/>
    <x v="11"/>
    <s v="March"/>
    <x v="2"/>
  </r>
  <r>
    <s v="TX502206"/>
    <x v="5"/>
    <x v="20"/>
    <n v="85.5"/>
    <n v="1282.5"/>
    <x v="80"/>
    <d v="2025-03-24T00:00:00"/>
    <x v="2"/>
    <x v="3"/>
    <x v="1"/>
    <s v="California"/>
    <s v="Alameda County"/>
    <x v="1"/>
    <x v="11"/>
    <s v="March"/>
    <x v="2"/>
  </r>
  <r>
    <s v="TX502207"/>
    <x v="4"/>
    <x v="0"/>
    <n v="26.8"/>
    <n v="26.8"/>
    <x v="80"/>
    <d v="2025-03-23T00:00:00"/>
    <x v="2"/>
    <x v="0"/>
    <x v="1"/>
    <s v="California"/>
    <s v="Fresno County"/>
    <x v="3"/>
    <x v="11"/>
    <s v="March"/>
    <x v="2"/>
  </r>
  <r>
    <s v="TX502208"/>
    <x v="9"/>
    <x v="18"/>
    <n v="31.7"/>
    <n v="824.19999999999993"/>
    <x v="80"/>
    <d v="2025-03-22T00:00:00"/>
    <x v="2"/>
    <x v="3"/>
    <x v="0"/>
    <s v="California"/>
    <s v="Fresno County"/>
    <x v="7"/>
    <x v="11"/>
    <s v="March"/>
    <x v="2"/>
  </r>
  <r>
    <s v="TX502209"/>
    <x v="1"/>
    <x v="1"/>
    <n v="78.3"/>
    <n v="156.6"/>
    <x v="80"/>
    <d v="2025-03-24T00:00:00"/>
    <x v="2"/>
    <x v="1"/>
    <x v="1"/>
    <s v="California"/>
    <s v="Los Angeles County"/>
    <x v="1"/>
    <x v="11"/>
    <s v="March"/>
    <x v="2"/>
  </r>
  <r>
    <s v="TX502210"/>
    <x v="6"/>
    <x v="0"/>
    <n v="43.9"/>
    <n v="43.9"/>
    <x v="80"/>
    <d v="2025-03-23T00:00:00"/>
    <x v="1"/>
    <x v="0"/>
    <x v="0"/>
    <s v="California"/>
    <s v="Los Angeles County"/>
    <x v="3"/>
    <x v="11"/>
    <s v="March"/>
    <x v="1"/>
  </r>
  <r>
    <s v="TX502211"/>
    <x v="18"/>
    <x v="2"/>
    <n v="84"/>
    <n v="252"/>
    <x v="80"/>
    <d v="2025-03-24T00:00:00"/>
    <x v="0"/>
    <x v="3"/>
    <x v="2"/>
    <s v="California"/>
    <s v="Los Angeles County"/>
    <x v="1"/>
    <x v="11"/>
    <s v="March"/>
    <x v="0"/>
  </r>
  <r>
    <s v="TX502212"/>
    <x v="0"/>
    <x v="2"/>
    <n v="11.4"/>
    <n v="34.200000000000003"/>
    <x v="80"/>
    <d v="2025-03-23T00:00:00"/>
    <x v="1"/>
    <x v="4"/>
    <x v="0"/>
    <s v="California"/>
    <s v="Los Angeles County"/>
    <x v="3"/>
    <x v="11"/>
    <s v="March"/>
    <x v="1"/>
  </r>
  <r>
    <s v="TX502213"/>
    <x v="12"/>
    <x v="8"/>
    <n v="47.5"/>
    <n v="380"/>
    <x v="80"/>
    <d v="2025-03-30T00:00:00"/>
    <x v="2"/>
    <x v="0"/>
    <x v="0"/>
    <s v="California"/>
    <s v="Los Angeles County"/>
    <x v="9"/>
    <x v="11"/>
    <s v="March"/>
    <x v="2"/>
  </r>
  <r>
    <s v="TX502214"/>
    <x v="9"/>
    <x v="5"/>
    <n v="50.5"/>
    <n v="555.5"/>
    <x v="80"/>
    <d v="2025-03-24T00:00:00"/>
    <x v="1"/>
    <x v="2"/>
    <x v="0"/>
    <s v="California"/>
    <s v="Los Angeles County"/>
    <x v="1"/>
    <x v="11"/>
    <s v="March"/>
    <x v="1"/>
  </r>
  <r>
    <s v="TX502215"/>
    <x v="15"/>
    <x v="0"/>
    <n v="36.299999999999997"/>
    <n v="36.299999999999997"/>
    <x v="80"/>
    <d v="2025-03-25T00:00:00"/>
    <x v="3"/>
    <x v="0"/>
    <x v="1"/>
    <s v="California"/>
    <s v="San Diego County"/>
    <x v="2"/>
    <x v="11"/>
    <s v="March"/>
    <x v="3"/>
  </r>
  <r>
    <s v="TX502216"/>
    <x v="8"/>
    <x v="1"/>
    <n v="35.4"/>
    <n v="70.8"/>
    <x v="80"/>
    <d v="2025-03-23T00:00:00"/>
    <x v="2"/>
    <x v="0"/>
    <x v="0"/>
    <s v="California"/>
    <s v="San Francisco"/>
    <x v="3"/>
    <x v="11"/>
    <s v="March"/>
    <x v="2"/>
  </r>
  <r>
    <s v="TX502217"/>
    <x v="1"/>
    <x v="2"/>
    <n v="45.9"/>
    <n v="137.69999999999999"/>
    <x v="81"/>
    <d v="2025-03-24T00:00:00"/>
    <x v="1"/>
    <x v="3"/>
    <x v="0"/>
    <s v="California"/>
    <s v="San Mateo County"/>
    <x v="3"/>
    <x v="12"/>
    <s v="March"/>
    <x v="1"/>
  </r>
  <r>
    <s v="TX502218"/>
    <x v="6"/>
    <x v="7"/>
    <n v="41.2"/>
    <n v="412"/>
    <x v="81"/>
    <d v="2025-03-27T00:00:00"/>
    <x v="1"/>
    <x v="0"/>
    <x v="0"/>
    <s v="California"/>
    <s v="Santa Clara County"/>
    <x v="5"/>
    <x v="12"/>
    <s v="March"/>
    <x v="1"/>
  </r>
  <r>
    <s v="TX502219"/>
    <x v="17"/>
    <x v="1"/>
    <n v="45.1"/>
    <n v="90.2"/>
    <x v="81"/>
    <d v="2025-03-24T00:00:00"/>
    <x v="1"/>
    <x v="1"/>
    <x v="1"/>
    <s v="California"/>
    <s v="Alameda County"/>
    <x v="3"/>
    <x v="12"/>
    <s v="March"/>
    <x v="1"/>
  </r>
  <r>
    <s v="TX502220"/>
    <x v="6"/>
    <x v="7"/>
    <n v="63.6"/>
    <n v="636"/>
    <x v="81"/>
    <d v="2025-03-23T00:00:00"/>
    <x v="1"/>
    <x v="2"/>
    <x v="0"/>
    <s v="California"/>
    <s v="Contra Costa County"/>
    <x v="7"/>
    <x v="12"/>
    <s v="March"/>
    <x v="1"/>
  </r>
  <r>
    <s v="TX502221"/>
    <x v="8"/>
    <x v="0"/>
    <n v="70.5"/>
    <n v="70.5"/>
    <x v="81"/>
    <d v="2025-03-24T00:00:00"/>
    <x v="1"/>
    <x v="0"/>
    <x v="0"/>
    <s v="California"/>
    <s v="Los Angeles County"/>
    <x v="3"/>
    <x v="12"/>
    <s v="March"/>
    <x v="1"/>
  </r>
  <r>
    <s v="TX502222"/>
    <x v="6"/>
    <x v="0"/>
    <n v="41.3"/>
    <n v="41.3"/>
    <x v="81"/>
    <d v="2025-03-23T00:00:00"/>
    <x v="1"/>
    <x v="4"/>
    <x v="0"/>
    <s v="California"/>
    <s v="Los Angeles County"/>
    <x v="7"/>
    <x v="12"/>
    <s v="March"/>
    <x v="1"/>
  </r>
  <r>
    <s v="TX502223"/>
    <x v="4"/>
    <x v="0"/>
    <n v="35.299999999999997"/>
    <n v="35.299999999999997"/>
    <x v="81"/>
    <d v="2025-03-26T00:00:00"/>
    <x v="2"/>
    <x v="4"/>
    <x v="2"/>
    <s v="California"/>
    <s v="Los Angeles County"/>
    <x v="2"/>
    <x v="12"/>
    <s v="March"/>
    <x v="2"/>
  </r>
  <r>
    <s v="TX502224"/>
    <x v="8"/>
    <x v="9"/>
    <n v="34.700000000000003"/>
    <n v="173.5"/>
    <x v="81"/>
    <d v="2025-03-24T00:00:00"/>
    <x v="2"/>
    <x v="0"/>
    <x v="2"/>
    <s v="California"/>
    <s v="Los Angeles County"/>
    <x v="3"/>
    <x v="12"/>
    <s v="March"/>
    <x v="2"/>
  </r>
  <r>
    <s v="TX502225"/>
    <x v="8"/>
    <x v="2"/>
    <n v="26.1"/>
    <n v="78.300000000000011"/>
    <x v="81"/>
    <d v="2025-03-24T00:00:00"/>
    <x v="2"/>
    <x v="0"/>
    <x v="0"/>
    <s v="California"/>
    <s v="Los Angeles County"/>
    <x v="3"/>
    <x v="12"/>
    <s v="March"/>
    <x v="2"/>
  </r>
  <r>
    <s v="TX502226"/>
    <x v="9"/>
    <x v="9"/>
    <n v="22.6"/>
    <n v="113"/>
    <x v="81"/>
    <d v="2025-03-23T00:00:00"/>
    <x v="2"/>
    <x v="1"/>
    <x v="2"/>
    <s v="California"/>
    <s v="Los Angeles County"/>
    <x v="7"/>
    <x v="12"/>
    <s v="March"/>
    <x v="2"/>
  </r>
  <r>
    <s v="TX502227"/>
    <x v="2"/>
    <x v="1"/>
    <n v="154.4"/>
    <n v="308.8"/>
    <x v="81"/>
    <d v="2025-03-26T00:00:00"/>
    <x v="1"/>
    <x v="1"/>
    <x v="1"/>
    <s v="California"/>
    <s v="Los Angeles County"/>
    <x v="2"/>
    <x v="12"/>
    <s v="March"/>
    <x v="1"/>
  </r>
  <r>
    <s v="TX502228"/>
    <x v="8"/>
    <x v="1"/>
    <n v="18.399999999999999"/>
    <n v="36.799999999999997"/>
    <x v="81"/>
    <d v="2025-03-24T00:00:00"/>
    <x v="1"/>
    <x v="0"/>
    <x v="0"/>
    <s v="California"/>
    <s v="Los Angeles County"/>
    <x v="3"/>
    <x v="12"/>
    <s v="March"/>
    <x v="1"/>
  </r>
  <r>
    <s v="TX502229"/>
    <x v="14"/>
    <x v="0"/>
    <n v="25"/>
    <n v="25"/>
    <x v="81"/>
    <d v="2025-03-26T00:00:00"/>
    <x v="2"/>
    <x v="0"/>
    <x v="0"/>
    <s v="California"/>
    <s v="Los Angeles County"/>
    <x v="2"/>
    <x v="12"/>
    <s v="March"/>
    <x v="2"/>
  </r>
  <r>
    <s v="TX502230"/>
    <x v="2"/>
    <x v="13"/>
    <n v="105.6"/>
    <n v="633.59999999999991"/>
    <x v="81"/>
    <d v="2025-03-23T00:00:00"/>
    <x v="2"/>
    <x v="0"/>
    <x v="0"/>
    <s v="California"/>
    <s v="Los Angeles County"/>
    <x v="7"/>
    <x v="12"/>
    <s v="March"/>
    <x v="2"/>
  </r>
  <r>
    <s v="TX502231"/>
    <x v="18"/>
    <x v="8"/>
    <n v="59.6"/>
    <n v="476.8"/>
    <x v="81"/>
    <d v="2025-03-23T00:00:00"/>
    <x v="2"/>
    <x v="0"/>
    <x v="2"/>
    <s v="California"/>
    <s v="Riverside County"/>
    <x v="7"/>
    <x v="12"/>
    <s v="March"/>
    <x v="2"/>
  </r>
  <r>
    <s v="TX502232"/>
    <x v="15"/>
    <x v="2"/>
    <n v="75.400000000000006"/>
    <n v="226.20000000000002"/>
    <x v="81"/>
    <d v="2025-03-28T00:00:00"/>
    <x v="1"/>
    <x v="0"/>
    <x v="1"/>
    <s v="California"/>
    <s v="San Bernardino County"/>
    <x v="0"/>
    <x v="12"/>
    <s v="March"/>
    <x v="1"/>
  </r>
  <r>
    <s v="TX502233"/>
    <x v="7"/>
    <x v="0"/>
    <n v="104.4"/>
    <n v="104.4"/>
    <x v="81"/>
    <d v="2025-03-24T00:00:00"/>
    <x v="2"/>
    <x v="0"/>
    <x v="0"/>
    <s v="California"/>
    <s v="San Diego County"/>
    <x v="3"/>
    <x v="12"/>
    <s v="March"/>
    <x v="2"/>
  </r>
  <r>
    <s v="TX502234"/>
    <x v="2"/>
    <x v="7"/>
    <n v="208.2"/>
    <n v="2082"/>
    <x v="81"/>
    <d v="2025-03-24T00:00:00"/>
    <x v="1"/>
    <x v="0"/>
    <x v="2"/>
    <s v="California"/>
    <s v="San Diego County"/>
    <x v="3"/>
    <x v="12"/>
    <s v="March"/>
    <x v="1"/>
  </r>
  <r>
    <s v="TX502235"/>
    <x v="6"/>
    <x v="1"/>
    <n v="45"/>
    <n v="90"/>
    <x v="81"/>
    <d v="2025-03-26T00:00:00"/>
    <x v="2"/>
    <x v="0"/>
    <x v="0"/>
    <s v="California"/>
    <s v="Santa Barbara County"/>
    <x v="2"/>
    <x v="12"/>
    <s v="March"/>
    <x v="2"/>
  </r>
  <r>
    <s v="TX502236"/>
    <x v="15"/>
    <x v="1"/>
    <n v="20.3"/>
    <n v="40.6"/>
    <x v="82"/>
    <d v="2025-03-26T00:00:00"/>
    <x v="0"/>
    <x v="1"/>
    <x v="0"/>
    <s v="California"/>
    <s v="Santa Clara County"/>
    <x v="1"/>
    <x v="12"/>
    <s v="March"/>
    <x v="0"/>
  </r>
  <r>
    <s v="TX502237"/>
    <x v="2"/>
    <x v="2"/>
    <n v="94.4"/>
    <n v="283.20000000000005"/>
    <x v="82"/>
    <d v="2025-03-25T00:00:00"/>
    <x v="2"/>
    <x v="0"/>
    <x v="2"/>
    <s v="California"/>
    <s v="Santa Clara County"/>
    <x v="3"/>
    <x v="12"/>
    <s v="March"/>
    <x v="2"/>
  </r>
  <r>
    <s v="TX502238"/>
    <x v="9"/>
    <x v="0"/>
    <n v="49"/>
    <n v="49"/>
    <x v="82"/>
    <d v="2025-03-26T00:00:00"/>
    <x v="2"/>
    <x v="0"/>
    <x v="2"/>
    <s v="California"/>
    <s v="Tulare County"/>
    <x v="1"/>
    <x v="12"/>
    <s v="March"/>
    <x v="2"/>
  </r>
  <r>
    <s v="TX502239"/>
    <x v="4"/>
    <x v="1"/>
    <n v="27.2"/>
    <n v="54.4"/>
    <x v="82"/>
    <d v="2025-03-26T00:00:00"/>
    <x v="1"/>
    <x v="0"/>
    <x v="2"/>
    <s v="California"/>
    <s v="Contra Costa County"/>
    <x v="1"/>
    <x v="12"/>
    <s v="March"/>
    <x v="1"/>
  </r>
  <r>
    <s v="TX502240"/>
    <x v="2"/>
    <x v="13"/>
    <n v="72.599999999999994"/>
    <n v="435.59999999999997"/>
    <x v="82"/>
    <d v="2025-03-25T00:00:00"/>
    <x v="2"/>
    <x v="0"/>
    <x v="2"/>
    <s v="California"/>
    <s v="Fresno County"/>
    <x v="3"/>
    <x v="12"/>
    <s v="March"/>
    <x v="2"/>
  </r>
  <r>
    <s v="TX502241"/>
    <x v="15"/>
    <x v="12"/>
    <n v="62.4"/>
    <n v="249.6"/>
    <x v="82"/>
    <d v="2025-03-25T00:00:00"/>
    <x v="2"/>
    <x v="0"/>
    <x v="0"/>
    <s v="California"/>
    <s v="Los Angeles County"/>
    <x v="3"/>
    <x v="12"/>
    <s v="March"/>
    <x v="2"/>
  </r>
  <r>
    <s v="TX502242"/>
    <x v="8"/>
    <x v="2"/>
    <n v="19.100000000000001"/>
    <n v="57.300000000000004"/>
    <x v="82"/>
    <d v="2025-03-26T00:00:00"/>
    <x v="1"/>
    <x v="0"/>
    <x v="1"/>
    <s v="California"/>
    <s v="Los Angeles County"/>
    <x v="1"/>
    <x v="12"/>
    <s v="March"/>
    <x v="1"/>
  </r>
  <r>
    <s v="TX502243"/>
    <x v="10"/>
    <x v="0"/>
    <n v="29.6"/>
    <n v="29.6"/>
    <x v="82"/>
    <d v="2025-03-28T00:00:00"/>
    <x v="1"/>
    <x v="0"/>
    <x v="4"/>
    <s v="California"/>
    <s v="Los Angeles County"/>
    <x v="5"/>
    <x v="12"/>
    <s v="March"/>
    <x v="1"/>
  </r>
  <r>
    <s v="TX502244"/>
    <x v="8"/>
    <x v="1"/>
    <n v="18.899999999999999"/>
    <n v="37.799999999999997"/>
    <x v="82"/>
    <d v="2025-03-26T00:00:00"/>
    <x v="2"/>
    <x v="4"/>
    <x v="2"/>
    <s v="California"/>
    <s v="Los Angeles County"/>
    <x v="1"/>
    <x v="12"/>
    <s v="March"/>
    <x v="2"/>
  </r>
  <r>
    <s v="TX502245"/>
    <x v="10"/>
    <x v="9"/>
    <n v="41.4"/>
    <n v="207"/>
    <x v="82"/>
    <d v="2025-03-25T00:00:00"/>
    <x v="1"/>
    <x v="3"/>
    <x v="0"/>
    <s v="California"/>
    <s v="Los Angeles County"/>
    <x v="3"/>
    <x v="12"/>
    <s v="March"/>
    <x v="1"/>
  </r>
  <r>
    <s v="TX502246"/>
    <x v="2"/>
    <x v="0"/>
    <n v="118.4"/>
    <n v="118.4"/>
    <x v="82"/>
    <d v="2025-03-25T00:00:00"/>
    <x v="2"/>
    <x v="0"/>
    <x v="2"/>
    <s v="California"/>
    <s v="Los Angeles County"/>
    <x v="3"/>
    <x v="12"/>
    <s v="March"/>
    <x v="2"/>
  </r>
  <r>
    <s v="TX502247"/>
    <x v="2"/>
    <x v="1"/>
    <n v="125.3"/>
    <n v="250.6"/>
    <x v="82"/>
    <d v="2025-03-27T00:00:00"/>
    <x v="2"/>
    <x v="0"/>
    <x v="2"/>
    <s v="California"/>
    <s v="Los Angeles County"/>
    <x v="2"/>
    <x v="12"/>
    <s v="March"/>
    <x v="2"/>
  </r>
  <r>
    <s v="TX502248"/>
    <x v="3"/>
    <x v="1"/>
    <n v="85.8"/>
    <n v="171.6"/>
    <x v="82"/>
    <d v="2025-03-25T00:00:00"/>
    <x v="2"/>
    <x v="1"/>
    <x v="4"/>
    <s v="California"/>
    <s v="Los Angeles County"/>
    <x v="3"/>
    <x v="12"/>
    <s v="March"/>
    <x v="2"/>
  </r>
  <r>
    <s v="TX502249"/>
    <x v="6"/>
    <x v="0"/>
    <n v="44.2"/>
    <n v="44.2"/>
    <x v="82"/>
    <d v="2025-03-27T00:00:00"/>
    <x v="1"/>
    <x v="1"/>
    <x v="0"/>
    <s v="California"/>
    <s v="Los Angeles County"/>
    <x v="2"/>
    <x v="12"/>
    <s v="March"/>
    <x v="1"/>
  </r>
  <r>
    <s v="TX502250"/>
    <x v="5"/>
    <x v="12"/>
    <n v="74.099999999999994"/>
    <n v="296.39999999999998"/>
    <x v="82"/>
    <d v="2025-03-26T00:00:00"/>
    <x v="2"/>
    <x v="0"/>
    <x v="0"/>
    <s v="California"/>
    <s v="Los Angeles County"/>
    <x v="1"/>
    <x v="12"/>
    <s v="March"/>
    <x v="2"/>
  </r>
  <r>
    <s v="TX502251"/>
    <x v="8"/>
    <x v="0"/>
    <n v="33.799999999999997"/>
    <n v="33.799999999999997"/>
    <x v="82"/>
    <d v="2025-03-25T00:00:00"/>
    <x v="2"/>
    <x v="2"/>
    <x v="2"/>
    <s v="California"/>
    <s v="Merced County"/>
    <x v="3"/>
    <x v="12"/>
    <s v="March"/>
    <x v="2"/>
  </r>
  <r>
    <s v="TX502252"/>
    <x v="1"/>
    <x v="1"/>
    <n v="39.1"/>
    <n v="78.2"/>
    <x v="82"/>
    <d v="2025-03-25T00:00:00"/>
    <x v="1"/>
    <x v="0"/>
    <x v="1"/>
    <s v="California"/>
    <s v="Merced County"/>
    <x v="3"/>
    <x v="12"/>
    <s v="March"/>
    <x v="1"/>
  </r>
  <r>
    <s v="TX502253"/>
    <x v="0"/>
    <x v="0"/>
    <n v="37.200000000000003"/>
    <n v="37.200000000000003"/>
    <x v="82"/>
    <d v="2025-03-25T00:00:00"/>
    <x v="1"/>
    <x v="0"/>
    <x v="1"/>
    <s v="California"/>
    <s v="Napa County"/>
    <x v="3"/>
    <x v="12"/>
    <s v="March"/>
    <x v="1"/>
  </r>
  <r>
    <s v="TX502254"/>
    <x v="15"/>
    <x v="2"/>
    <n v="33.9"/>
    <n v="101.69999999999999"/>
    <x v="82"/>
    <d v="2025-03-26T00:00:00"/>
    <x v="1"/>
    <x v="2"/>
    <x v="0"/>
    <s v="California"/>
    <s v="Sacramento County"/>
    <x v="1"/>
    <x v="12"/>
    <s v="March"/>
    <x v="1"/>
  </r>
  <r>
    <s v="TX502255"/>
    <x v="7"/>
    <x v="20"/>
    <n v="73.3"/>
    <n v="1099.5"/>
    <x v="82"/>
    <d v="2025-03-27T00:00:00"/>
    <x v="2"/>
    <x v="2"/>
    <x v="1"/>
    <s v="California"/>
    <s v="San Diego County"/>
    <x v="2"/>
    <x v="12"/>
    <s v="March"/>
    <x v="2"/>
  </r>
  <r>
    <s v="TX502256"/>
    <x v="8"/>
    <x v="12"/>
    <n v="35"/>
    <n v="140"/>
    <x v="82"/>
    <d v="2025-03-26T00:00:00"/>
    <x v="2"/>
    <x v="1"/>
    <x v="0"/>
    <s v="California"/>
    <s v="San Diego County"/>
    <x v="1"/>
    <x v="12"/>
    <s v="March"/>
    <x v="2"/>
  </r>
  <r>
    <s v="TX502257"/>
    <x v="0"/>
    <x v="2"/>
    <n v="22.2"/>
    <n v="66.599999999999994"/>
    <x v="82"/>
    <d v="2025-03-25T00:00:00"/>
    <x v="1"/>
    <x v="1"/>
    <x v="0"/>
    <s v="California"/>
    <s v="San Francisco"/>
    <x v="3"/>
    <x v="12"/>
    <s v="March"/>
    <x v="1"/>
  </r>
  <r>
    <s v="TX502258"/>
    <x v="10"/>
    <x v="0"/>
    <n v="32.4"/>
    <n v="32.4"/>
    <x v="82"/>
    <d v="2025-03-25T00:00:00"/>
    <x v="2"/>
    <x v="0"/>
    <x v="0"/>
    <s v="California"/>
    <s v="Santa Clara County"/>
    <x v="3"/>
    <x v="12"/>
    <s v="March"/>
    <x v="2"/>
  </r>
  <r>
    <s v="TX502259"/>
    <x v="5"/>
    <x v="2"/>
    <n v="88.4"/>
    <n v="265.20000000000005"/>
    <x v="83"/>
    <d v="2025-03-27T00:00:00"/>
    <x v="2"/>
    <x v="1"/>
    <x v="1"/>
    <s v="California"/>
    <s v="Santa Clara County"/>
    <x v="1"/>
    <x v="12"/>
    <s v="March"/>
    <x v="2"/>
  </r>
  <r>
    <s v="TX502260"/>
    <x v="5"/>
    <x v="27"/>
    <n v="30.5"/>
    <n v="488"/>
    <x v="83"/>
    <d v="2025-03-26T00:00:00"/>
    <x v="2"/>
    <x v="2"/>
    <x v="0"/>
    <s v="California"/>
    <s v="Santa Clara County"/>
    <x v="3"/>
    <x v="12"/>
    <s v="March"/>
    <x v="2"/>
  </r>
  <r>
    <s v="TX502261"/>
    <x v="1"/>
    <x v="13"/>
    <n v="38.1"/>
    <n v="228.60000000000002"/>
    <x v="83"/>
    <d v="2025-03-27T00:00:00"/>
    <x v="2"/>
    <x v="0"/>
    <x v="1"/>
    <s v="California"/>
    <s v="Santa Clara County"/>
    <x v="1"/>
    <x v="12"/>
    <s v="March"/>
    <x v="2"/>
  </r>
  <r>
    <s v="TX502262"/>
    <x v="10"/>
    <x v="9"/>
    <n v="37.6"/>
    <n v="188"/>
    <x v="83"/>
    <d v="2025-03-29T00:00:00"/>
    <x v="1"/>
    <x v="0"/>
    <x v="0"/>
    <s v="California"/>
    <s v="Santa Clara County"/>
    <x v="5"/>
    <x v="12"/>
    <s v="March"/>
    <x v="1"/>
  </r>
  <r>
    <s v="TX502263"/>
    <x v="15"/>
    <x v="1"/>
    <n v="31.4"/>
    <n v="62.8"/>
    <x v="83"/>
    <d v="2025-03-26T00:00:00"/>
    <x v="1"/>
    <x v="0"/>
    <x v="2"/>
    <s v="California"/>
    <s v="Santa Clara County"/>
    <x v="3"/>
    <x v="12"/>
    <s v="March"/>
    <x v="1"/>
  </r>
  <r>
    <s v="TX502264"/>
    <x v="6"/>
    <x v="1"/>
    <n v="61.5"/>
    <n v="123"/>
    <x v="83"/>
    <d v="2025-03-26T00:00:00"/>
    <x v="1"/>
    <x v="3"/>
    <x v="0"/>
    <s v="California"/>
    <s v="Sutter County"/>
    <x v="3"/>
    <x v="12"/>
    <s v="March"/>
    <x v="1"/>
  </r>
  <r>
    <s v="TX502265"/>
    <x v="6"/>
    <x v="0"/>
    <n v="72.599999999999994"/>
    <n v="72.599999999999994"/>
    <x v="83"/>
    <d v="2025-03-26T00:00:00"/>
    <x v="1"/>
    <x v="0"/>
    <x v="1"/>
    <s v="California"/>
    <s v="Alameda County"/>
    <x v="3"/>
    <x v="12"/>
    <s v="March"/>
    <x v="1"/>
  </r>
  <r>
    <s v="TX502266"/>
    <x v="9"/>
    <x v="2"/>
    <n v="26.9"/>
    <n v="80.699999999999989"/>
    <x v="83"/>
    <d v="2025-03-30T00:00:00"/>
    <x v="3"/>
    <x v="4"/>
    <x v="1"/>
    <s v="California"/>
    <s v="Amador County"/>
    <x v="0"/>
    <x v="12"/>
    <s v="March"/>
    <x v="3"/>
  </r>
  <r>
    <s v="TX502267"/>
    <x v="17"/>
    <x v="4"/>
    <n v="29.4"/>
    <n v="352.79999999999995"/>
    <x v="83"/>
    <d v="2025-03-26T00:00:00"/>
    <x v="2"/>
    <x v="1"/>
    <x v="0"/>
    <s v="California"/>
    <s v="Butte County"/>
    <x v="3"/>
    <x v="12"/>
    <s v="March"/>
    <x v="2"/>
  </r>
  <r>
    <s v="TX502268"/>
    <x v="17"/>
    <x v="1"/>
    <n v="42.1"/>
    <n v="84.2"/>
    <x v="83"/>
    <d v="2025-03-26T00:00:00"/>
    <x v="2"/>
    <x v="3"/>
    <x v="1"/>
    <s v="California"/>
    <s v="Contra Costa County"/>
    <x v="3"/>
    <x v="12"/>
    <s v="March"/>
    <x v="2"/>
  </r>
  <r>
    <s v="TX502269"/>
    <x v="5"/>
    <x v="0"/>
    <n v="40.5"/>
    <n v="40.5"/>
    <x v="83"/>
    <d v="2025-03-26T00:00:00"/>
    <x v="2"/>
    <x v="2"/>
    <x v="1"/>
    <s v="California"/>
    <s v="Contra Costa County"/>
    <x v="3"/>
    <x v="12"/>
    <s v="March"/>
    <x v="2"/>
  </r>
  <r>
    <s v="TX502270"/>
    <x v="2"/>
    <x v="12"/>
    <n v="182.3"/>
    <n v="729.2"/>
    <x v="83"/>
    <d v="2025-03-26T00:00:00"/>
    <x v="2"/>
    <x v="1"/>
    <x v="0"/>
    <s v="California"/>
    <s v="Contra Costa County"/>
    <x v="3"/>
    <x v="12"/>
    <s v="March"/>
    <x v="2"/>
  </r>
  <r>
    <s v="TX502271"/>
    <x v="2"/>
    <x v="9"/>
    <n v="157"/>
    <n v="785"/>
    <x v="83"/>
    <d v="2025-03-28T00:00:00"/>
    <x v="2"/>
    <x v="1"/>
    <x v="2"/>
    <s v="California"/>
    <s v="Fresno County"/>
    <x v="2"/>
    <x v="12"/>
    <s v="March"/>
    <x v="2"/>
  </r>
  <r>
    <s v="TX502272"/>
    <x v="17"/>
    <x v="9"/>
    <n v="45.2"/>
    <n v="226"/>
    <x v="83"/>
    <d v="2025-03-28T00:00:00"/>
    <x v="2"/>
    <x v="1"/>
    <x v="0"/>
    <s v="California"/>
    <s v="Kern County"/>
    <x v="2"/>
    <x v="12"/>
    <s v="March"/>
    <x v="2"/>
  </r>
  <r>
    <s v="TX502273"/>
    <x v="15"/>
    <x v="12"/>
    <n v="27.4"/>
    <n v="109.6"/>
    <x v="83"/>
    <d v="2025-03-27T00:00:00"/>
    <x v="2"/>
    <x v="0"/>
    <x v="0"/>
    <s v="California"/>
    <s v="Los Angeles County"/>
    <x v="1"/>
    <x v="12"/>
    <s v="March"/>
    <x v="2"/>
  </r>
  <r>
    <s v="TX502274"/>
    <x v="5"/>
    <x v="9"/>
    <n v="34.1"/>
    <n v="170.5"/>
    <x v="83"/>
    <d v="2025-03-27T00:00:00"/>
    <x v="1"/>
    <x v="0"/>
    <x v="2"/>
    <s v="California"/>
    <s v="Los Angeles County"/>
    <x v="1"/>
    <x v="12"/>
    <s v="March"/>
    <x v="1"/>
  </r>
  <r>
    <s v="TX502275"/>
    <x v="0"/>
    <x v="1"/>
    <n v="26"/>
    <n v="52"/>
    <x v="83"/>
    <d v="2025-03-27T00:00:00"/>
    <x v="1"/>
    <x v="2"/>
    <x v="1"/>
    <s v="California"/>
    <s v="Los Angeles County"/>
    <x v="1"/>
    <x v="12"/>
    <s v="March"/>
    <x v="1"/>
  </r>
  <r>
    <s v="TX502276"/>
    <x v="8"/>
    <x v="3"/>
    <n v="19.399999999999999"/>
    <n v="135.79999999999998"/>
    <x v="83"/>
    <d v="2025-03-27T00:00:00"/>
    <x v="0"/>
    <x v="1"/>
    <x v="1"/>
    <s v="California"/>
    <s v="Los Angeles County"/>
    <x v="1"/>
    <x v="12"/>
    <s v="March"/>
    <x v="0"/>
  </r>
  <r>
    <s v="TX502277"/>
    <x v="16"/>
    <x v="2"/>
    <n v="30.3"/>
    <n v="90.9"/>
    <x v="83"/>
    <d v="2025-03-28T00:00:00"/>
    <x v="2"/>
    <x v="1"/>
    <x v="2"/>
    <s v="California"/>
    <s v="Los Angeles County"/>
    <x v="2"/>
    <x v="12"/>
    <s v="March"/>
    <x v="2"/>
  </r>
  <r>
    <s v="TX502278"/>
    <x v="2"/>
    <x v="2"/>
    <n v="101.4"/>
    <n v="304.20000000000005"/>
    <x v="83"/>
    <d v="2025-03-26T00:00:00"/>
    <x v="1"/>
    <x v="0"/>
    <x v="0"/>
    <s v="California"/>
    <s v="Los Angeles County"/>
    <x v="3"/>
    <x v="12"/>
    <s v="March"/>
    <x v="1"/>
  </r>
  <r>
    <s v="TX502279"/>
    <x v="3"/>
    <x v="9"/>
    <n v="55.5"/>
    <n v="277.5"/>
    <x v="83"/>
    <d v="2025-03-28T00:00:00"/>
    <x v="1"/>
    <x v="1"/>
    <x v="0"/>
    <s v="California"/>
    <s v="Merced County"/>
    <x v="2"/>
    <x v="12"/>
    <s v="March"/>
    <x v="1"/>
  </r>
  <r>
    <s v="TX502280"/>
    <x v="8"/>
    <x v="0"/>
    <n v="23.1"/>
    <n v="23.1"/>
    <x v="83"/>
    <d v="2025-03-26T00:00:00"/>
    <x v="1"/>
    <x v="0"/>
    <x v="0"/>
    <s v="California"/>
    <s v="Orange County"/>
    <x v="3"/>
    <x v="12"/>
    <s v="March"/>
    <x v="1"/>
  </r>
  <r>
    <s v="TX502281"/>
    <x v="18"/>
    <x v="1"/>
    <n v="38.9"/>
    <n v="77.8"/>
    <x v="83"/>
    <d v="2025-03-26T00:00:00"/>
    <x v="1"/>
    <x v="2"/>
    <x v="0"/>
    <s v="California"/>
    <s v="Orange County"/>
    <x v="3"/>
    <x v="12"/>
    <s v="March"/>
    <x v="1"/>
  </r>
  <r>
    <s v="TX502282"/>
    <x v="6"/>
    <x v="11"/>
    <n v="116.3"/>
    <n v="1046.7"/>
    <x v="83"/>
    <d v="2025-03-29T00:00:00"/>
    <x v="2"/>
    <x v="0"/>
    <x v="0"/>
    <s v="California"/>
    <s v="Placer County"/>
    <x v="5"/>
    <x v="12"/>
    <s v="March"/>
    <x v="2"/>
  </r>
  <r>
    <s v="TX502283"/>
    <x v="16"/>
    <x v="11"/>
    <n v="64.099999999999994"/>
    <n v="576.9"/>
    <x v="83"/>
    <d v="2025-03-25T00:00:00"/>
    <x v="2"/>
    <x v="0"/>
    <x v="2"/>
    <s v="California"/>
    <s v="Sacramento County"/>
    <x v="7"/>
    <x v="12"/>
    <s v="March"/>
    <x v="2"/>
  </r>
  <r>
    <s v="TX502284"/>
    <x v="2"/>
    <x v="13"/>
    <n v="109.2"/>
    <n v="655.20000000000005"/>
    <x v="83"/>
    <d v="2025-03-27T00:00:00"/>
    <x v="1"/>
    <x v="0"/>
    <x v="1"/>
    <s v="California"/>
    <s v="San Diego County"/>
    <x v="1"/>
    <x v="12"/>
    <s v="March"/>
    <x v="1"/>
  </r>
  <r>
    <s v="TX502285"/>
    <x v="10"/>
    <x v="9"/>
    <n v="23.2"/>
    <n v="116"/>
    <x v="84"/>
    <d v="2025-03-27T00:00:00"/>
    <x v="1"/>
    <x v="0"/>
    <x v="1"/>
    <s v="California"/>
    <s v="San Diego County"/>
    <x v="3"/>
    <x v="12"/>
    <s v="March"/>
    <x v="1"/>
  </r>
  <r>
    <s v="TX502286"/>
    <x v="18"/>
    <x v="13"/>
    <n v="81.2"/>
    <n v="487.20000000000005"/>
    <x v="84"/>
    <d v="2025-03-28T00:00:00"/>
    <x v="1"/>
    <x v="2"/>
    <x v="2"/>
    <s v="California"/>
    <s v="San Diego County"/>
    <x v="1"/>
    <x v="12"/>
    <s v="March"/>
    <x v="1"/>
  </r>
  <r>
    <s v="TX502287"/>
    <x v="1"/>
    <x v="21"/>
    <n v="35.700000000000003"/>
    <n v="499.80000000000007"/>
    <x v="84"/>
    <d v="2025-03-27T00:00:00"/>
    <x v="1"/>
    <x v="3"/>
    <x v="0"/>
    <s v="California"/>
    <s v="San Diego County"/>
    <x v="3"/>
    <x v="12"/>
    <s v="March"/>
    <x v="1"/>
  </r>
  <r>
    <s v="TX502288"/>
    <x v="7"/>
    <x v="1"/>
    <n v="44.5"/>
    <n v="89"/>
    <x v="84"/>
    <d v="2025-03-29T00:00:00"/>
    <x v="1"/>
    <x v="4"/>
    <x v="0"/>
    <s v="California"/>
    <s v="San Mateo County"/>
    <x v="2"/>
    <x v="12"/>
    <s v="March"/>
    <x v="1"/>
  </r>
  <r>
    <s v="TX502289"/>
    <x v="1"/>
    <x v="9"/>
    <n v="32"/>
    <n v="160"/>
    <x v="84"/>
    <d v="2025-03-28T00:00:00"/>
    <x v="3"/>
    <x v="1"/>
    <x v="1"/>
    <s v="California"/>
    <s v="San Mateo County"/>
    <x v="1"/>
    <x v="12"/>
    <s v="March"/>
    <x v="3"/>
  </r>
  <r>
    <s v="TX502290"/>
    <x v="8"/>
    <x v="0"/>
    <n v="25.7"/>
    <n v="25.7"/>
    <x v="84"/>
    <d v="2025-03-27T00:00:00"/>
    <x v="1"/>
    <x v="0"/>
    <x v="0"/>
    <s v="California"/>
    <s v="Santa Barbara County"/>
    <x v="3"/>
    <x v="12"/>
    <s v="March"/>
    <x v="1"/>
  </r>
  <r>
    <s v="TX502291"/>
    <x v="16"/>
    <x v="2"/>
    <n v="65.599999999999994"/>
    <n v="196.79999999999998"/>
    <x v="84"/>
    <d v="2025-04-01T00:00:00"/>
    <x v="1"/>
    <x v="0"/>
    <x v="0"/>
    <s v="California"/>
    <s v="Santa Clara County"/>
    <x v="4"/>
    <x v="12"/>
    <s v="March"/>
    <x v="1"/>
  </r>
  <r>
    <s v="TX502292"/>
    <x v="1"/>
    <x v="12"/>
    <n v="52.1"/>
    <n v="208.4"/>
    <x v="84"/>
    <d v="2025-03-27T00:00:00"/>
    <x v="2"/>
    <x v="0"/>
    <x v="2"/>
    <s v="California"/>
    <s v="Santa Clara County"/>
    <x v="3"/>
    <x v="12"/>
    <s v="March"/>
    <x v="2"/>
  </r>
  <r>
    <s v="TX502293"/>
    <x v="8"/>
    <x v="0"/>
    <n v="31"/>
    <n v="31"/>
    <x v="84"/>
    <d v="2025-03-27T00:00:00"/>
    <x v="1"/>
    <x v="0"/>
    <x v="1"/>
    <s v="California"/>
    <s v="Stanislaus County"/>
    <x v="3"/>
    <x v="12"/>
    <s v="March"/>
    <x v="1"/>
  </r>
  <r>
    <s v="TX502294"/>
    <x v="8"/>
    <x v="0"/>
    <n v="32"/>
    <n v="32"/>
    <x v="84"/>
    <d v="2025-03-28T00:00:00"/>
    <x v="3"/>
    <x v="3"/>
    <x v="1"/>
    <s v="California"/>
    <s v="Sutter County"/>
    <x v="1"/>
    <x v="12"/>
    <s v="March"/>
    <x v="3"/>
  </r>
  <r>
    <s v="TX502295"/>
    <x v="16"/>
    <x v="12"/>
    <n v="58.3"/>
    <n v="233.2"/>
    <x v="84"/>
    <d v="2025-03-30T00:00:00"/>
    <x v="1"/>
    <x v="1"/>
    <x v="4"/>
    <s v="California"/>
    <s v="Tulare County"/>
    <x v="5"/>
    <x v="12"/>
    <s v="March"/>
    <x v="1"/>
  </r>
  <r>
    <s v="TX502296"/>
    <x v="8"/>
    <x v="2"/>
    <n v="31"/>
    <n v="93"/>
    <x v="84"/>
    <d v="2025-03-28T00:00:00"/>
    <x v="2"/>
    <x v="2"/>
    <x v="4"/>
    <s v="California"/>
    <s v="Ventura County"/>
    <x v="1"/>
    <x v="12"/>
    <s v="March"/>
    <x v="2"/>
  </r>
  <r>
    <s v="TX502297"/>
    <x v="3"/>
    <x v="0"/>
    <n v="40.299999999999997"/>
    <n v="40.299999999999997"/>
    <x v="84"/>
    <d v="2025-03-27T00:00:00"/>
    <x v="1"/>
    <x v="1"/>
    <x v="2"/>
    <s v="California"/>
    <s v="Colusa County"/>
    <x v="3"/>
    <x v="12"/>
    <s v="March"/>
    <x v="1"/>
  </r>
  <r>
    <s v="TX502298"/>
    <x v="6"/>
    <x v="2"/>
    <n v="47.3"/>
    <n v="141.89999999999998"/>
    <x v="84"/>
    <d v="2025-03-28T00:00:00"/>
    <x v="1"/>
    <x v="4"/>
    <x v="2"/>
    <s v="California"/>
    <s v="Fresno County"/>
    <x v="1"/>
    <x v="12"/>
    <s v="March"/>
    <x v="1"/>
  </r>
  <r>
    <s v="TX502299"/>
    <x v="2"/>
    <x v="0"/>
    <n v="82.8"/>
    <n v="82.8"/>
    <x v="84"/>
    <d v="2025-03-27T00:00:00"/>
    <x v="1"/>
    <x v="0"/>
    <x v="0"/>
    <s v="California"/>
    <s v="Fresno County"/>
    <x v="3"/>
    <x v="12"/>
    <s v="March"/>
    <x v="1"/>
  </r>
  <r>
    <s v="TX502300"/>
    <x v="8"/>
    <x v="0"/>
    <n v="18.5"/>
    <n v="18.5"/>
    <x v="84"/>
    <d v="2025-04-09T00:00:00"/>
    <x v="2"/>
    <x v="0"/>
    <x v="0"/>
    <s v="California"/>
    <s v="Humboldt County"/>
    <x v="12"/>
    <x v="12"/>
    <s v="March"/>
    <x v="2"/>
  </r>
  <r>
    <s v="TX502301"/>
    <x v="3"/>
    <x v="1"/>
    <n v="60.4"/>
    <n v="120.8"/>
    <x v="84"/>
    <d v="2025-03-27T00:00:00"/>
    <x v="1"/>
    <x v="2"/>
    <x v="0"/>
    <s v="California"/>
    <s v="Kern County"/>
    <x v="3"/>
    <x v="12"/>
    <s v="March"/>
    <x v="1"/>
  </r>
  <r>
    <s v="TX502302"/>
    <x v="6"/>
    <x v="9"/>
    <n v="80.2"/>
    <n v="401"/>
    <x v="84"/>
    <d v="2025-04-02T00:00:00"/>
    <x v="1"/>
    <x v="1"/>
    <x v="1"/>
    <s v="California"/>
    <s v="Lake County"/>
    <x v="6"/>
    <x v="12"/>
    <s v="March"/>
    <x v="1"/>
  </r>
  <r>
    <s v="TX502303"/>
    <x v="4"/>
    <x v="0"/>
    <n v="41.5"/>
    <n v="41.5"/>
    <x v="84"/>
    <d v="2025-03-28T00:00:00"/>
    <x v="1"/>
    <x v="2"/>
    <x v="0"/>
    <s v="California"/>
    <s v="Los Angeles County"/>
    <x v="1"/>
    <x v="12"/>
    <s v="March"/>
    <x v="1"/>
  </r>
  <r>
    <s v="TX502304"/>
    <x v="2"/>
    <x v="1"/>
    <n v="83.9"/>
    <n v="167.8"/>
    <x v="84"/>
    <d v="2025-03-29T00:00:00"/>
    <x v="2"/>
    <x v="0"/>
    <x v="0"/>
    <s v="California"/>
    <s v="Los Angeles County"/>
    <x v="2"/>
    <x v="12"/>
    <s v="March"/>
    <x v="2"/>
  </r>
  <r>
    <s v="TX502305"/>
    <x v="8"/>
    <x v="1"/>
    <n v="16.7"/>
    <n v="33.4"/>
    <x v="84"/>
    <d v="2025-03-30T00:00:00"/>
    <x v="2"/>
    <x v="0"/>
    <x v="1"/>
    <s v="California"/>
    <s v="Los Angeles County"/>
    <x v="5"/>
    <x v="12"/>
    <s v="March"/>
    <x v="2"/>
  </r>
  <r>
    <s v="TX502306"/>
    <x v="9"/>
    <x v="1"/>
    <n v="72.900000000000006"/>
    <n v="145.80000000000001"/>
    <x v="84"/>
    <d v="2025-03-27T00:00:00"/>
    <x v="1"/>
    <x v="2"/>
    <x v="1"/>
    <s v="California"/>
    <s v="Los Angeles County"/>
    <x v="3"/>
    <x v="12"/>
    <s v="March"/>
    <x v="1"/>
  </r>
  <r>
    <s v="TX502307"/>
    <x v="5"/>
    <x v="1"/>
    <n v="50.2"/>
    <n v="100.4"/>
    <x v="84"/>
    <d v="2025-03-28T00:00:00"/>
    <x v="2"/>
    <x v="1"/>
    <x v="2"/>
    <s v="California"/>
    <s v="Los Angeles County"/>
    <x v="1"/>
    <x v="12"/>
    <s v="March"/>
    <x v="2"/>
  </r>
  <r>
    <s v="TX502308"/>
    <x v="3"/>
    <x v="1"/>
    <n v="34.200000000000003"/>
    <n v="68.400000000000006"/>
    <x v="84"/>
    <d v="2025-04-05T00:00:00"/>
    <x v="0"/>
    <x v="1"/>
    <x v="0"/>
    <s v="California"/>
    <s v="Los Angeles County"/>
    <x v="14"/>
    <x v="12"/>
    <s v="March"/>
    <x v="0"/>
  </r>
  <r>
    <s v="TX502309"/>
    <x v="5"/>
    <x v="1"/>
    <n v="107.9"/>
    <n v="215.8"/>
    <x v="84"/>
    <d v="2025-03-26T00:00:00"/>
    <x v="1"/>
    <x v="1"/>
    <x v="4"/>
    <s v="California"/>
    <s v="Los Angeles County"/>
    <x v="7"/>
    <x v="12"/>
    <s v="March"/>
    <x v="1"/>
  </r>
  <r>
    <s v="TX502310"/>
    <x v="0"/>
    <x v="2"/>
    <n v="17.5"/>
    <n v="52.5"/>
    <x v="84"/>
    <d v="2025-03-28T00:00:00"/>
    <x v="1"/>
    <x v="4"/>
    <x v="0"/>
    <s v="California"/>
    <s v="Los Angeles County"/>
    <x v="1"/>
    <x v="12"/>
    <s v="March"/>
    <x v="1"/>
  </r>
  <r>
    <s v="TX502311"/>
    <x v="13"/>
    <x v="20"/>
    <n v="44.7"/>
    <n v="670.5"/>
    <x v="84"/>
    <d v="2025-03-27T00:00:00"/>
    <x v="1"/>
    <x v="0"/>
    <x v="1"/>
    <s v="California"/>
    <s v="Los Angeles County"/>
    <x v="3"/>
    <x v="12"/>
    <s v="March"/>
    <x v="1"/>
  </r>
  <r>
    <s v="TX502312"/>
    <x v="12"/>
    <x v="13"/>
    <n v="92.7"/>
    <n v="556.20000000000005"/>
    <x v="84"/>
    <d v="2025-03-28T00:00:00"/>
    <x v="2"/>
    <x v="2"/>
    <x v="1"/>
    <s v="California"/>
    <s v="Los Angeles County"/>
    <x v="1"/>
    <x v="12"/>
    <s v="March"/>
    <x v="2"/>
  </r>
  <r>
    <s v="TX502313"/>
    <x v="7"/>
    <x v="2"/>
    <n v="48.8"/>
    <n v="146.39999999999998"/>
    <x v="84"/>
    <d v="2025-03-28T00:00:00"/>
    <x v="2"/>
    <x v="2"/>
    <x v="0"/>
    <s v="California"/>
    <s v="Los Angeles County"/>
    <x v="1"/>
    <x v="12"/>
    <s v="March"/>
    <x v="2"/>
  </r>
  <r>
    <s v="TX502314"/>
    <x v="4"/>
    <x v="27"/>
    <n v="21.3"/>
    <n v="340.8"/>
    <x v="84"/>
    <d v="2025-03-30T00:00:00"/>
    <x v="2"/>
    <x v="3"/>
    <x v="3"/>
    <s v="California"/>
    <s v="Los Angeles County"/>
    <x v="5"/>
    <x v="12"/>
    <s v="March"/>
    <x v="2"/>
  </r>
  <r>
    <s v="TX502315"/>
    <x v="16"/>
    <x v="0"/>
    <n v="52.5"/>
    <n v="52.5"/>
    <x v="84"/>
    <d v="2025-03-27T00:00:00"/>
    <x v="2"/>
    <x v="0"/>
    <x v="0"/>
    <s v="California"/>
    <s v="Los Angeles County"/>
    <x v="3"/>
    <x v="12"/>
    <s v="March"/>
    <x v="2"/>
  </r>
  <r>
    <s v="TX502316"/>
    <x v="1"/>
    <x v="1"/>
    <n v="92.4"/>
    <n v="184.8"/>
    <x v="84"/>
    <d v="2025-04-01T00:00:00"/>
    <x v="2"/>
    <x v="0"/>
    <x v="2"/>
    <s v="California"/>
    <s v="Los Angeles County"/>
    <x v="4"/>
    <x v="12"/>
    <s v="March"/>
    <x v="2"/>
  </r>
  <r>
    <s v="TX502317"/>
    <x v="4"/>
    <x v="5"/>
    <n v="58.3"/>
    <n v="641.29999999999995"/>
    <x v="84"/>
    <d v="2025-03-28T00:00:00"/>
    <x v="1"/>
    <x v="1"/>
    <x v="2"/>
    <s v="California"/>
    <s v="Los Angeles County"/>
    <x v="1"/>
    <x v="12"/>
    <s v="March"/>
    <x v="1"/>
  </r>
  <r>
    <s v="TX502318"/>
    <x v="6"/>
    <x v="44"/>
    <n v="152.6"/>
    <n v="3509.7999999999997"/>
    <x v="85"/>
    <d v="2025-03-29T00:00:00"/>
    <x v="0"/>
    <x v="0"/>
    <x v="0"/>
    <s v="California"/>
    <s v="Los Angeles County"/>
    <x v="1"/>
    <x v="12"/>
    <s v="March"/>
    <x v="0"/>
  </r>
  <r>
    <s v="TX502319"/>
    <x v="8"/>
    <x v="1"/>
    <n v="26"/>
    <n v="52"/>
    <x v="85"/>
    <d v="2025-03-27T00:00:00"/>
    <x v="0"/>
    <x v="0"/>
    <x v="1"/>
    <s v="California"/>
    <s v="Los Angeles County"/>
    <x v="7"/>
    <x v="12"/>
    <s v="March"/>
    <x v="0"/>
  </r>
  <r>
    <s v="TX502320"/>
    <x v="1"/>
    <x v="12"/>
    <n v="33.1"/>
    <n v="132.4"/>
    <x v="85"/>
    <d v="2025-03-27T00:00:00"/>
    <x v="1"/>
    <x v="2"/>
    <x v="4"/>
    <s v="California"/>
    <s v="Placer County"/>
    <x v="7"/>
    <x v="12"/>
    <s v="March"/>
    <x v="1"/>
  </r>
  <r>
    <s v="TX502321"/>
    <x v="18"/>
    <x v="0"/>
    <n v="51.4"/>
    <n v="51.4"/>
    <x v="85"/>
    <d v="2025-03-29T00:00:00"/>
    <x v="2"/>
    <x v="1"/>
    <x v="1"/>
    <s v="California"/>
    <s v="Placer County"/>
    <x v="1"/>
    <x v="12"/>
    <s v="March"/>
    <x v="2"/>
  </r>
  <r>
    <s v="TX502322"/>
    <x v="8"/>
    <x v="1"/>
    <n v="30.2"/>
    <n v="60.4"/>
    <x v="85"/>
    <d v="2025-03-28T00:00:00"/>
    <x v="2"/>
    <x v="2"/>
    <x v="2"/>
    <s v="California"/>
    <s v="Sacramento County"/>
    <x v="3"/>
    <x v="12"/>
    <s v="March"/>
    <x v="2"/>
  </r>
  <r>
    <s v="TX502323"/>
    <x v="2"/>
    <x v="13"/>
    <n v="97"/>
    <n v="582"/>
    <x v="85"/>
    <d v="2025-03-31T00:00:00"/>
    <x v="2"/>
    <x v="0"/>
    <x v="2"/>
    <s v="California"/>
    <s v="San Bernardino County"/>
    <x v="5"/>
    <x v="12"/>
    <s v="March"/>
    <x v="2"/>
  </r>
  <r>
    <s v="TX502324"/>
    <x v="2"/>
    <x v="0"/>
    <n v="76.900000000000006"/>
    <n v="76.900000000000006"/>
    <x v="85"/>
    <d v="2025-03-28T00:00:00"/>
    <x v="1"/>
    <x v="1"/>
    <x v="2"/>
    <s v="California"/>
    <s v="San Diego County"/>
    <x v="3"/>
    <x v="12"/>
    <s v="March"/>
    <x v="1"/>
  </r>
  <r>
    <s v="TX502325"/>
    <x v="7"/>
    <x v="13"/>
    <n v="36.1"/>
    <n v="216.60000000000002"/>
    <x v="85"/>
    <d v="2025-03-31T00:00:00"/>
    <x v="2"/>
    <x v="0"/>
    <x v="0"/>
    <s v="California"/>
    <s v="San Diego County"/>
    <x v="5"/>
    <x v="12"/>
    <s v="March"/>
    <x v="2"/>
  </r>
  <r>
    <s v="TX502326"/>
    <x v="1"/>
    <x v="3"/>
    <n v="34.4"/>
    <n v="240.79999999999998"/>
    <x v="85"/>
    <d v="2025-03-27T00:00:00"/>
    <x v="2"/>
    <x v="2"/>
    <x v="1"/>
    <s v="California"/>
    <s v="Santa Clara County"/>
    <x v="7"/>
    <x v="12"/>
    <s v="March"/>
    <x v="2"/>
  </r>
  <r>
    <s v="TX502327"/>
    <x v="1"/>
    <x v="31"/>
    <n v="53.4"/>
    <n v="1495.2"/>
    <x v="85"/>
    <d v="2025-03-29T00:00:00"/>
    <x v="2"/>
    <x v="1"/>
    <x v="0"/>
    <s v="California"/>
    <s v="Sonoma County"/>
    <x v="1"/>
    <x v="12"/>
    <s v="March"/>
    <x v="2"/>
  </r>
  <r>
    <s v="TX502328"/>
    <x v="2"/>
    <x v="0"/>
    <n v="77.599999999999994"/>
    <n v="77.599999999999994"/>
    <x v="85"/>
    <d v="2025-03-28T00:00:00"/>
    <x v="2"/>
    <x v="0"/>
    <x v="1"/>
    <s v="California"/>
    <s v="Stanislaus County"/>
    <x v="3"/>
    <x v="12"/>
    <s v="March"/>
    <x v="2"/>
  </r>
  <r>
    <s v="TX502329"/>
    <x v="1"/>
    <x v="2"/>
    <n v="71.7"/>
    <n v="215.10000000000002"/>
    <x v="85"/>
    <d v="2025-03-30T00:00:00"/>
    <x v="2"/>
    <x v="1"/>
    <x v="0"/>
    <s v="California"/>
    <s v="Stanislaus County"/>
    <x v="2"/>
    <x v="12"/>
    <s v="March"/>
    <x v="2"/>
  </r>
  <r>
    <s v="TX502330"/>
    <x v="3"/>
    <x v="2"/>
    <n v="80.599999999999994"/>
    <n v="241.79999999999998"/>
    <x v="85"/>
    <d v="2025-03-28T00:00:00"/>
    <x v="1"/>
    <x v="4"/>
    <x v="1"/>
    <s v="California"/>
    <s v="Stanislaus County"/>
    <x v="3"/>
    <x v="12"/>
    <s v="March"/>
    <x v="1"/>
  </r>
  <r>
    <s v="TX502331"/>
    <x v="1"/>
    <x v="20"/>
    <n v="70"/>
    <n v="1050"/>
    <x v="85"/>
    <d v="2025-03-29T00:00:00"/>
    <x v="1"/>
    <x v="0"/>
    <x v="0"/>
    <s v="California"/>
    <s v="Tulare County"/>
    <x v="1"/>
    <x v="12"/>
    <s v="March"/>
    <x v="1"/>
  </r>
  <r>
    <s v="TX502332"/>
    <x v="4"/>
    <x v="13"/>
    <n v="27.3"/>
    <n v="163.80000000000001"/>
    <x v="85"/>
    <d v="2025-03-29T00:00:00"/>
    <x v="2"/>
    <x v="1"/>
    <x v="1"/>
    <s v="California"/>
    <s v="Fresno County"/>
    <x v="1"/>
    <x v="12"/>
    <s v="March"/>
    <x v="2"/>
  </r>
  <r>
    <s v="TX502333"/>
    <x v="8"/>
    <x v="21"/>
    <n v="37.6"/>
    <n v="526.4"/>
    <x v="85"/>
    <d v="2025-03-29T00:00:00"/>
    <x v="1"/>
    <x v="1"/>
    <x v="0"/>
    <s v="California"/>
    <s v="Los Angeles County"/>
    <x v="1"/>
    <x v="12"/>
    <s v="March"/>
    <x v="1"/>
  </r>
  <r>
    <s v="TX502334"/>
    <x v="5"/>
    <x v="2"/>
    <n v="36.6"/>
    <n v="109.80000000000001"/>
    <x v="85"/>
    <d v="2025-03-29T00:00:00"/>
    <x v="2"/>
    <x v="4"/>
    <x v="0"/>
    <s v="California"/>
    <s v="Los Angeles County"/>
    <x v="1"/>
    <x v="12"/>
    <s v="March"/>
    <x v="2"/>
  </r>
  <r>
    <s v="TX502335"/>
    <x v="13"/>
    <x v="0"/>
    <n v="55.2"/>
    <n v="55.2"/>
    <x v="85"/>
    <d v="2025-03-29T00:00:00"/>
    <x v="1"/>
    <x v="3"/>
    <x v="0"/>
    <s v="California"/>
    <s v="Los Angeles County"/>
    <x v="1"/>
    <x v="12"/>
    <s v="March"/>
    <x v="1"/>
  </r>
  <r>
    <s v="TX502336"/>
    <x v="6"/>
    <x v="9"/>
    <n v="59.9"/>
    <n v="299.5"/>
    <x v="85"/>
    <d v="2025-03-29T00:00:00"/>
    <x v="1"/>
    <x v="0"/>
    <x v="0"/>
    <s v="California"/>
    <s v="Los Angeles County"/>
    <x v="1"/>
    <x v="12"/>
    <s v="March"/>
    <x v="1"/>
  </r>
  <r>
    <s v="TX502337"/>
    <x v="6"/>
    <x v="0"/>
    <n v="44"/>
    <n v="44"/>
    <x v="85"/>
    <d v="2025-03-28T00:00:00"/>
    <x v="2"/>
    <x v="2"/>
    <x v="2"/>
    <s v="California"/>
    <s v="Los Angeles County"/>
    <x v="3"/>
    <x v="12"/>
    <s v="March"/>
    <x v="2"/>
  </r>
  <r>
    <s v="TX502338"/>
    <x v="9"/>
    <x v="1"/>
    <n v="68.7"/>
    <n v="137.4"/>
    <x v="85"/>
    <d v="2025-03-27T00:00:00"/>
    <x v="1"/>
    <x v="0"/>
    <x v="0"/>
    <s v="California"/>
    <s v="Los Angeles County"/>
    <x v="7"/>
    <x v="12"/>
    <s v="March"/>
    <x v="1"/>
  </r>
  <r>
    <s v="TX502339"/>
    <x v="5"/>
    <x v="1"/>
    <n v="61.6"/>
    <n v="123.2"/>
    <x v="85"/>
    <d v="2025-03-31T00:00:00"/>
    <x v="1"/>
    <x v="3"/>
    <x v="1"/>
    <s v="California"/>
    <s v="Los Angeles County"/>
    <x v="5"/>
    <x v="12"/>
    <s v="March"/>
    <x v="1"/>
  </r>
  <r>
    <s v="TX502340"/>
    <x v="7"/>
    <x v="3"/>
    <n v="51.8"/>
    <n v="362.59999999999997"/>
    <x v="85"/>
    <d v="2025-03-28T00:00:00"/>
    <x v="1"/>
    <x v="0"/>
    <x v="0"/>
    <s v="California"/>
    <s v="Los Angeles County"/>
    <x v="3"/>
    <x v="12"/>
    <s v="March"/>
    <x v="1"/>
  </r>
  <r>
    <s v="TX502341"/>
    <x v="8"/>
    <x v="7"/>
    <n v="46.2"/>
    <n v="462"/>
    <x v="85"/>
    <d v="2025-03-29T00:00:00"/>
    <x v="1"/>
    <x v="1"/>
    <x v="2"/>
    <s v="California"/>
    <s v="Los Angeles County"/>
    <x v="1"/>
    <x v="12"/>
    <s v="March"/>
    <x v="1"/>
  </r>
  <r>
    <s v="TX502342"/>
    <x v="0"/>
    <x v="1"/>
    <n v="19.399999999999999"/>
    <n v="38.799999999999997"/>
    <x v="85"/>
    <d v="2025-03-29T00:00:00"/>
    <x v="2"/>
    <x v="1"/>
    <x v="2"/>
    <s v="California"/>
    <s v="Sacramento County"/>
    <x v="1"/>
    <x v="12"/>
    <s v="March"/>
    <x v="2"/>
  </r>
  <r>
    <s v="TX502343"/>
    <x v="11"/>
    <x v="2"/>
    <n v="52.1"/>
    <n v="156.30000000000001"/>
    <x v="85"/>
    <d v="2025-03-30T00:00:00"/>
    <x v="1"/>
    <x v="3"/>
    <x v="3"/>
    <s v="California"/>
    <s v="Sacramento County"/>
    <x v="2"/>
    <x v="12"/>
    <s v="March"/>
    <x v="1"/>
  </r>
  <r>
    <s v="TX502344"/>
    <x v="6"/>
    <x v="0"/>
    <n v="74.900000000000006"/>
    <n v="74.900000000000006"/>
    <x v="85"/>
    <d v="2025-03-29T00:00:00"/>
    <x v="3"/>
    <x v="0"/>
    <x v="0"/>
    <s v="California"/>
    <s v="San Bernardino County"/>
    <x v="1"/>
    <x v="12"/>
    <s v="March"/>
    <x v="3"/>
  </r>
  <r>
    <s v="TX502345"/>
    <x v="9"/>
    <x v="3"/>
    <n v="49.6"/>
    <n v="347.2"/>
    <x v="85"/>
    <d v="2025-03-30T00:00:00"/>
    <x v="2"/>
    <x v="4"/>
    <x v="0"/>
    <s v="California"/>
    <s v="San Diego County"/>
    <x v="2"/>
    <x v="12"/>
    <s v="March"/>
    <x v="2"/>
  </r>
  <r>
    <s v="TX502346"/>
    <x v="16"/>
    <x v="12"/>
    <n v="82.8"/>
    <n v="331.2"/>
    <x v="86"/>
    <d v="2025-03-31T00:00:00"/>
    <x v="2"/>
    <x v="4"/>
    <x v="0"/>
    <s v="California"/>
    <s v="San Diego County"/>
    <x v="2"/>
    <x v="12"/>
    <s v="March"/>
    <x v="2"/>
  </r>
  <r>
    <s v="TX502347"/>
    <x v="2"/>
    <x v="0"/>
    <n v="97.7"/>
    <n v="97.7"/>
    <x v="86"/>
    <d v="2025-03-29T00:00:00"/>
    <x v="2"/>
    <x v="1"/>
    <x v="0"/>
    <s v="California"/>
    <s v="San Diego County"/>
    <x v="3"/>
    <x v="12"/>
    <s v="March"/>
    <x v="2"/>
  </r>
  <r>
    <s v="TX502348"/>
    <x v="6"/>
    <x v="9"/>
    <n v="83.6"/>
    <n v="418"/>
    <x v="86"/>
    <d v="2025-03-29T00:00:00"/>
    <x v="2"/>
    <x v="4"/>
    <x v="0"/>
    <s v="California"/>
    <s v="San Diego County"/>
    <x v="3"/>
    <x v="12"/>
    <s v="March"/>
    <x v="2"/>
  </r>
  <r>
    <s v="TX502349"/>
    <x v="8"/>
    <x v="9"/>
    <n v="23.5"/>
    <n v="117.5"/>
    <x v="86"/>
    <d v="2025-04-01T00:00:00"/>
    <x v="3"/>
    <x v="0"/>
    <x v="0"/>
    <s v="California"/>
    <s v="San Diego County"/>
    <x v="5"/>
    <x v="12"/>
    <s v="March"/>
    <x v="3"/>
  </r>
  <r>
    <s v="TX502350"/>
    <x v="9"/>
    <x v="2"/>
    <n v="44.6"/>
    <n v="133.80000000000001"/>
    <x v="86"/>
    <d v="2025-03-31T00:00:00"/>
    <x v="2"/>
    <x v="4"/>
    <x v="1"/>
    <s v="California"/>
    <s v="San Joaquin County"/>
    <x v="2"/>
    <x v="12"/>
    <s v="March"/>
    <x v="2"/>
  </r>
  <r>
    <s v="TX502351"/>
    <x v="0"/>
    <x v="2"/>
    <n v="20.100000000000001"/>
    <n v="60.300000000000004"/>
    <x v="86"/>
    <d v="2025-03-30T00:00:00"/>
    <x v="2"/>
    <x v="3"/>
    <x v="4"/>
    <s v="California"/>
    <s v="Santa Clara County"/>
    <x v="1"/>
    <x v="12"/>
    <s v="March"/>
    <x v="2"/>
  </r>
  <r>
    <s v="TX502352"/>
    <x v="2"/>
    <x v="9"/>
    <n v="153.6"/>
    <n v="768"/>
    <x v="86"/>
    <d v="2025-03-29T00:00:00"/>
    <x v="2"/>
    <x v="1"/>
    <x v="2"/>
    <s v="California"/>
    <s v="Shasta County"/>
    <x v="3"/>
    <x v="12"/>
    <s v="March"/>
    <x v="2"/>
  </r>
  <r>
    <s v="TX502353"/>
    <x v="1"/>
    <x v="1"/>
    <n v="71.8"/>
    <n v="143.6"/>
    <x v="86"/>
    <d v="2025-04-01T00:00:00"/>
    <x v="2"/>
    <x v="1"/>
    <x v="0"/>
    <s v="California"/>
    <s v="Contra Costa County"/>
    <x v="5"/>
    <x v="12"/>
    <s v="March"/>
    <x v="2"/>
  </r>
  <r>
    <s v="TX502354"/>
    <x v="10"/>
    <x v="0"/>
    <n v="64.7"/>
    <n v="64.7"/>
    <x v="86"/>
    <d v="2025-03-30T00:00:00"/>
    <x v="0"/>
    <x v="0"/>
    <x v="1"/>
    <s v="California"/>
    <s v="Contra Costa County"/>
    <x v="1"/>
    <x v="12"/>
    <s v="March"/>
    <x v="0"/>
  </r>
  <r>
    <s v="TX502355"/>
    <x v="9"/>
    <x v="8"/>
    <n v="60.4"/>
    <n v="483.2"/>
    <x v="86"/>
    <d v="2025-03-30T00:00:00"/>
    <x v="2"/>
    <x v="3"/>
    <x v="2"/>
    <s v="California"/>
    <s v="Fresno County"/>
    <x v="1"/>
    <x v="12"/>
    <s v="March"/>
    <x v="2"/>
  </r>
  <r>
    <s v="TX502356"/>
    <x v="6"/>
    <x v="12"/>
    <n v="86"/>
    <n v="344"/>
    <x v="86"/>
    <d v="2025-03-31T00:00:00"/>
    <x v="2"/>
    <x v="2"/>
    <x v="2"/>
    <s v="California"/>
    <s v="Kern County"/>
    <x v="2"/>
    <x v="12"/>
    <s v="March"/>
    <x v="2"/>
  </r>
  <r>
    <s v="TX502357"/>
    <x v="12"/>
    <x v="1"/>
    <n v="42.1"/>
    <n v="84.2"/>
    <x v="86"/>
    <d v="2025-03-29T00:00:00"/>
    <x v="2"/>
    <x v="4"/>
    <x v="1"/>
    <s v="California"/>
    <s v="Kings County"/>
    <x v="3"/>
    <x v="12"/>
    <s v="March"/>
    <x v="2"/>
  </r>
  <r>
    <s v="TX502358"/>
    <x v="16"/>
    <x v="11"/>
    <n v="51.1"/>
    <n v="459.90000000000003"/>
    <x v="86"/>
    <d v="2025-03-29T00:00:00"/>
    <x v="1"/>
    <x v="2"/>
    <x v="1"/>
    <s v="California"/>
    <s v="Los Angeles County"/>
    <x v="3"/>
    <x v="12"/>
    <s v="March"/>
    <x v="1"/>
  </r>
  <r>
    <s v="TX502359"/>
    <x v="9"/>
    <x v="12"/>
    <n v="73.8"/>
    <n v="295.2"/>
    <x v="86"/>
    <d v="2025-03-29T00:00:00"/>
    <x v="1"/>
    <x v="4"/>
    <x v="0"/>
    <s v="California"/>
    <s v="Los Angeles County"/>
    <x v="3"/>
    <x v="12"/>
    <s v="March"/>
    <x v="1"/>
  </r>
  <r>
    <s v="TX502360"/>
    <x v="8"/>
    <x v="9"/>
    <n v="27"/>
    <n v="135"/>
    <x v="86"/>
    <d v="2025-03-31T00:00:00"/>
    <x v="2"/>
    <x v="2"/>
    <x v="2"/>
    <s v="California"/>
    <s v="Los Angeles County"/>
    <x v="2"/>
    <x v="12"/>
    <s v="March"/>
    <x v="2"/>
  </r>
  <r>
    <s v="TX502361"/>
    <x v="8"/>
    <x v="13"/>
    <n v="60.1"/>
    <n v="360.6"/>
    <x v="86"/>
    <d v="2025-03-29T00:00:00"/>
    <x v="1"/>
    <x v="3"/>
    <x v="0"/>
    <s v="California"/>
    <s v="Los Angeles County"/>
    <x v="3"/>
    <x v="12"/>
    <s v="March"/>
    <x v="1"/>
  </r>
  <r>
    <s v="TX502362"/>
    <x v="2"/>
    <x v="3"/>
    <n v="94.1"/>
    <n v="658.69999999999993"/>
    <x v="86"/>
    <d v="2025-03-30T00:00:00"/>
    <x v="2"/>
    <x v="4"/>
    <x v="1"/>
    <s v="California"/>
    <s v="Los Angeles County"/>
    <x v="1"/>
    <x v="12"/>
    <s v="March"/>
    <x v="2"/>
  </r>
  <r>
    <s v="TX502363"/>
    <x v="2"/>
    <x v="1"/>
    <n v="124.1"/>
    <n v="248.2"/>
    <x v="86"/>
    <d v="2025-03-28T00:00:00"/>
    <x v="2"/>
    <x v="2"/>
    <x v="3"/>
    <s v="California"/>
    <s v="Marin County"/>
    <x v="7"/>
    <x v="12"/>
    <s v="March"/>
    <x v="2"/>
  </r>
  <r>
    <s v="TX502364"/>
    <x v="8"/>
    <x v="12"/>
    <n v="16.899999999999999"/>
    <n v="67.599999999999994"/>
    <x v="86"/>
    <d v="2025-03-31T00:00:00"/>
    <x v="1"/>
    <x v="3"/>
    <x v="0"/>
    <s v="California"/>
    <s v="Sacramento County"/>
    <x v="2"/>
    <x v="12"/>
    <s v="March"/>
    <x v="1"/>
  </r>
  <r>
    <s v="TX502365"/>
    <x v="1"/>
    <x v="0"/>
    <n v="36.9"/>
    <n v="36.9"/>
    <x v="86"/>
    <d v="2025-03-29T00:00:00"/>
    <x v="1"/>
    <x v="0"/>
    <x v="0"/>
    <s v="California"/>
    <s v="Sacramento County"/>
    <x v="3"/>
    <x v="12"/>
    <s v="March"/>
    <x v="1"/>
  </r>
  <r>
    <s v="TX502366"/>
    <x v="9"/>
    <x v="1"/>
    <n v="22.6"/>
    <n v="45.2"/>
    <x v="86"/>
    <d v="2025-04-10T00:00:00"/>
    <x v="2"/>
    <x v="2"/>
    <x v="1"/>
    <s v="California"/>
    <s v="San Diego County"/>
    <x v="10"/>
    <x v="12"/>
    <s v="March"/>
    <x v="2"/>
  </r>
  <r>
    <s v="TX502367"/>
    <x v="7"/>
    <x v="12"/>
    <n v="35"/>
    <n v="140"/>
    <x v="86"/>
    <d v="2025-04-02T00:00:00"/>
    <x v="1"/>
    <x v="3"/>
    <x v="1"/>
    <s v="California"/>
    <s v="San Diego County"/>
    <x v="0"/>
    <x v="12"/>
    <s v="March"/>
    <x v="1"/>
  </r>
  <r>
    <s v="TX502368"/>
    <x v="9"/>
    <x v="13"/>
    <n v="63.6"/>
    <n v="381.6"/>
    <x v="86"/>
    <d v="2025-04-04T00:00:00"/>
    <x v="0"/>
    <x v="1"/>
    <x v="2"/>
    <s v="California"/>
    <s v="San Diego County"/>
    <x v="6"/>
    <x v="12"/>
    <s v="March"/>
    <x v="0"/>
  </r>
  <r>
    <s v="TX502369"/>
    <x v="15"/>
    <x v="12"/>
    <n v="78.599999999999994"/>
    <n v="314.39999999999998"/>
    <x v="86"/>
    <d v="2025-03-29T00:00:00"/>
    <x v="1"/>
    <x v="4"/>
    <x v="1"/>
    <s v="California"/>
    <s v="San Diego County"/>
    <x v="3"/>
    <x v="12"/>
    <s v="March"/>
    <x v="1"/>
  </r>
  <r>
    <s v="TX502370"/>
    <x v="3"/>
    <x v="1"/>
    <n v="38.5"/>
    <n v="77"/>
    <x v="86"/>
    <d v="2025-03-29T00:00:00"/>
    <x v="1"/>
    <x v="0"/>
    <x v="2"/>
    <s v="California"/>
    <s v="San Diego County"/>
    <x v="3"/>
    <x v="12"/>
    <s v="March"/>
    <x v="1"/>
  </r>
  <r>
    <s v="TX502371"/>
    <x v="8"/>
    <x v="5"/>
    <n v="71.5"/>
    <n v="786.5"/>
    <x v="86"/>
    <d v="2025-03-29T00:00:00"/>
    <x v="2"/>
    <x v="1"/>
    <x v="4"/>
    <s v="California"/>
    <s v="San Diego County"/>
    <x v="3"/>
    <x v="12"/>
    <s v="March"/>
    <x v="2"/>
  </r>
  <r>
    <s v="TX502372"/>
    <x v="6"/>
    <x v="12"/>
    <n v="121.4"/>
    <n v="485.6"/>
    <x v="86"/>
    <d v="2025-04-01T00:00:00"/>
    <x v="1"/>
    <x v="1"/>
    <x v="2"/>
    <s v="California"/>
    <s v="San Francisco"/>
    <x v="5"/>
    <x v="12"/>
    <s v="March"/>
    <x v="1"/>
  </r>
  <r>
    <s v="TX502373"/>
    <x v="11"/>
    <x v="0"/>
    <n v="40.200000000000003"/>
    <n v="40.200000000000003"/>
    <x v="86"/>
    <d v="2025-03-31T00:00:00"/>
    <x v="2"/>
    <x v="0"/>
    <x v="2"/>
    <s v="California"/>
    <s v="Santa Clara County"/>
    <x v="2"/>
    <x v="12"/>
    <s v="March"/>
    <x v="2"/>
  </r>
  <r>
    <s v="TX502374"/>
    <x v="5"/>
    <x v="9"/>
    <n v="31.9"/>
    <n v="159.5"/>
    <x v="86"/>
    <d v="2025-03-30T00:00:00"/>
    <x v="2"/>
    <x v="2"/>
    <x v="2"/>
    <s v="California"/>
    <s v="Yolo County"/>
    <x v="1"/>
    <x v="12"/>
    <s v="March"/>
    <x v="2"/>
  </r>
  <r>
    <s v="TX502375"/>
    <x v="14"/>
    <x v="9"/>
    <n v="15.8"/>
    <n v="79"/>
    <x v="87"/>
    <d v="2025-03-30T00:00:00"/>
    <x v="1"/>
    <x v="3"/>
    <x v="2"/>
    <s v="California"/>
    <s v="Alameda County"/>
    <x v="3"/>
    <x v="12"/>
    <s v="March"/>
    <x v="1"/>
  </r>
  <r>
    <s v="TX502376"/>
    <x v="10"/>
    <x v="1"/>
    <n v="25.1"/>
    <n v="50.2"/>
    <x v="87"/>
    <d v="2025-03-31T00:00:00"/>
    <x v="0"/>
    <x v="1"/>
    <x v="0"/>
    <s v="California"/>
    <s v="Alameda County"/>
    <x v="1"/>
    <x v="12"/>
    <s v="March"/>
    <x v="0"/>
  </r>
  <r>
    <s v="TX502377"/>
    <x v="1"/>
    <x v="44"/>
    <n v="38.1"/>
    <n v="876.30000000000007"/>
    <x v="87"/>
    <d v="2025-03-30T00:00:00"/>
    <x v="2"/>
    <x v="4"/>
    <x v="0"/>
    <s v="California"/>
    <s v="Contra Costa County"/>
    <x v="3"/>
    <x v="12"/>
    <s v="March"/>
    <x v="2"/>
  </r>
  <r>
    <s v="TX502378"/>
    <x v="3"/>
    <x v="1"/>
    <n v="42.2"/>
    <n v="84.4"/>
    <x v="87"/>
    <d v="2025-03-31T00:00:00"/>
    <x v="2"/>
    <x v="0"/>
    <x v="2"/>
    <s v="California"/>
    <s v="Contra Costa County"/>
    <x v="1"/>
    <x v="12"/>
    <s v="March"/>
    <x v="2"/>
  </r>
  <r>
    <s v="TX502379"/>
    <x v="0"/>
    <x v="7"/>
    <n v="12.3"/>
    <n v="123"/>
    <x v="87"/>
    <d v="2025-03-30T00:00:00"/>
    <x v="2"/>
    <x v="4"/>
    <x v="0"/>
    <s v="California"/>
    <s v="Fresno County"/>
    <x v="3"/>
    <x v="12"/>
    <s v="March"/>
    <x v="2"/>
  </r>
  <r>
    <s v="TX502380"/>
    <x v="7"/>
    <x v="0"/>
    <n v="30.2"/>
    <n v="30.2"/>
    <x v="87"/>
    <d v="2025-03-31T00:00:00"/>
    <x v="2"/>
    <x v="1"/>
    <x v="2"/>
    <s v="California"/>
    <s v="Kings County"/>
    <x v="1"/>
    <x v="12"/>
    <s v="March"/>
    <x v="2"/>
  </r>
  <r>
    <s v="TX502381"/>
    <x v="5"/>
    <x v="2"/>
    <n v="25.3"/>
    <n v="75.900000000000006"/>
    <x v="87"/>
    <d v="2025-04-01T00:00:00"/>
    <x v="2"/>
    <x v="2"/>
    <x v="0"/>
    <s v="California"/>
    <s v="Los Angeles County"/>
    <x v="2"/>
    <x v="12"/>
    <s v="March"/>
    <x v="2"/>
  </r>
  <r>
    <s v="TX502382"/>
    <x v="8"/>
    <x v="9"/>
    <n v="29.7"/>
    <n v="148.5"/>
    <x v="87"/>
    <d v="2025-03-31T00:00:00"/>
    <x v="1"/>
    <x v="3"/>
    <x v="0"/>
    <s v="California"/>
    <s v="Los Angeles County"/>
    <x v="1"/>
    <x v="12"/>
    <s v="March"/>
    <x v="1"/>
  </r>
  <r>
    <s v="TX502383"/>
    <x v="9"/>
    <x v="8"/>
    <n v="32.9"/>
    <n v="263.2"/>
    <x v="87"/>
    <d v="2025-03-30T00:00:00"/>
    <x v="0"/>
    <x v="3"/>
    <x v="2"/>
    <s v="California"/>
    <s v="Los Angeles County"/>
    <x v="3"/>
    <x v="12"/>
    <s v="March"/>
    <x v="0"/>
  </r>
  <r>
    <s v="TX502384"/>
    <x v="10"/>
    <x v="1"/>
    <n v="43.6"/>
    <n v="87.2"/>
    <x v="87"/>
    <d v="2025-03-30T00:00:00"/>
    <x v="1"/>
    <x v="1"/>
    <x v="2"/>
    <s v="California"/>
    <s v="Los Angeles County"/>
    <x v="3"/>
    <x v="12"/>
    <s v="March"/>
    <x v="1"/>
  </r>
  <r>
    <s v="TX502385"/>
    <x v="15"/>
    <x v="12"/>
    <n v="78.400000000000006"/>
    <n v="313.60000000000002"/>
    <x v="87"/>
    <d v="2025-03-30T00:00:00"/>
    <x v="1"/>
    <x v="2"/>
    <x v="0"/>
    <s v="California"/>
    <s v="Los Angeles County"/>
    <x v="3"/>
    <x v="12"/>
    <s v="March"/>
    <x v="1"/>
  </r>
  <r>
    <s v="TX502386"/>
    <x v="6"/>
    <x v="1"/>
    <n v="56.5"/>
    <n v="113"/>
    <x v="87"/>
    <d v="2025-04-02T00:00:00"/>
    <x v="1"/>
    <x v="1"/>
    <x v="1"/>
    <s v="California"/>
    <s v="Los Angeles County"/>
    <x v="5"/>
    <x v="12"/>
    <s v="March"/>
    <x v="1"/>
  </r>
  <r>
    <s v="TX502387"/>
    <x v="16"/>
    <x v="0"/>
    <n v="36.700000000000003"/>
    <n v="36.700000000000003"/>
    <x v="87"/>
    <d v="2025-03-30T00:00:00"/>
    <x v="2"/>
    <x v="0"/>
    <x v="2"/>
    <s v="California"/>
    <s v="Los Angeles County"/>
    <x v="3"/>
    <x v="12"/>
    <s v="March"/>
    <x v="2"/>
  </r>
  <r>
    <s v="TX502388"/>
    <x v="2"/>
    <x v="12"/>
    <n v="103.6"/>
    <n v="414.4"/>
    <x v="87"/>
    <d v="2025-04-09T00:00:00"/>
    <x v="1"/>
    <x v="4"/>
    <x v="2"/>
    <s v="California"/>
    <s v="Los Angeles County"/>
    <x v="11"/>
    <x v="12"/>
    <s v="March"/>
    <x v="1"/>
  </r>
  <r>
    <s v="TX502389"/>
    <x v="8"/>
    <x v="13"/>
    <n v="16.2"/>
    <n v="97.199999999999989"/>
    <x v="87"/>
    <d v="2025-04-02T00:00:00"/>
    <x v="1"/>
    <x v="1"/>
    <x v="2"/>
    <s v="California"/>
    <s v="Sacramento County"/>
    <x v="5"/>
    <x v="12"/>
    <s v="March"/>
    <x v="1"/>
  </r>
  <r>
    <s v="TX502390"/>
    <x v="8"/>
    <x v="1"/>
    <n v="20.2"/>
    <n v="40.4"/>
    <x v="87"/>
    <d v="2025-03-30T00:00:00"/>
    <x v="2"/>
    <x v="0"/>
    <x v="0"/>
    <s v="California"/>
    <s v="Sacramento County"/>
    <x v="3"/>
    <x v="12"/>
    <s v="March"/>
    <x v="2"/>
  </r>
  <r>
    <s v="TX502391"/>
    <x v="11"/>
    <x v="1"/>
    <n v="26.9"/>
    <n v="53.8"/>
    <x v="87"/>
    <d v="2025-03-31T00:00:00"/>
    <x v="2"/>
    <x v="2"/>
    <x v="0"/>
    <s v="California"/>
    <s v="Sacramento County"/>
    <x v="1"/>
    <x v="12"/>
    <s v="March"/>
    <x v="2"/>
  </r>
  <r>
    <s v="TX502392"/>
    <x v="1"/>
    <x v="1"/>
    <n v="82.4"/>
    <n v="164.8"/>
    <x v="87"/>
    <d v="2025-04-01T00:00:00"/>
    <x v="0"/>
    <x v="0"/>
    <x v="0"/>
    <s v="California"/>
    <s v="San Bernardino County"/>
    <x v="2"/>
    <x v="12"/>
    <s v="March"/>
    <x v="0"/>
  </r>
  <r>
    <s v="TX502393"/>
    <x v="2"/>
    <x v="1"/>
    <n v="117.8"/>
    <n v="235.6"/>
    <x v="87"/>
    <d v="2025-03-31T00:00:00"/>
    <x v="1"/>
    <x v="1"/>
    <x v="2"/>
    <s v="California"/>
    <s v="San Diego County"/>
    <x v="1"/>
    <x v="12"/>
    <s v="March"/>
    <x v="1"/>
  </r>
  <r>
    <s v="TX502394"/>
    <x v="11"/>
    <x v="12"/>
    <n v="36.700000000000003"/>
    <n v="146.80000000000001"/>
    <x v="87"/>
    <d v="2025-03-30T00:00:00"/>
    <x v="1"/>
    <x v="1"/>
    <x v="0"/>
    <s v="California"/>
    <s v="San Diego County"/>
    <x v="3"/>
    <x v="12"/>
    <s v="March"/>
    <x v="1"/>
  </r>
  <r>
    <s v="TX502395"/>
    <x v="17"/>
    <x v="2"/>
    <n v="46.8"/>
    <n v="140.39999999999998"/>
    <x v="87"/>
    <d v="2025-03-30T00:00:00"/>
    <x v="1"/>
    <x v="4"/>
    <x v="2"/>
    <s v="California"/>
    <s v="Santa Barbara County"/>
    <x v="3"/>
    <x v="12"/>
    <s v="March"/>
    <x v="1"/>
  </r>
  <r>
    <s v="TX502396"/>
    <x v="3"/>
    <x v="0"/>
    <n v="61.4"/>
    <n v="61.4"/>
    <x v="87"/>
    <d v="2025-03-30T00:00:00"/>
    <x v="1"/>
    <x v="1"/>
    <x v="0"/>
    <s v="California"/>
    <s v="Santa Barbara County"/>
    <x v="3"/>
    <x v="12"/>
    <s v="March"/>
    <x v="1"/>
  </r>
  <r>
    <s v="TX502397"/>
    <x v="15"/>
    <x v="1"/>
    <n v="22.9"/>
    <n v="45.8"/>
    <x v="87"/>
    <d v="2025-03-30T00:00:00"/>
    <x v="1"/>
    <x v="0"/>
    <x v="0"/>
    <s v="California"/>
    <s v="Santa Clara County"/>
    <x v="3"/>
    <x v="12"/>
    <s v="March"/>
    <x v="1"/>
  </r>
  <r>
    <s v="TX502398"/>
    <x v="10"/>
    <x v="1"/>
    <n v="22.1"/>
    <n v="44.2"/>
    <x v="87"/>
    <d v="2025-03-30T00:00:00"/>
    <x v="2"/>
    <x v="4"/>
    <x v="0"/>
    <s v="California"/>
    <s v="Santa Clara County"/>
    <x v="3"/>
    <x v="12"/>
    <s v="March"/>
    <x v="2"/>
  </r>
  <r>
    <s v="TX502399"/>
    <x v="12"/>
    <x v="1"/>
    <n v="31"/>
    <n v="62"/>
    <x v="87"/>
    <d v="2025-03-31T00:00:00"/>
    <x v="2"/>
    <x v="2"/>
    <x v="0"/>
    <s v="California"/>
    <s v="Sonoma County"/>
    <x v="1"/>
    <x v="12"/>
    <s v="March"/>
    <x v="2"/>
  </r>
  <r>
    <s v="TX502400"/>
    <x v="18"/>
    <x v="1"/>
    <n v="84.2"/>
    <n v="168.4"/>
    <x v="87"/>
    <d v="2025-03-31T00:00:00"/>
    <x v="1"/>
    <x v="2"/>
    <x v="2"/>
    <s v="California"/>
    <s v="Ventura County"/>
    <x v="1"/>
    <x v="12"/>
    <s v="March"/>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h="1" x="0"/>
        <item x="3"/>
        <item h="1" x="4"/>
        <item h="1" x="2"/>
        <item h="1" x="1"/>
        <item t="default"/>
      </items>
    </pivotField>
    <pivotField dataField="1" showAll="0"/>
    <pivotField showAll="0"/>
    <pivotField showAll="0"/>
    <pivotField dataField="1" showAll="0"/>
    <pivotField showAll="0"/>
    <pivotField showAll="0"/>
    <pivotField showAll="0">
      <items count="5">
        <item h="1" x="2"/>
        <item x="1"/>
        <item h="1" x="3"/>
        <item h="1" x="0"/>
        <item t="default"/>
      </items>
    </pivotField>
    <pivotField showAll="0" defaultSubtotal="0">
      <items count="7">
        <item x="0"/>
        <item x="1"/>
        <item x="2"/>
        <item x="4"/>
        <item x="3"/>
        <item x="5"/>
        <item x="6"/>
      </items>
    </pivotField>
    <pivotField showAll="0" defaultSubtotal="0">
      <items count="14">
        <item x="0"/>
        <item x="1"/>
        <item x="2"/>
        <item x="3"/>
        <item x="4"/>
        <item x="5"/>
        <item x="6"/>
        <item x="7"/>
        <item x="8"/>
        <item x="9"/>
        <item x="10"/>
        <item x="11"/>
        <item x="12"/>
        <item x="13"/>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3"/>
    <dataField name="Average of Days to Deliver" fld="12" subtotal="average" baseField="0"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A3:C17"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pivotField showAll="0">
      <items count="5">
        <item h="1" x="2"/>
        <item x="1"/>
        <item h="1" x="3"/>
        <item h="1" x="0"/>
        <item t="default"/>
      </items>
    </pivotField>
    <pivotField showAll="0" defaultSubtotal="0">
      <items count="7">
        <item x="0"/>
        <item x="1"/>
        <item x="2"/>
        <item x="4"/>
        <item x="3"/>
        <item x="5"/>
        <item x="6"/>
      </items>
    </pivotField>
    <pivotField showAll="0" defaultSubtotal="0">
      <items count="14">
        <item x="0"/>
        <item x="1"/>
        <item x="2"/>
        <item x="3"/>
        <item x="4"/>
        <item x="5"/>
        <item x="6"/>
        <item x="7"/>
        <item x="8"/>
        <item x="9"/>
        <item x="10"/>
        <item x="11"/>
        <item x="12"/>
        <item x="13"/>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dataFields>
  <formats count="1">
    <format dxfId="6">
      <pivotArea collapsedLevelsAreSubtotals="1" fieldPosition="0">
        <references count="2">
          <reference field="4294967294" count="1" selected="0">
            <x v="1"/>
          </reference>
          <reference field="13" count="0"/>
        </references>
      </pivotArea>
    </format>
  </formats>
  <chartFormats count="4">
    <chartFormat chart="1" format="2" series="1">
      <pivotArea type="data" outline="0" fieldPosition="0">
        <references count="1">
          <reference field="4294967294" count="1" selected="0">
            <x v="1"/>
          </reference>
        </references>
      </pivotArea>
    </chartFormat>
    <chartFormat chart="1" format="3"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 chart="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C6"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axis="axisRow" showAll="0">
      <items count="6">
        <item h="1" x="0"/>
        <item x="3"/>
        <item h="1" x="4"/>
        <item h="1" x="2"/>
        <item h="1" x="1"/>
        <item t="default"/>
      </items>
    </pivotField>
    <pivotField showAll="0"/>
    <pivotField showAll="0"/>
    <pivotField showAll="0"/>
    <pivotField showAll="0"/>
    <pivotField showAll="0"/>
    <pivotField showAll="0"/>
    <pivotField axis="axisCol" showAll="0">
      <items count="5">
        <item h="1" x="2"/>
        <item x="1"/>
        <item h="1" x="3"/>
        <item h="1" x="0"/>
        <item t="default"/>
      </items>
    </pivotField>
    <pivotField showAll="0" defaultSubtotal="0">
      <items count="7">
        <item x="0"/>
        <item x="1"/>
        <item x="2"/>
        <item x="4"/>
        <item x="3"/>
        <item x="5"/>
        <item x="6"/>
      </items>
    </pivotField>
    <pivotField showAll="0" defaultSubtotal="0">
      <items count="14">
        <item x="0"/>
        <item x="1"/>
        <item x="2"/>
        <item x="3"/>
        <item x="4"/>
        <item x="5"/>
        <item x="6"/>
        <item x="7"/>
        <item x="8"/>
        <item x="9"/>
        <item x="10"/>
        <item x="11"/>
        <item x="12"/>
        <item x="13"/>
      </items>
    </pivotField>
  </pivotFields>
  <rowFields count="1">
    <field x="8"/>
  </rowFields>
  <rowItems count="2">
    <i>
      <x v="1"/>
    </i>
    <i t="grand">
      <x/>
    </i>
  </rowItems>
  <colFields count="1">
    <field x="15"/>
  </colFields>
  <colItems count="2">
    <i>
      <x v="1"/>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5"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showAll="0"/>
    <pivotField showAll="0"/>
    <pivotField showAll="0">
      <items count="5">
        <item h="1" x="2"/>
        <item x="1"/>
        <item h="1" x="3"/>
        <item h="1" x="0"/>
        <item t="default"/>
      </items>
    </pivotField>
    <pivotField axis="axisRow" showAll="0" defaultSubtotal="0">
      <items count="7">
        <item x="0"/>
        <item x="1"/>
        <item x="2"/>
        <item x="4"/>
        <item x="3"/>
        <item n="6 to 10" x="5"/>
        <item n="More than 10" x="6"/>
      </items>
    </pivotField>
    <pivotField showAll="0" defaultSubtotal="0">
      <items count="14">
        <item x="0"/>
        <item x="1"/>
        <item x="2"/>
        <item x="3"/>
        <item x="4"/>
        <item x="5"/>
        <item x="6"/>
        <item x="7"/>
        <item x="8"/>
        <item x="9"/>
        <item x="10"/>
        <item x="11"/>
        <item x="12"/>
        <item x="13"/>
      </items>
    </pivotField>
  </pivotFields>
  <rowFields count="1">
    <field x="16"/>
  </rowFields>
  <rowItems count="8">
    <i>
      <x/>
    </i>
    <i>
      <x v="1"/>
    </i>
    <i>
      <x v="2"/>
    </i>
    <i>
      <x v="3"/>
    </i>
    <i>
      <x v="4"/>
    </i>
    <i>
      <x v="5"/>
    </i>
    <i>
      <x v="6"/>
    </i>
    <i t="grand">
      <x/>
    </i>
  </rowItems>
  <colItems count="1">
    <i/>
  </colItems>
  <dataFields count="1">
    <dataField name="Count of TX ID" fld="0" subtotal="count" baseField="0" baseItem="0"/>
  </dataFields>
  <chartFormats count="3">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opular sales "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5">
  <location ref="A3:E24" firstHeaderRow="1" firstDataRow="2" firstDataCol="1"/>
  <pivotFields count="18">
    <pivotField showAll="0"/>
    <pivotField axis="axisRow" showAll="0" sortType="a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axis="axisCol" showAll="0">
      <items count="5">
        <item x="0"/>
        <item x="2"/>
        <item x="1"/>
        <item x="3"/>
        <item t="default"/>
      </items>
    </pivotField>
    <pivotField showAll="0">
      <items count="6">
        <item h="1" x="0"/>
        <item x="3"/>
        <item h="1" x="4"/>
        <item h="1" x="2"/>
        <item h="1" x="1"/>
        <item t="default"/>
      </items>
    </pivotField>
    <pivotField showAll="0"/>
    <pivotField showAll="0"/>
    <pivotField showAll="0"/>
    <pivotField showAll="0"/>
    <pivotField showAll="0"/>
    <pivotField showAll="0"/>
    <pivotField showAll="0"/>
    <pivotField showAll="0" defaultSubtotal="0">
      <items count="7">
        <item x="0"/>
        <item x="1"/>
        <item x="2"/>
        <item x="3"/>
        <item x="4"/>
        <item x="5"/>
        <item x="6"/>
      </items>
    </pivotField>
    <pivotField showAll="0" defaultSubtotal="0">
      <items count="14">
        <item x="0"/>
        <item x="1"/>
        <item x="2"/>
        <item x="3"/>
        <item x="4"/>
        <item x="5"/>
        <item x="6"/>
        <item x="7"/>
        <item x="8"/>
        <item x="9"/>
        <item x="10"/>
        <item x="11"/>
        <item x="12"/>
        <item x="13"/>
      </items>
    </pivotField>
  </pivotFields>
  <rowFields count="1">
    <field x="1"/>
  </rowFields>
  <rowItems count="20">
    <i>
      <x v="17"/>
    </i>
    <i>
      <x v="7"/>
    </i>
    <i>
      <x v="10"/>
    </i>
    <i>
      <x v="19"/>
    </i>
    <i>
      <x v="15"/>
    </i>
    <i>
      <x/>
    </i>
    <i>
      <x v="2"/>
    </i>
    <i>
      <x v="5"/>
    </i>
    <i>
      <x v="3"/>
    </i>
    <i>
      <x v="9"/>
    </i>
    <i>
      <x v="8"/>
    </i>
    <i>
      <x v="11"/>
    </i>
    <i>
      <x v="13"/>
    </i>
    <i>
      <x v="4"/>
    </i>
    <i>
      <x v="16"/>
    </i>
    <i>
      <x v="12"/>
    </i>
    <i>
      <x v="14"/>
    </i>
    <i>
      <x v="1"/>
    </i>
    <i>
      <x v="6"/>
    </i>
    <i>
      <x v="18"/>
    </i>
  </rowItems>
  <colFields count="1">
    <field x="7"/>
  </colFields>
  <colItems count="4">
    <i>
      <x/>
    </i>
    <i>
      <x v="1"/>
    </i>
    <i>
      <x v="2"/>
    </i>
    <i>
      <x v="3"/>
    </i>
  </colItems>
  <dataFields count="1">
    <dataField name="Sum of Quantity" fld="2" baseField="0" baseItem="0"/>
  </dataFields>
  <chartFormats count="8">
    <chartFormat chart="4" format="12" series="1">
      <pivotArea type="data" outline="0" fieldPosition="0">
        <references count="2">
          <reference field="4294967294" count="1" selected="0">
            <x v="0"/>
          </reference>
          <reference field="7" count="1" selected="0">
            <x v="0"/>
          </reference>
        </references>
      </pivotArea>
    </chartFormat>
    <chartFormat chart="4" format="13" series="1">
      <pivotArea type="data" outline="0" fieldPosition="0">
        <references count="2">
          <reference field="4294967294" count="1" selected="0">
            <x v="0"/>
          </reference>
          <reference field="7" count="1" selected="0">
            <x v="1"/>
          </reference>
        </references>
      </pivotArea>
    </chartFormat>
    <chartFormat chart="4" format="14" series="1">
      <pivotArea type="data" outline="0" fieldPosition="0">
        <references count="2">
          <reference field="4294967294" count="1" selected="0">
            <x v="0"/>
          </reference>
          <reference field="7" count="1" selected="0">
            <x v="2"/>
          </reference>
        </references>
      </pivotArea>
    </chartFormat>
    <chartFormat chart="4" format="15" series="1">
      <pivotArea type="data" outline="0" fieldPosition="0">
        <references count="2">
          <reference field="4294967294" count="1" selected="0">
            <x v="0"/>
          </reference>
          <reference field="7" count="1" selected="0">
            <x v="3"/>
          </reference>
        </references>
      </pivotArea>
    </chartFormat>
    <chartFormat chart="1" format="12" series="1">
      <pivotArea type="data" outline="0" fieldPosition="0">
        <references count="2">
          <reference field="4294967294" count="1" selected="0">
            <x v="0"/>
          </reference>
          <reference field="7" count="1" selected="0">
            <x v="0"/>
          </reference>
        </references>
      </pivotArea>
    </chartFormat>
    <chartFormat chart="1" format="13" series="1">
      <pivotArea type="data" outline="0" fieldPosition="0">
        <references count="2">
          <reference field="4294967294" count="1" selected="0">
            <x v="0"/>
          </reference>
          <reference field="7" count="1" selected="0">
            <x v="1"/>
          </reference>
        </references>
      </pivotArea>
    </chartFormat>
    <chartFormat chart="1" format="14" series="1">
      <pivotArea type="data" outline="0" fieldPosition="0">
        <references count="2">
          <reference field="4294967294" count="1" selected="0">
            <x v="0"/>
          </reference>
          <reference field="7" count="1" selected="0">
            <x v="2"/>
          </reference>
        </references>
      </pivotArea>
    </chartFormat>
    <chartFormat chart="1" format="15"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Purchase by gender"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6">
  <location ref="A3:B8" firstHeaderRow="1" firstDataRow="1"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defaultSubtotal="0">
      <items count="14">
        <item x="0"/>
        <item x="1"/>
        <item x="2"/>
        <item x="3"/>
        <item x="4"/>
        <item x="5"/>
        <item x="6"/>
        <item x="7"/>
        <item x="8"/>
        <item x="9"/>
        <item x="10"/>
        <item x="11"/>
        <item x="12"/>
        <item x="13"/>
      </items>
    </pivotField>
  </pivotFields>
  <rowFields count="1">
    <field x="15"/>
  </rowFields>
  <rowItems count="5">
    <i>
      <x/>
    </i>
    <i>
      <x v="1"/>
    </i>
    <i>
      <x v="2"/>
    </i>
    <i>
      <x v="3"/>
    </i>
    <i t="grand">
      <x/>
    </i>
  </rowItems>
  <colItems count="1">
    <i/>
  </colItems>
  <dataFields count="1">
    <dataField name="Sum of Amount" fld="4" baseField="0" baseItem="0"/>
  </dataFields>
  <chartFormats count="10">
    <chartFormat chart="0" format="1"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15" count="1" selected="0">
            <x v="0"/>
          </reference>
        </references>
      </pivotArea>
    </chartFormat>
    <chartFormat chart="15" format="9">
      <pivotArea type="data" outline="0" fieldPosition="0">
        <references count="2">
          <reference field="4294967294" count="1" selected="0">
            <x v="0"/>
          </reference>
          <reference field="15" count="1" selected="0">
            <x v="1"/>
          </reference>
        </references>
      </pivotArea>
    </chartFormat>
    <chartFormat chart="15" format="10">
      <pivotArea type="data" outline="0" fieldPosition="0">
        <references count="2">
          <reference field="4294967294" count="1" selected="0">
            <x v="0"/>
          </reference>
          <reference field="15" count="1" selected="0">
            <x v="2"/>
          </reference>
        </references>
      </pivotArea>
    </chartFormat>
    <chartFormat chart="15" format="11">
      <pivotArea type="data" outline="0" fieldPosition="0">
        <references count="2">
          <reference field="4294967294" count="1" selected="0">
            <x v="0"/>
          </reference>
          <reference field="15" count="1" selected="0">
            <x v="3"/>
          </reference>
        </references>
      </pivotArea>
    </chartFormat>
    <chartFormat chart="0" format="2">
      <pivotArea type="data" outline="0" fieldPosition="0">
        <references count="2">
          <reference field="4294967294" count="1" selected="0">
            <x v="0"/>
          </reference>
          <reference field="15" count="1" selected="0">
            <x v="0"/>
          </reference>
        </references>
      </pivotArea>
    </chartFormat>
    <chartFormat chart="0" format="3">
      <pivotArea type="data" outline="0" fieldPosition="0">
        <references count="2">
          <reference field="4294967294" count="1" selected="0">
            <x v="0"/>
          </reference>
          <reference field="15" count="1" selected="0">
            <x v="1"/>
          </reference>
        </references>
      </pivotArea>
    </chartFormat>
    <chartFormat chart="0" format="4">
      <pivotArea type="data" outline="0" fieldPosition="0">
        <references count="2">
          <reference field="4294967294" count="1" selected="0">
            <x v="0"/>
          </reference>
          <reference field="15" count="1" selected="0">
            <x v="2"/>
          </reference>
        </references>
      </pivotArea>
    </chartFormat>
    <chartFormat chart="0" format="5">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700-000006000000}" name="PivotTable1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2">
  <location ref="A3:B14"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h="1" x="0"/>
        <item x="3"/>
        <item h="1" x="4"/>
        <item h="1" x="2"/>
        <item h="1"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pivotField showAll="0">
      <items count="5">
        <item h="1" x="2"/>
        <item x="1"/>
        <item h="1" x="3"/>
        <item h="1" x="0"/>
        <item t="default"/>
      </items>
    </pivotField>
    <pivotField showAll="0" defaultSubtotal="0">
      <items count="7">
        <item x="0"/>
        <item x="1"/>
        <item x="2"/>
        <item x="3"/>
        <item x="4"/>
        <item x="5"/>
        <item x="6"/>
      </items>
    </pivotField>
    <pivotField showAll="0" defaultSubtotal="0">
      <items count="14">
        <item x="0"/>
        <item x="1"/>
        <item x="2"/>
        <item x="3"/>
        <item x="4"/>
        <item x="5"/>
        <item x="6"/>
        <item x="7"/>
        <item x="8"/>
        <item x="9"/>
        <item x="10"/>
        <item x="11"/>
        <item x="12"/>
        <item x="13"/>
      </items>
    </pivotField>
  </pivotFields>
  <rowFields count="1">
    <field x="12"/>
  </rowFields>
  <rowItems count="11">
    <i>
      <x/>
    </i>
    <i>
      <x v="1"/>
    </i>
    <i>
      <x v="2"/>
    </i>
    <i>
      <x v="3"/>
    </i>
    <i>
      <x v="4"/>
    </i>
    <i>
      <x v="5"/>
    </i>
    <i>
      <x v="6"/>
    </i>
    <i>
      <x v="7"/>
    </i>
    <i>
      <x v="8"/>
    </i>
    <i>
      <x v="9"/>
    </i>
    <i t="grand">
      <x/>
    </i>
  </rowItems>
  <colItems count="1">
    <i/>
  </colItems>
  <dataFields count="1">
    <dataField name="Count of TX ID" fld="0" subtotal="count" baseField="0" baseItem="0"/>
  </dataFields>
  <chartFormats count="2">
    <chartFormat chart="11"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800-000007000000}" name="PivotTable1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5">
  <location ref="A3:B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h="1" x="0"/>
        <item x="3"/>
        <item h="1" x="4"/>
        <item h="1" x="2"/>
        <item h="1" x="1"/>
        <item t="default"/>
      </items>
    </pivotField>
    <pivotField axis="axisRow" showAll="0">
      <items count="6">
        <item x="3"/>
        <item x="4"/>
        <item x="1"/>
        <item x="0"/>
        <item x="2"/>
        <item t="default"/>
      </items>
    </pivotField>
    <pivotField showAll="0"/>
    <pivotField showAll="0"/>
    <pivotField showAll="0"/>
    <pivotField showAll="0"/>
    <pivotField showAll="0"/>
    <pivotField showAll="0">
      <items count="5">
        <item h="1" x="2"/>
        <item x="1"/>
        <item h="1" x="3"/>
        <item h="1" x="0"/>
        <item t="default"/>
      </items>
    </pivotField>
    <pivotField showAll="0" defaultSubtotal="0">
      <items count="7">
        <item x="0"/>
        <item x="1"/>
        <item x="2"/>
        <item x="3"/>
        <item x="4"/>
        <item x="5"/>
        <item x="6"/>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9"/>
  </rowFields>
  <rowItems count="6">
    <i>
      <x/>
    </i>
    <i>
      <x v="1"/>
    </i>
    <i>
      <x v="2"/>
    </i>
    <i>
      <x v="3"/>
    </i>
    <i>
      <x v="4"/>
    </i>
    <i t="grand">
      <x/>
    </i>
  </rowItems>
  <colItems count="1">
    <i/>
  </colItems>
  <dataFields count="1">
    <dataField name="Count of TX ID" fld="0" subtotal="count" baseField="0" baseItem="0"/>
  </dataFields>
  <chartFormats count="2">
    <chartFormat chart="53" format="2" series="1">
      <pivotArea type="data" outline="0" fieldPosition="0">
        <references count="1">
          <reference field="4294967294" count="1" selected="0">
            <x v="0"/>
          </reference>
        </references>
      </pivotArea>
    </chartFormat>
    <chartFormat chart="5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900-000008000000}"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8">
  <location ref="A3:B6" firstHeaderRow="1" firstDataRow="1"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pivotField numFmtId="15" showAll="0"/>
    <pivotField showAll="0"/>
    <pivotField showAll="0">
      <items count="6">
        <item h="1" x="0"/>
        <item x="3"/>
        <item h="1" x="4"/>
        <item h="1" x="2"/>
        <item h="1" x="1"/>
        <item t="default"/>
      </items>
    </pivotField>
    <pivotField showAll="0"/>
    <pivotField showAll="0"/>
    <pivotField showAll="0"/>
    <pivotField showAll="0"/>
    <pivotField showAll="0"/>
    <pivotField showAll="0"/>
    <pivotField showAll="0">
      <items count="5">
        <item h="1" x="2"/>
        <item x="1"/>
        <item h="1" x="3"/>
        <item h="1" x="0"/>
        <item t="default"/>
      </items>
    </pivotField>
    <pivotField showAll="0" defaultSubtotal="0">
      <items count="7">
        <item x="0"/>
        <item x="1"/>
        <item x="2"/>
        <item x="3"/>
        <item x="4"/>
        <item x="5"/>
        <item x="6"/>
      </items>
    </pivotField>
    <pivotField axis="axisRow" showAll="0" defaultSubtotal="0">
      <items count="14">
        <item x="0"/>
        <item x="1"/>
        <item x="2"/>
        <item x="3"/>
        <item x="4"/>
        <item x="5"/>
        <item x="6"/>
        <item x="7"/>
        <item x="8"/>
        <item x="9"/>
        <item x="10"/>
        <item x="11"/>
        <item x="12"/>
        <item x="13"/>
      </items>
    </pivotField>
  </pivotFields>
  <rowFields count="1">
    <field x="17"/>
  </rowFields>
  <rowItems count="3">
    <i>
      <x v="1"/>
    </i>
    <i>
      <x v="2"/>
    </i>
    <i>
      <x v="3"/>
    </i>
  </rowItems>
  <colItems count="1">
    <i/>
  </colItems>
  <dataFields count="1">
    <dataField name="Sum of Amount" fld="4" baseField="0" baseItem="0"/>
  </dataFields>
  <chartFormats count="1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7" count="1" selected="0">
            <x v="1"/>
          </reference>
        </references>
      </pivotArea>
    </chartFormat>
    <chartFormat chart="4" format="4">
      <pivotArea type="data" outline="0" fieldPosition="0">
        <references count="2">
          <reference field="4294967294" count="1" selected="0">
            <x v="0"/>
          </reference>
          <reference field="17" count="1" selected="0">
            <x v="2"/>
          </reference>
        </references>
      </pivotArea>
    </chartFormat>
    <chartFormat chart="4" format="5">
      <pivotArea type="data" outline="0" fieldPosition="0">
        <references count="2">
          <reference field="4294967294" count="1" selected="0">
            <x v="0"/>
          </reference>
          <reference field="17"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7" count="1" selected="0">
            <x v="1"/>
          </reference>
        </references>
      </pivotArea>
    </chartFormat>
    <chartFormat chart="5" format="8">
      <pivotArea type="data" outline="0" fieldPosition="0">
        <references count="2">
          <reference field="4294967294" count="1" selected="0">
            <x v="0"/>
          </reference>
          <reference field="17" count="1" selected="0">
            <x v="2"/>
          </reference>
        </references>
      </pivotArea>
    </chartFormat>
    <chartFormat chart="5" format="9">
      <pivotArea type="data" outline="0" fieldPosition="0">
        <references count="2">
          <reference field="4294967294" count="1" selected="0">
            <x v="0"/>
          </reference>
          <reference field="17"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7" count="1" selected="0">
            <x v="1"/>
          </reference>
        </references>
      </pivotArea>
    </chartFormat>
    <chartFormat chart="7" format="12">
      <pivotArea type="data" outline="0" fieldPosition="0">
        <references count="2">
          <reference field="4294967294" count="1" selected="0">
            <x v="0"/>
          </reference>
          <reference field="17" count="1" selected="0">
            <x v="2"/>
          </reference>
        </references>
      </pivotArea>
    </chartFormat>
    <chartFormat chart="7" format="13">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00000000-0013-0000-FFFF-FFFF01000000}" sourceName="Order Mode">
  <pivotTables>
    <pivotTable tabId="16" name="PivotTable14"/>
    <pivotTable tabId="5" name="PivotTable1"/>
    <pivotTable tabId="12" name="Popular sales "/>
    <pivotTable tabId="13" name="Purchase by gender"/>
    <pivotTable tabId="7" name="PivotTable3"/>
    <pivotTable tabId="9" name="PivotTable4"/>
    <pivotTable tabId="11" name="PivotTable5"/>
    <pivotTable tabId="15" name="PivotTable13"/>
    <pivotTable tabId="17" name="PivotTable15"/>
  </pivotTables>
  <data>
    <tabular pivotCacheId="1">
      <items count="5">
        <i x="0"/>
        <i x="3" s="1"/>
        <i x="4"/>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00000000-0013-0000-FFFF-FFFF02000000}" sourceName="Gender Value">
  <pivotTables>
    <pivotTable tabId="16" name="PivotTable14"/>
    <pivotTable tabId="5" name="PivotTable1"/>
    <pivotTable tabId="7" name="PivotTable3"/>
    <pivotTable tabId="9" name="PivotTable4"/>
    <pivotTable tabId="11" name="PivotTable5"/>
    <pivotTable tabId="15" name="PivotTable13"/>
    <pivotTable tabId="17" name="PivotTable15"/>
  </pivotTables>
  <data>
    <tabular pivotCacheId="1">
      <items count="4">
        <i x="2"/>
        <i x="1" s="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00000000-0014-0000-FFFF-FFFF01000000}" cache="Slicer_Order_Mode" caption="Order Mode" rowHeight="230716"/>
  <slicer name="Gender Value 1" xr10:uid="{00000000-0014-0000-FFFF-FFFF02000000}" cache="Slicer_Gender_Value" caption="Gender Value"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00000000-0014-0000-FFFF-FFFF03000000}" cache="Slicer_Order_Mode" caption="Order Mode" rowHeight="230716"/>
  <slicer name="Gender Value" xr10:uid="{00000000-0014-0000-FFFF-FFFF04000000}" cache="Slicer_Gender_Value" caption="Gender Valu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s" displayName="orders" ref="A1:P2401" totalsRowShown="0">
  <autoFilter ref="A1:P2401" xr:uid="{00000000-0009-0000-0100-000001000000}">
    <filterColumn colId="15">
      <filters>
        <filter val="Female"/>
        <filter val="Male"/>
        <filter val="Other"/>
      </filters>
    </filterColumn>
  </autoFilter>
  <tableColumns count="16">
    <tableColumn id="1" xr3:uid="{00000000-0010-0000-0000-000001000000}" name="TX ID"/>
    <tableColumn id="2" xr3:uid="{00000000-0010-0000-0000-000002000000}" name="Product"/>
    <tableColumn id="3" xr3:uid="{00000000-0010-0000-0000-000003000000}" name="Quantity"/>
    <tableColumn id="4" xr3:uid="{00000000-0010-0000-0000-000004000000}" name="Unit Price"/>
    <tableColumn id="5" xr3:uid="{00000000-0010-0000-0000-000005000000}" name="Amount"/>
    <tableColumn id="6" xr3:uid="{00000000-0010-0000-0000-000006000000}" name="Order Date" dataDxfId="5"/>
    <tableColumn id="7" xr3:uid="{00000000-0010-0000-0000-000007000000}" name="Ship Date" dataDxfId="4"/>
    <tableColumn id="8" xr3:uid="{00000000-0010-0000-0000-000008000000}" name="Customer Gender"/>
    <tableColumn id="9" xr3:uid="{00000000-0010-0000-0000-000009000000}" name="Order Mode"/>
    <tableColumn id="10" xr3:uid="{00000000-0010-0000-0000-00000A000000}" name="Rating C"/>
    <tableColumn id="15" xr3:uid="{00000000-0010-0000-0000-00000F000000}" name="State"/>
    <tableColumn id="14" xr3:uid="{00000000-0010-0000-0000-00000E000000}" name="County"/>
    <tableColumn id="11" xr3:uid="{00000000-0010-0000-0000-00000B000000}" name="Days to Deliver" dataDxfId="3">
      <calculatedColumnFormula>orders[[#This Row],[Ship Date]]-orders[[#This Row],[Order Date]]</calculatedColumnFormula>
    </tableColumn>
    <tableColumn id="12" xr3:uid="{00000000-0010-0000-0000-00000C000000}" name="Weeknum" dataDxfId="2">
      <calculatedColumnFormula>WEEKNUM(orders[[#This Row],[Order Date]])</calculatedColumnFormula>
    </tableColumn>
    <tableColumn id="16" xr3:uid="{00000000-0010-0000-0000-000010000000}" name="Monthnum" dataDxfId="1">
      <calculatedColumnFormula>TEXT(orders[[#This Row],[Order Date]],"mmmm")</calculatedColumnFormula>
    </tableColumn>
    <tableColumn id="13" xr3:uid="{00000000-0010-0000-0000-00000D000000}" name="Gender Value" dataDxfId="0">
      <calculatedColumnFormula>IF(orders[[#This Row],[Customer Gender]]="M","Male", IF(orders[[#This Row],[Customer Gender]]="F","Female", IF(orders[[#This Row],[Customer Gender]]= "O", "Other","Unknown")))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K4"/>
  <sheetViews>
    <sheetView workbookViewId="0">
      <selection activeCell="T19" sqref="T19"/>
    </sheetView>
  </sheetViews>
  <sheetFormatPr defaultRowHeight="14" x14ac:dyDescent="0.3"/>
  <cols>
    <col min="1" max="1" width="11.4140625" bestFit="1" customWidth="1"/>
    <col min="2" max="2" width="13.08203125" bestFit="1" customWidth="1"/>
    <col min="3" max="3" width="12.5" bestFit="1" customWidth="1"/>
    <col min="4" max="4" width="15.4140625" bestFit="1" customWidth="1"/>
    <col min="5" max="5" width="20.5" bestFit="1" customWidth="1"/>
    <col min="9" max="9" width="12.4140625" customWidth="1"/>
    <col min="10" max="10" width="9.58203125" customWidth="1"/>
    <col min="11" max="11" width="15.6640625" customWidth="1"/>
  </cols>
  <sheetData>
    <row r="3" spans="1:11" x14ac:dyDescent="0.3">
      <c r="A3" t="s">
        <v>2553</v>
      </c>
      <c r="B3" t="s">
        <v>2554</v>
      </c>
      <c r="C3" t="s">
        <v>2555</v>
      </c>
      <c r="D3" t="s">
        <v>2556</v>
      </c>
      <c r="E3" t="s">
        <v>2557</v>
      </c>
      <c r="G3" t="s">
        <v>2558</v>
      </c>
      <c r="H3" t="s">
        <v>2559</v>
      </c>
      <c r="I3" t="s">
        <v>2560</v>
      </c>
      <c r="J3" t="s">
        <v>2561</v>
      </c>
      <c r="K3" t="s">
        <v>2562</v>
      </c>
    </row>
    <row r="4" spans="1:11" x14ac:dyDescent="0.3">
      <c r="A4" s="23">
        <v>109</v>
      </c>
      <c r="B4" s="23">
        <v>479</v>
      </c>
      <c r="C4" s="23">
        <v>27947.300000000003</v>
      </c>
      <c r="D4" s="23">
        <v>4.0550458715596331</v>
      </c>
      <c r="E4" s="23">
        <v>2.5871559633027523</v>
      </c>
      <c r="G4" t="str">
        <f>TEXT(A4,"#,##")</f>
        <v>109</v>
      </c>
      <c r="H4" t="str">
        <f>TEXT(B4,"#,##")</f>
        <v>479</v>
      </c>
      <c r="I4" t="str">
        <f>TEXT(C4,"$#,##,.0K")</f>
        <v>$27.9K</v>
      </c>
      <c r="J4" t="str">
        <f>TEXT(D4,"0.0")</f>
        <v>4.1</v>
      </c>
      <c r="K4" t="str">
        <f>TEXT(E4,"0.0")</f>
        <v>2.6</v>
      </c>
    </row>
  </sheetData>
  <pageMargins left="0.7" right="0.7" top="0.75" bottom="0.75" header="0.3" footer="0.3"/>
  <pageSetup orientation="portrait" horizontalDpi="4294967293"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abSelected="1" zoomScale="90" zoomScaleNormal="90" workbookViewId="0">
      <selection activeCell="T24" sqref="T24"/>
    </sheetView>
  </sheetViews>
  <sheetFormatPr defaultRowHeight="14" x14ac:dyDescent="0.3"/>
  <cols>
    <col min="1" max="1" width="3.1640625" customWidth="1"/>
    <col min="2" max="2" width="18" customWidth="1"/>
    <col min="3" max="3" width="3.33203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C17"/>
  <sheetViews>
    <sheetView topLeftCell="A2" workbookViewId="0">
      <selection activeCell="H5" sqref="H5"/>
    </sheetView>
  </sheetViews>
  <sheetFormatPr defaultRowHeight="14" x14ac:dyDescent="0.3"/>
  <cols>
    <col min="1" max="1" width="11.4140625" bestFit="1" customWidth="1"/>
    <col min="2" max="2" width="13.08203125" bestFit="1" customWidth="1"/>
    <col min="3" max="3" width="12.5" bestFit="1" customWidth="1"/>
  </cols>
  <sheetData>
    <row r="3" spans="1:3" x14ac:dyDescent="0.3">
      <c r="A3" s="13" t="s">
        <v>2563</v>
      </c>
      <c r="B3" t="s">
        <v>2554</v>
      </c>
      <c r="C3" t="s">
        <v>2555</v>
      </c>
    </row>
    <row r="4" spans="1:3" x14ac:dyDescent="0.3">
      <c r="A4" s="14">
        <v>1</v>
      </c>
      <c r="B4" s="23">
        <v>65</v>
      </c>
      <c r="C4" s="15">
        <v>7137.5999999999995</v>
      </c>
    </row>
    <row r="5" spans="1:3" x14ac:dyDescent="0.3">
      <c r="A5" s="14">
        <v>2</v>
      </c>
      <c r="B5" s="23">
        <v>15</v>
      </c>
      <c r="C5" s="15">
        <v>563.40000000000009</v>
      </c>
    </row>
    <row r="6" spans="1:3" x14ac:dyDescent="0.3">
      <c r="A6" s="14">
        <v>3</v>
      </c>
      <c r="B6" s="23">
        <v>22</v>
      </c>
      <c r="C6" s="15">
        <v>979.19999999999982</v>
      </c>
    </row>
    <row r="7" spans="1:3" x14ac:dyDescent="0.3">
      <c r="A7" s="14">
        <v>4</v>
      </c>
      <c r="B7" s="23">
        <v>43</v>
      </c>
      <c r="C7" s="15">
        <v>1385.2</v>
      </c>
    </row>
    <row r="8" spans="1:3" x14ac:dyDescent="0.3">
      <c r="A8" s="14">
        <v>5</v>
      </c>
      <c r="B8" s="23">
        <v>14</v>
      </c>
      <c r="C8" s="15">
        <v>894.5</v>
      </c>
    </row>
    <row r="9" spans="1:3" x14ac:dyDescent="0.3">
      <c r="A9" s="14">
        <v>6</v>
      </c>
      <c r="B9" s="23">
        <v>46</v>
      </c>
      <c r="C9" s="15">
        <v>2224.7000000000003</v>
      </c>
    </row>
    <row r="10" spans="1:3" x14ac:dyDescent="0.3">
      <c r="A10" s="14">
        <v>7</v>
      </c>
      <c r="B10" s="23">
        <v>36</v>
      </c>
      <c r="C10" s="15">
        <v>1471.2000000000003</v>
      </c>
    </row>
    <row r="11" spans="1:3" x14ac:dyDescent="0.3">
      <c r="A11" s="14">
        <v>8</v>
      </c>
      <c r="B11" s="23">
        <v>34</v>
      </c>
      <c r="C11" s="15">
        <v>1754</v>
      </c>
    </row>
    <row r="12" spans="1:3" x14ac:dyDescent="0.3">
      <c r="A12" s="14">
        <v>9</v>
      </c>
      <c r="B12" s="23">
        <v>56</v>
      </c>
      <c r="C12" s="15">
        <v>1715.3999999999999</v>
      </c>
    </row>
    <row r="13" spans="1:3" x14ac:dyDescent="0.3">
      <c r="A13" s="14">
        <v>10</v>
      </c>
      <c r="B13" s="23">
        <v>21</v>
      </c>
      <c r="C13" s="15">
        <v>1307.5999999999999</v>
      </c>
    </row>
    <row r="14" spans="1:3" x14ac:dyDescent="0.3">
      <c r="A14" s="14">
        <v>11</v>
      </c>
      <c r="B14" s="23">
        <v>46</v>
      </c>
      <c r="C14" s="15">
        <v>3206.2999999999997</v>
      </c>
    </row>
    <row r="15" spans="1:3" x14ac:dyDescent="0.3">
      <c r="A15" s="14">
        <v>12</v>
      </c>
      <c r="B15" s="23">
        <v>27</v>
      </c>
      <c r="C15" s="15">
        <v>3210.3</v>
      </c>
    </row>
    <row r="16" spans="1:3" x14ac:dyDescent="0.3">
      <c r="A16" s="14">
        <v>13</v>
      </c>
      <c r="B16" s="23">
        <v>54</v>
      </c>
      <c r="C16" s="15">
        <v>2097.9</v>
      </c>
    </row>
    <row r="17" spans="1:3" x14ac:dyDescent="0.3">
      <c r="A17" s="14" t="s">
        <v>2564</v>
      </c>
      <c r="B17" s="23">
        <v>479</v>
      </c>
      <c r="C17" s="23">
        <v>27947.300000000003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L9"/>
  <sheetViews>
    <sheetView workbookViewId="0">
      <selection activeCell="F6" sqref="F6"/>
    </sheetView>
  </sheetViews>
  <sheetFormatPr defaultRowHeight="14" x14ac:dyDescent="0.3"/>
  <cols>
    <col min="1" max="1" width="12.5" bestFit="1" customWidth="1"/>
    <col min="2" max="2" width="14.33203125" bestFit="1" customWidth="1"/>
    <col min="3" max="3" width="9.5" bestFit="1" customWidth="1"/>
    <col min="4" max="4" width="5.4140625" bestFit="1" customWidth="1"/>
    <col min="5" max="5" width="8" bestFit="1" customWidth="1"/>
    <col min="6" max="6" width="9.5" bestFit="1" customWidth="1"/>
    <col min="8" max="8" width="10.4140625" customWidth="1"/>
  </cols>
  <sheetData>
    <row r="3" spans="1:12" ht="15.5" x14ac:dyDescent="0.35">
      <c r="A3" s="13" t="s">
        <v>2555</v>
      </c>
      <c r="B3" s="13" t="s">
        <v>2569</v>
      </c>
      <c r="I3" s="22" t="s">
        <v>2575</v>
      </c>
    </row>
    <row r="4" spans="1:12" x14ac:dyDescent="0.3">
      <c r="A4" s="13" t="s">
        <v>2563</v>
      </c>
      <c r="B4" t="s">
        <v>2566</v>
      </c>
      <c r="C4" t="s">
        <v>2564</v>
      </c>
      <c r="H4" s="17"/>
      <c r="I4" s="17" t="str">
        <f t="shared" ref="I4:L9" si="0">B4</f>
        <v>Male</v>
      </c>
      <c r="J4" s="17" t="str">
        <f t="shared" si="0"/>
        <v>Grand Total</v>
      </c>
      <c r="K4" s="17">
        <f t="shared" si="0"/>
        <v>0</v>
      </c>
      <c r="L4" s="17">
        <f t="shared" si="0"/>
        <v>0</v>
      </c>
    </row>
    <row r="5" spans="1:12" x14ac:dyDescent="0.3">
      <c r="A5" s="14" t="s">
        <v>51</v>
      </c>
      <c r="B5" s="16">
        <v>1</v>
      </c>
      <c r="C5" s="16">
        <v>1</v>
      </c>
      <c r="H5" s="17" t="str">
        <f>A5</f>
        <v>Instagram</v>
      </c>
      <c r="I5" s="18">
        <f t="shared" si="0"/>
        <v>1</v>
      </c>
      <c r="J5" s="18">
        <f t="shared" si="0"/>
        <v>1</v>
      </c>
      <c r="K5" s="18">
        <f t="shared" si="0"/>
        <v>0</v>
      </c>
      <c r="L5" s="18">
        <f t="shared" si="0"/>
        <v>0</v>
      </c>
    </row>
    <row r="6" spans="1:12" x14ac:dyDescent="0.3">
      <c r="A6" s="14" t="s">
        <v>2564</v>
      </c>
      <c r="B6" s="16">
        <v>1</v>
      </c>
      <c r="C6" s="16">
        <v>1</v>
      </c>
      <c r="H6" s="17" t="str">
        <f>A6</f>
        <v>Grand Total</v>
      </c>
      <c r="I6" s="18">
        <f t="shared" si="0"/>
        <v>1</v>
      </c>
      <c r="J6" s="18">
        <f t="shared" si="0"/>
        <v>1</v>
      </c>
      <c r="K6" s="18">
        <f t="shared" si="0"/>
        <v>0</v>
      </c>
      <c r="L6" s="18">
        <f t="shared" si="0"/>
        <v>0</v>
      </c>
    </row>
    <row r="7" spans="1:12" x14ac:dyDescent="0.3">
      <c r="H7" s="17">
        <f>A7</f>
        <v>0</v>
      </c>
      <c r="I7" s="18">
        <f t="shared" si="0"/>
        <v>0</v>
      </c>
      <c r="J7" s="18">
        <f t="shared" si="0"/>
        <v>0</v>
      </c>
      <c r="K7" s="18">
        <f t="shared" si="0"/>
        <v>0</v>
      </c>
      <c r="L7" s="18">
        <f t="shared" si="0"/>
        <v>0</v>
      </c>
    </row>
    <row r="8" spans="1:12" x14ac:dyDescent="0.3">
      <c r="H8" s="17">
        <f>A8</f>
        <v>0</v>
      </c>
      <c r="I8" s="18">
        <f t="shared" si="0"/>
        <v>0</v>
      </c>
      <c r="J8" s="18">
        <f t="shared" si="0"/>
        <v>0</v>
      </c>
      <c r="K8" s="18">
        <f t="shared" si="0"/>
        <v>0</v>
      </c>
      <c r="L8" s="18">
        <f t="shared" si="0"/>
        <v>0</v>
      </c>
    </row>
    <row r="9" spans="1:12" x14ac:dyDescent="0.3">
      <c r="H9" s="17">
        <f>A9</f>
        <v>0</v>
      </c>
      <c r="I9" s="18">
        <f t="shared" si="0"/>
        <v>0</v>
      </c>
      <c r="J9" s="18">
        <f t="shared" si="0"/>
        <v>0</v>
      </c>
      <c r="K9" s="18">
        <f t="shared" si="0"/>
        <v>0</v>
      </c>
      <c r="L9" s="18">
        <f t="shared" si="0"/>
        <v>0</v>
      </c>
    </row>
  </sheetData>
  <conditionalFormatting sqref="H12">
    <cfRule type="dataBar" priority="1">
      <dataBar>
        <cfvo type="min"/>
        <cfvo type="max"/>
        <color rgb="FF63C384"/>
      </dataBar>
      <extLst>
        <ext xmlns:x14="http://schemas.microsoft.com/office/spreadsheetml/2009/9/main" uri="{B025F937-C7B1-47D3-B67F-A62EFF666E3E}">
          <x14:id>{1CAC3026-D3F7-4AC5-8FBC-A91BBDC62BA3}</x14:id>
        </ext>
      </extLst>
    </cfRule>
  </conditionalFormatting>
  <conditionalFormatting sqref="I5:L9">
    <cfRule type="colorScale" priority="2">
      <colorScale>
        <cfvo type="min"/>
        <cfvo type="percentile" val="50"/>
        <cfvo type="max"/>
        <color rgb="FF5A8AC6"/>
        <color rgb="FFFCFCFF"/>
        <color rgb="FFF8696B"/>
      </colorScale>
    </cfRule>
  </conditionalFormatting>
  <pageMargins left="0.7" right="0.7" top="0.75" bottom="0.75" header="0.3" footer="0.3"/>
  <pageSetup orientation="portrait" horizontalDpi="4294967293" r:id="rId2"/>
  <extLst>
    <ext xmlns:x14="http://schemas.microsoft.com/office/spreadsheetml/2009/9/main" uri="{78C0D931-6437-407d-A8EE-F0AAD7539E65}">
      <x14:conditionalFormattings>
        <x14:conditionalFormatting xmlns:xm="http://schemas.microsoft.com/office/excel/2006/main">
          <x14:cfRule type="dataBar" id="{1CAC3026-D3F7-4AC5-8FBC-A91BBDC62BA3}">
            <x14:dataBar minLength="0" maxLength="100" gradient="0">
              <x14:cfvo type="autoMin"/>
              <x14:cfvo type="autoMax"/>
              <x14:negativeFillColor rgb="FFFF0000"/>
              <x14:axisColor rgb="FF000000"/>
            </x14:dataBar>
          </x14:cfRule>
          <xm:sqref>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11"/>
  <sheetViews>
    <sheetView topLeftCell="A3" workbookViewId="0">
      <selection activeCell="T19" sqref="T19"/>
    </sheetView>
  </sheetViews>
  <sheetFormatPr defaultRowHeight="14" x14ac:dyDescent="0.3"/>
  <cols>
    <col min="1" max="2" width="11.4140625" bestFit="1" customWidth="1"/>
  </cols>
  <sheetData>
    <row r="3" spans="1:2" x14ac:dyDescent="0.3">
      <c r="A3" s="13" t="s">
        <v>2563</v>
      </c>
      <c r="B3" t="s">
        <v>2553</v>
      </c>
    </row>
    <row r="4" spans="1:2" x14ac:dyDescent="0.3">
      <c r="A4" s="14">
        <v>1</v>
      </c>
      <c r="B4" s="23">
        <v>19</v>
      </c>
    </row>
    <row r="5" spans="1:2" x14ac:dyDescent="0.3">
      <c r="A5" s="14">
        <v>2</v>
      </c>
      <c r="B5" s="23">
        <v>25</v>
      </c>
    </row>
    <row r="6" spans="1:2" x14ac:dyDescent="0.3">
      <c r="A6" s="14">
        <v>3</v>
      </c>
      <c r="B6" s="23">
        <v>21</v>
      </c>
    </row>
    <row r="7" spans="1:2" x14ac:dyDescent="0.3">
      <c r="A7" s="14">
        <v>4</v>
      </c>
      <c r="B7" s="23">
        <v>11</v>
      </c>
    </row>
    <row r="8" spans="1:2" x14ac:dyDescent="0.3">
      <c r="A8" s="14">
        <v>5</v>
      </c>
      <c r="B8" s="23">
        <v>8</v>
      </c>
    </row>
    <row r="9" spans="1:2" x14ac:dyDescent="0.3">
      <c r="A9" s="14" t="s">
        <v>2570</v>
      </c>
      <c r="B9" s="23">
        <v>18</v>
      </c>
    </row>
    <row r="10" spans="1:2" x14ac:dyDescent="0.3">
      <c r="A10" s="14" t="s">
        <v>2571</v>
      </c>
      <c r="B10" s="23">
        <v>7</v>
      </c>
    </row>
    <row r="11" spans="1:2" x14ac:dyDescent="0.3">
      <c r="A11" s="14" t="s">
        <v>2564</v>
      </c>
      <c r="B11" s="23">
        <v>109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F49"/>
  <sheetViews>
    <sheetView workbookViewId="0">
      <selection activeCell="I28" sqref="I28"/>
    </sheetView>
  </sheetViews>
  <sheetFormatPr defaultRowHeight="14" x14ac:dyDescent="0.3"/>
  <cols>
    <col min="1" max="1" width="17.75" bestFit="1" customWidth="1"/>
    <col min="2" max="2" width="14.33203125" bestFit="1" customWidth="1"/>
    <col min="3" max="3" width="3.5" bestFit="1" customWidth="1"/>
    <col min="4" max="4" width="2.58203125" bestFit="1" customWidth="1"/>
    <col min="5" max="5" width="1.9140625" bestFit="1" customWidth="1"/>
    <col min="6" max="6" width="10.83203125" customWidth="1"/>
  </cols>
  <sheetData>
    <row r="3" spans="1:5" x14ac:dyDescent="0.3">
      <c r="A3" s="13" t="s">
        <v>2554</v>
      </c>
      <c r="B3" s="13" t="s">
        <v>2569</v>
      </c>
    </row>
    <row r="4" spans="1:5" x14ac:dyDescent="0.3">
      <c r="A4" s="13" t="s">
        <v>2563</v>
      </c>
      <c r="C4" t="s">
        <v>27</v>
      </c>
      <c r="D4" t="s">
        <v>23</v>
      </c>
      <c r="E4" t="s">
        <v>89</v>
      </c>
    </row>
    <row r="5" spans="1:5" x14ac:dyDescent="0.3">
      <c r="A5" s="14" t="s">
        <v>76</v>
      </c>
      <c r="B5" s="23"/>
      <c r="C5" s="23"/>
      <c r="D5" s="23">
        <v>1</v>
      </c>
      <c r="E5" s="23"/>
    </row>
    <row r="6" spans="1:5" x14ac:dyDescent="0.3">
      <c r="A6" s="14" t="s">
        <v>171</v>
      </c>
      <c r="B6" s="23"/>
      <c r="C6" s="23"/>
      <c r="D6" s="23">
        <v>2</v>
      </c>
      <c r="E6" s="23"/>
    </row>
    <row r="7" spans="1:5" x14ac:dyDescent="0.3">
      <c r="A7" s="14" t="s">
        <v>135</v>
      </c>
      <c r="B7" s="23"/>
      <c r="C7" s="23">
        <v>7</v>
      </c>
      <c r="D7" s="23">
        <v>3</v>
      </c>
      <c r="E7" s="23"/>
    </row>
    <row r="8" spans="1:5" x14ac:dyDescent="0.3">
      <c r="A8" s="14" t="s">
        <v>30</v>
      </c>
      <c r="B8" s="23"/>
      <c r="C8" s="23">
        <v>11</v>
      </c>
      <c r="D8" s="23">
        <v>10</v>
      </c>
      <c r="E8" s="23"/>
    </row>
    <row r="9" spans="1:5" x14ac:dyDescent="0.3">
      <c r="A9" s="14" t="s">
        <v>128</v>
      </c>
      <c r="B9" s="23">
        <v>9</v>
      </c>
      <c r="C9" s="23">
        <v>9</v>
      </c>
      <c r="D9" s="23"/>
      <c r="E9" s="23">
        <v>3</v>
      </c>
    </row>
    <row r="10" spans="1:5" x14ac:dyDescent="0.3">
      <c r="A10" s="14" t="s">
        <v>81</v>
      </c>
      <c r="B10" s="23"/>
      <c r="C10" s="23">
        <v>5</v>
      </c>
      <c r="D10" s="23">
        <v>20</v>
      </c>
      <c r="E10" s="23"/>
    </row>
    <row r="11" spans="1:5" x14ac:dyDescent="0.3">
      <c r="A11" s="14" t="s">
        <v>69</v>
      </c>
      <c r="B11" s="23"/>
      <c r="C11" s="23">
        <v>22</v>
      </c>
      <c r="D11" s="23">
        <v>7</v>
      </c>
      <c r="E11" s="23"/>
    </row>
    <row r="12" spans="1:5" x14ac:dyDescent="0.3">
      <c r="A12" s="14" t="s">
        <v>42</v>
      </c>
      <c r="B12" s="23"/>
      <c r="C12" s="23">
        <v>12</v>
      </c>
      <c r="D12" s="23">
        <v>19</v>
      </c>
      <c r="E12" s="23"/>
    </row>
    <row r="13" spans="1:5" x14ac:dyDescent="0.3">
      <c r="A13" s="14" t="s">
        <v>123</v>
      </c>
      <c r="B13" s="23">
        <v>4</v>
      </c>
      <c r="C13" s="23">
        <v>24</v>
      </c>
      <c r="D13" s="23">
        <v>9</v>
      </c>
      <c r="E13" s="23"/>
    </row>
    <row r="14" spans="1:5" x14ac:dyDescent="0.3">
      <c r="A14" s="14" t="s">
        <v>67</v>
      </c>
      <c r="B14" s="23"/>
      <c r="C14" s="23">
        <v>32</v>
      </c>
      <c r="D14" s="23">
        <v>10</v>
      </c>
      <c r="E14" s="23"/>
    </row>
    <row r="15" spans="1:5" x14ac:dyDescent="0.3">
      <c r="A15" s="14" t="s">
        <v>146</v>
      </c>
      <c r="B15" s="23">
        <v>3</v>
      </c>
      <c r="C15" s="23">
        <v>9</v>
      </c>
      <c r="D15" s="23">
        <v>33</v>
      </c>
      <c r="E15" s="23">
        <v>7</v>
      </c>
    </row>
    <row r="16" spans="1:5" x14ac:dyDescent="0.3">
      <c r="A16" s="14" t="s">
        <v>37</v>
      </c>
      <c r="B16" s="23">
        <v>10</v>
      </c>
      <c r="C16" s="23">
        <v>38</v>
      </c>
      <c r="D16" s="23">
        <v>33</v>
      </c>
      <c r="E16" s="23"/>
    </row>
    <row r="17" spans="1:6" x14ac:dyDescent="0.3">
      <c r="A17" s="14" t="s">
        <v>26</v>
      </c>
      <c r="B17" s="23">
        <v>2</v>
      </c>
      <c r="C17" s="23">
        <v>28</v>
      </c>
      <c r="D17" s="23">
        <v>55</v>
      </c>
      <c r="E17" s="23"/>
    </row>
    <row r="18" spans="1:6" x14ac:dyDescent="0.3">
      <c r="A18" s="14" t="s">
        <v>32</v>
      </c>
      <c r="B18" s="23">
        <v>6</v>
      </c>
      <c r="C18" s="23">
        <v>65</v>
      </c>
      <c r="D18" s="23">
        <v>17</v>
      </c>
      <c r="E18" s="23"/>
    </row>
    <row r="19" spans="1:6" x14ac:dyDescent="0.3">
      <c r="A19" s="14" t="s">
        <v>22</v>
      </c>
      <c r="B19" s="23"/>
      <c r="C19" s="23">
        <v>53</v>
      </c>
      <c r="D19" s="23">
        <v>32</v>
      </c>
      <c r="E19" s="23">
        <v>6</v>
      </c>
    </row>
    <row r="20" spans="1:6" x14ac:dyDescent="0.3">
      <c r="A20" s="14" t="s">
        <v>16</v>
      </c>
      <c r="B20" s="23">
        <v>2</v>
      </c>
      <c r="C20" s="23">
        <v>73</v>
      </c>
      <c r="D20" s="23">
        <v>22</v>
      </c>
      <c r="E20" s="23"/>
    </row>
    <row r="21" spans="1:6" x14ac:dyDescent="0.3">
      <c r="A21" s="14" t="s">
        <v>46</v>
      </c>
      <c r="B21" s="23">
        <v>10</v>
      </c>
      <c r="C21" s="23">
        <v>82</v>
      </c>
      <c r="D21" s="23">
        <v>7</v>
      </c>
      <c r="E21" s="23"/>
    </row>
    <row r="22" spans="1:6" x14ac:dyDescent="0.3">
      <c r="A22" s="14" t="s">
        <v>54</v>
      </c>
      <c r="B22" s="23"/>
      <c r="C22" s="23">
        <v>92</v>
      </c>
      <c r="D22" s="23">
        <v>38</v>
      </c>
      <c r="E22" s="23"/>
    </row>
    <row r="23" spans="1:6" x14ac:dyDescent="0.3">
      <c r="A23" s="14" t="s">
        <v>39</v>
      </c>
      <c r="B23" s="23">
        <v>105</v>
      </c>
      <c r="C23" s="23">
        <v>49</v>
      </c>
      <c r="D23" s="23">
        <v>79</v>
      </c>
      <c r="E23" s="23"/>
    </row>
    <row r="24" spans="1:6" x14ac:dyDescent="0.3">
      <c r="A24" s="14" t="s">
        <v>44</v>
      </c>
      <c r="B24" s="23">
        <v>35</v>
      </c>
      <c r="C24" s="23">
        <v>122</v>
      </c>
      <c r="D24" s="23">
        <v>82</v>
      </c>
      <c r="E24" s="23">
        <v>1</v>
      </c>
    </row>
    <row r="28" spans="1:6" x14ac:dyDescent="0.3">
      <c r="A28" s="19"/>
      <c r="B28" s="19"/>
      <c r="C28" s="19"/>
      <c r="D28" s="19"/>
      <c r="E28" s="19"/>
      <c r="F28" s="19"/>
    </row>
    <row r="29" spans="1:6" x14ac:dyDescent="0.3">
      <c r="A29" s="14"/>
    </row>
    <row r="30" spans="1:6" x14ac:dyDescent="0.3">
      <c r="A30" s="14"/>
    </row>
    <row r="31" spans="1:6" x14ac:dyDescent="0.3">
      <c r="A31" s="14"/>
    </row>
    <row r="32" spans="1:6" x14ac:dyDescent="0.3">
      <c r="A32" s="14"/>
    </row>
    <row r="33" spans="1:1" x14ac:dyDescent="0.3">
      <c r="A33" s="14"/>
    </row>
    <row r="34" spans="1:1" x14ac:dyDescent="0.3">
      <c r="A34" s="14"/>
    </row>
    <row r="35" spans="1:1" x14ac:dyDescent="0.3">
      <c r="A35" s="14"/>
    </row>
    <row r="36" spans="1:1" x14ac:dyDescent="0.3">
      <c r="A36" s="14"/>
    </row>
    <row r="37" spans="1:1" x14ac:dyDescent="0.3">
      <c r="A37" s="14"/>
    </row>
    <row r="38" spans="1:1" x14ac:dyDescent="0.3">
      <c r="A38" s="14"/>
    </row>
    <row r="39" spans="1:1" x14ac:dyDescent="0.3">
      <c r="A39" s="14"/>
    </row>
    <row r="40" spans="1:1" x14ac:dyDescent="0.3">
      <c r="A40" s="14"/>
    </row>
    <row r="41" spans="1:1" x14ac:dyDescent="0.3">
      <c r="A41" s="14"/>
    </row>
    <row r="42" spans="1:1" x14ac:dyDescent="0.3">
      <c r="A42" s="14"/>
    </row>
    <row r="43" spans="1:1" x14ac:dyDescent="0.3">
      <c r="A43" s="14"/>
    </row>
    <row r="44" spans="1:1" x14ac:dyDescent="0.3">
      <c r="A44" s="14"/>
    </row>
    <row r="45" spans="1:1" x14ac:dyDescent="0.3">
      <c r="A45" s="14"/>
    </row>
    <row r="46" spans="1:1" x14ac:dyDescent="0.3">
      <c r="A46" s="14"/>
    </row>
    <row r="47" spans="1:1" x14ac:dyDescent="0.3">
      <c r="A47" s="14"/>
    </row>
    <row r="48" spans="1:1" x14ac:dyDescent="0.3">
      <c r="A48" s="14"/>
    </row>
    <row r="49" spans="1:6" x14ac:dyDescent="0.3">
      <c r="A49" s="20"/>
      <c r="B49" s="21"/>
      <c r="C49" s="21"/>
      <c r="D49" s="21"/>
      <c r="E49" s="21"/>
      <c r="F49" s="21"/>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8"/>
  <sheetViews>
    <sheetView workbookViewId="0">
      <selection activeCell="H5" sqref="H5"/>
    </sheetView>
  </sheetViews>
  <sheetFormatPr defaultRowHeight="14" x14ac:dyDescent="0.3"/>
  <cols>
    <col min="1" max="1" width="11.4140625" bestFit="1" customWidth="1"/>
    <col min="2" max="2" width="12.5" bestFit="1" customWidth="1"/>
  </cols>
  <sheetData>
    <row r="3" spans="1:2" x14ac:dyDescent="0.3">
      <c r="A3" s="13" t="s">
        <v>2563</v>
      </c>
      <c r="B3" t="s">
        <v>2555</v>
      </c>
    </row>
    <row r="4" spans="1:2" x14ac:dyDescent="0.3">
      <c r="A4" s="14" t="s">
        <v>2567</v>
      </c>
      <c r="B4" s="23">
        <v>32635.300000000014</v>
      </c>
    </row>
    <row r="5" spans="1:2" x14ac:dyDescent="0.3">
      <c r="A5" s="14" t="s">
        <v>2566</v>
      </c>
      <c r="B5" s="23">
        <v>27947.3</v>
      </c>
    </row>
    <row r="6" spans="1:2" x14ac:dyDescent="0.3">
      <c r="A6" s="14" t="s">
        <v>2568</v>
      </c>
      <c r="B6" s="23">
        <v>994.3</v>
      </c>
    </row>
    <row r="7" spans="1:2" x14ac:dyDescent="0.3">
      <c r="A7" s="14" t="s">
        <v>2565</v>
      </c>
      <c r="B7" s="23">
        <v>11549.3</v>
      </c>
    </row>
    <row r="8" spans="1:2" x14ac:dyDescent="0.3">
      <c r="A8" s="14" t="s">
        <v>2564</v>
      </c>
      <c r="B8" s="23">
        <v>73126.200000000012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14"/>
  <sheetViews>
    <sheetView workbookViewId="0">
      <selection activeCell="C26" sqref="C26"/>
    </sheetView>
  </sheetViews>
  <sheetFormatPr defaultRowHeight="14" x14ac:dyDescent="0.3"/>
  <cols>
    <col min="1" max="2" width="11.4140625" bestFit="1" customWidth="1"/>
  </cols>
  <sheetData>
    <row r="3" spans="1:2" x14ac:dyDescent="0.3">
      <c r="A3" s="13" t="s">
        <v>2563</v>
      </c>
      <c r="B3" t="s">
        <v>2553</v>
      </c>
    </row>
    <row r="4" spans="1:2" x14ac:dyDescent="0.3">
      <c r="A4" s="14">
        <v>0</v>
      </c>
      <c r="B4" s="23">
        <v>6</v>
      </c>
    </row>
    <row r="5" spans="1:2" x14ac:dyDescent="0.3">
      <c r="A5" s="14">
        <v>1</v>
      </c>
      <c r="B5" s="23">
        <v>36</v>
      </c>
    </row>
    <row r="6" spans="1:2" x14ac:dyDescent="0.3">
      <c r="A6" s="14">
        <v>2</v>
      </c>
      <c r="B6" s="23">
        <v>14</v>
      </c>
    </row>
    <row r="7" spans="1:2" x14ac:dyDescent="0.3">
      <c r="A7" s="14">
        <v>3</v>
      </c>
      <c r="B7" s="23">
        <v>23</v>
      </c>
    </row>
    <row r="8" spans="1:2" x14ac:dyDescent="0.3">
      <c r="A8" s="14">
        <v>4</v>
      </c>
      <c r="B8" s="23">
        <v>15</v>
      </c>
    </row>
    <row r="9" spans="1:2" x14ac:dyDescent="0.3">
      <c r="A9" s="14">
        <v>5</v>
      </c>
      <c r="B9" s="23">
        <v>7</v>
      </c>
    </row>
    <row r="10" spans="1:2" x14ac:dyDescent="0.3">
      <c r="A10" s="14">
        <v>6</v>
      </c>
      <c r="B10" s="23">
        <v>5</v>
      </c>
    </row>
    <row r="11" spans="1:2" x14ac:dyDescent="0.3">
      <c r="A11" s="14">
        <v>7</v>
      </c>
      <c r="B11" s="23">
        <v>1</v>
      </c>
    </row>
    <row r="12" spans="1:2" x14ac:dyDescent="0.3">
      <c r="A12" s="14">
        <v>8</v>
      </c>
      <c r="B12" s="23">
        <v>1</v>
      </c>
    </row>
    <row r="13" spans="1:2" x14ac:dyDescent="0.3">
      <c r="A13" s="14">
        <v>9</v>
      </c>
      <c r="B13" s="23">
        <v>1</v>
      </c>
    </row>
    <row r="14" spans="1:2" x14ac:dyDescent="0.3">
      <c r="A14" s="14" t="s">
        <v>2564</v>
      </c>
      <c r="B14" s="23">
        <v>109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B9"/>
  <sheetViews>
    <sheetView workbookViewId="0">
      <selection activeCell="A6" sqref="A6:B6"/>
      <pivotSelection pane="bottomRight" showHeader="1" extendable="1" start="2" max="6" activeRow="5" click="1" r:id="rId1">
        <pivotArea dataOnly="0" fieldPosition="0">
          <references count="1">
            <reference field="9" count="1">
              <x v="2"/>
            </reference>
          </references>
        </pivotArea>
      </pivotSelection>
    </sheetView>
  </sheetViews>
  <sheetFormatPr defaultRowHeight="14" x14ac:dyDescent="0.3"/>
  <cols>
    <col min="1" max="2" width="11.4140625" bestFit="1" customWidth="1"/>
  </cols>
  <sheetData>
    <row r="3" spans="1:2" x14ac:dyDescent="0.3">
      <c r="A3" s="13" t="s">
        <v>2563</v>
      </c>
      <c r="B3" t="s">
        <v>2553</v>
      </c>
    </row>
    <row r="4" spans="1:2" x14ac:dyDescent="0.3">
      <c r="A4" s="14">
        <v>1</v>
      </c>
      <c r="B4" s="23">
        <v>1</v>
      </c>
    </row>
    <row r="5" spans="1:2" x14ac:dyDescent="0.3">
      <c r="A5" s="14">
        <v>2</v>
      </c>
      <c r="B5" s="23">
        <v>4</v>
      </c>
    </row>
    <row r="6" spans="1:2" x14ac:dyDescent="0.3">
      <c r="A6" s="14">
        <v>3</v>
      </c>
      <c r="B6" s="23">
        <v>20</v>
      </c>
    </row>
    <row r="7" spans="1:2" x14ac:dyDescent="0.3">
      <c r="A7" s="14">
        <v>4</v>
      </c>
      <c r="B7" s="23">
        <v>47</v>
      </c>
    </row>
    <row r="8" spans="1:2" x14ac:dyDescent="0.3">
      <c r="A8" s="14">
        <v>5</v>
      </c>
      <c r="B8" s="23">
        <v>37</v>
      </c>
    </row>
    <row r="9" spans="1:2" x14ac:dyDescent="0.3">
      <c r="A9" s="14" t="s">
        <v>2564</v>
      </c>
      <c r="B9" s="23">
        <v>109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B6"/>
  <sheetViews>
    <sheetView workbookViewId="0">
      <selection activeCell="I18" sqref="I18"/>
    </sheetView>
  </sheetViews>
  <sheetFormatPr defaultRowHeight="14" x14ac:dyDescent="0.3"/>
  <cols>
    <col min="1" max="1" width="11.4140625" bestFit="1" customWidth="1"/>
    <col min="2" max="2" width="12.5" bestFit="1" customWidth="1"/>
  </cols>
  <sheetData>
    <row r="3" spans="1:2" x14ac:dyDescent="0.3">
      <c r="A3" s="13" t="s">
        <v>2563</v>
      </c>
      <c r="B3" t="s">
        <v>2555</v>
      </c>
    </row>
    <row r="4" spans="1:2" x14ac:dyDescent="0.3">
      <c r="A4" s="14" t="s">
        <v>2572</v>
      </c>
      <c r="B4" s="23">
        <v>10959.899999999998</v>
      </c>
    </row>
    <row r="5" spans="1:2" x14ac:dyDescent="0.3">
      <c r="A5" s="14" t="s">
        <v>2573</v>
      </c>
      <c r="B5" s="23">
        <v>6914.2999999999993</v>
      </c>
    </row>
    <row r="6" spans="1:2" x14ac:dyDescent="0.3">
      <c r="A6" s="14" t="s">
        <v>2574</v>
      </c>
      <c r="B6" s="23">
        <v>10073.100000000002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2401"/>
  <sheetViews>
    <sheetView topLeftCell="D1" workbookViewId="0">
      <selection activeCell="M3" sqref="M3"/>
    </sheetView>
  </sheetViews>
  <sheetFormatPr defaultRowHeight="14" x14ac:dyDescent="0.3"/>
  <cols>
    <col min="1" max="1" width="11.75" customWidth="1"/>
    <col min="2" max="2" width="19.1640625" customWidth="1"/>
    <col min="3" max="3" width="6.9140625" customWidth="1"/>
    <col min="4" max="4" width="10.5" customWidth="1"/>
    <col min="5" max="5" width="7.9140625" customWidth="1"/>
    <col min="6" max="6" width="12.75" customWidth="1"/>
    <col min="7" max="7" width="9.1640625" customWidth="1"/>
    <col min="8" max="8" width="15.6640625" customWidth="1"/>
    <col min="9" max="9" width="10.6640625" customWidth="1"/>
    <col min="10" max="10" width="7.75" customWidth="1"/>
    <col min="11" max="11" width="8.75" customWidth="1"/>
    <col min="12" max="12" width="19.6640625" customWidth="1"/>
    <col min="13" max="13" width="13.6640625" bestFit="1" customWidth="1"/>
    <col min="14" max="15" width="9.4140625" customWidth="1"/>
    <col min="16" max="16" width="12.1640625" customWidth="1"/>
  </cols>
  <sheetData>
    <row r="1" spans="1:16" x14ac:dyDescent="0.3">
      <c r="A1" t="s">
        <v>0</v>
      </c>
      <c r="B1" t="s">
        <v>1</v>
      </c>
      <c r="C1" t="s">
        <v>2</v>
      </c>
      <c r="D1" t="s">
        <v>3</v>
      </c>
      <c r="E1" t="s">
        <v>4</v>
      </c>
      <c r="F1" t="s">
        <v>5</v>
      </c>
      <c r="G1" t="s">
        <v>6</v>
      </c>
      <c r="H1" t="s">
        <v>7</v>
      </c>
      <c r="I1" t="s">
        <v>8</v>
      </c>
      <c r="J1" t="s">
        <v>9</v>
      </c>
      <c r="K1" t="s">
        <v>10</v>
      </c>
      <c r="L1" s="8" t="s">
        <v>11</v>
      </c>
      <c r="M1" s="8" t="s">
        <v>12</v>
      </c>
      <c r="N1" s="8" t="s">
        <v>13</v>
      </c>
      <c r="O1" s="8" t="s">
        <v>2552</v>
      </c>
      <c r="P1" s="8" t="s">
        <v>14</v>
      </c>
    </row>
    <row r="2" spans="1:16" hidden="1"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s="12" t="str">
        <f>TEXT(orders[[#This Row],[Order Date]],"mmmm")</f>
        <v>January</v>
      </c>
      <c r="P2" t="str">
        <f>IF(orders[[#This Row],[Customer Gender]]="M","Male", IF(orders[[#This Row],[Customer Gender]]="F","Female", IF(orders[[#This Row],[Customer Gender]]= "O", "Other","Unknown")))</f>
        <v>Unknown</v>
      </c>
    </row>
    <row r="3" spans="1:16"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s="12" t="str">
        <f>TEXT(orders[[#This Row],[Order Date]],"mmmm")</f>
        <v>January</v>
      </c>
      <c r="P3" t="str">
        <f>IF(orders[[#This Row],[Customer Gender]]="M","Male", IF(orders[[#This Row],[Customer Gender]]="F","Female", IF(orders[[#This Row],[Customer Gender]]= "O", "Other","Unknown")))</f>
        <v>Male</v>
      </c>
    </row>
    <row r="4" spans="1:16"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s="12" t="str">
        <f>TEXT(orders[[#This Row],[Order Date]],"mmmm")</f>
        <v>January</v>
      </c>
      <c r="P4" t="str">
        <f>IF(orders[[#This Row],[Customer Gender]]="M","Male", IF(orders[[#This Row],[Customer Gender]]="F","Female", IF(orders[[#This Row],[Customer Gender]]= "O", "Other","Unknown")))</f>
        <v>Female</v>
      </c>
    </row>
    <row r="5" spans="1:16"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s="12" t="str">
        <f>TEXT(orders[[#This Row],[Order Date]],"mmmm")</f>
        <v>January</v>
      </c>
      <c r="P5" t="str">
        <f>IF(orders[[#This Row],[Customer Gender]]="M","Male", IF(orders[[#This Row],[Customer Gender]]="F","Female", IF(orders[[#This Row],[Customer Gender]]= "O", "Other","Unknown")))</f>
        <v>Female</v>
      </c>
    </row>
    <row r="6" spans="1:16"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s="12" t="str">
        <f>TEXT(orders[[#This Row],[Order Date]],"mmmm")</f>
        <v>January</v>
      </c>
      <c r="P6" t="str">
        <f>IF(orders[[#This Row],[Customer Gender]]="M","Male", IF(orders[[#This Row],[Customer Gender]]="F","Female", IF(orders[[#This Row],[Customer Gender]]= "O", "Other","Unknown")))</f>
        <v>Female</v>
      </c>
    </row>
    <row r="7" spans="1:16"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s="12" t="str">
        <f>TEXT(orders[[#This Row],[Order Date]],"mmmm")</f>
        <v>January</v>
      </c>
      <c r="P7" t="str">
        <f>IF(orders[[#This Row],[Customer Gender]]="M","Male", IF(orders[[#This Row],[Customer Gender]]="F","Female", IF(orders[[#This Row],[Customer Gender]]= "O", "Other","Unknown")))</f>
        <v>Male</v>
      </c>
    </row>
    <row r="8" spans="1:16"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s="12" t="str">
        <f>TEXT(orders[[#This Row],[Order Date]],"mmmm")</f>
        <v>January</v>
      </c>
      <c r="P8" t="str">
        <f>IF(orders[[#This Row],[Customer Gender]]="M","Male", IF(orders[[#This Row],[Customer Gender]]="F","Female", IF(orders[[#This Row],[Customer Gender]]= "O", "Other","Unknown")))</f>
        <v>Female</v>
      </c>
    </row>
    <row r="9" spans="1:16"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s="12" t="str">
        <f>TEXT(orders[[#This Row],[Order Date]],"mmmm")</f>
        <v>January</v>
      </c>
      <c r="P9" t="str">
        <f>IF(orders[[#This Row],[Customer Gender]]="M","Male", IF(orders[[#This Row],[Customer Gender]]="F","Female", IF(orders[[#This Row],[Customer Gender]]= "O", "Other","Unknown")))</f>
        <v>Male</v>
      </c>
    </row>
    <row r="10" spans="1:16"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s="12" t="str">
        <f>TEXT(orders[[#This Row],[Order Date]],"mmmm")</f>
        <v>January</v>
      </c>
      <c r="P10" t="str">
        <f>IF(orders[[#This Row],[Customer Gender]]="M","Male", IF(orders[[#This Row],[Customer Gender]]="F","Female", IF(orders[[#This Row],[Customer Gender]]= "O", "Other","Unknown")))</f>
        <v>Female</v>
      </c>
    </row>
    <row r="11" spans="1:16"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s="12" t="str">
        <f>TEXT(orders[[#This Row],[Order Date]],"mmmm")</f>
        <v>January</v>
      </c>
      <c r="P11" t="str">
        <f>IF(orders[[#This Row],[Customer Gender]]="M","Male", IF(orders[[#This Row],[Customer Gender]]="F","Female", IF(orders[[#This Row],[Customer Gender]]= "O", "Other","Unknown")))</f>
        <v>Male</v>
      </c>
    </row>
    <row r="12" spans="1:16"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s="12" t="str">
        <f>TEXT(orders[[#This Row],[Order Date]],"mmmm")</f>
        <v>January</v>
      </c>
      <c r="P12" t="str">
        <f>IF(orders[[#This Row],[Customer Gender]]="M","Male", IF(orders[[#This Row],[Customer Gender]]="F","Female", IF(orders[[#This Row],[Customer Gender]]= "O", "Other","Unknown")))</f>
        <v>Female</v>
      </c>
    </row>
    <row r="13" spans="1:16"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s="12" t="str">
        <f>TEXT(orders[[#This Row],[Order Date]],"mmmm")</f>
        <v>January</v>
      </c>
      <c r="P13" t="str">
        <f>IF(orders[[#This Row],[Customer Gender]]="M","Male", IF(orders[[#This Row],[Customer Gender]]="F","Female", IF(orders[[#This Row],[Customer Gender]]= "O", "Other","Unknown")))</f>
        <v>Female</v>
      </c>
    </row>
    <row r="14" spans="1:16"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s="12" t="str">
        <f>TEXT(orders[[#This Row],[Order Date]],"mmmm")</f>
        <v>January</v>
      </c>
      <c r="P14" t="str">
        <f>IF(orders[[#This Row],[Customer Gender]]="M","Male", IF(orders[[#This Row],[Customer Gender]]="F","Female", IF(orders[[#This Row],[Customer Gender]]= "O", "Other","Unknown")))</f>
        <v>Female</v>
      </c>
    </row>
    <row r="15" spans="1:16"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s="12" t="str">
        <f>TEXT(orders[[#This Row],[Order Date]],"mmmm")</f>
        <v>January</v>
      </c>
      <c r="P15" t="str">
        <f>IF(orders[[#This Row],[Customer Gender]]="M","Male", IF(orders[[#This Row],[Customer Gender]]="F","Female", IF(orders[[#This Row],[Customer Gender]]= "O", "Other","Unknown")))</f>
        <v>Male</v>
      </c>
    </row>
    <row r="16" spans="1:16"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s="12" t="str">
        <f>TEXT(orders[[#This Row],[Order Date]],"mmmm")</f>
        <v>January</v>
      </c>
      <c r="P16" t="str">
        <f>IF(orders[[#This Row],[Customer Gender]]="M","Male", IF(orders[[#This Row],[Customer Gender]]="F","Female", IF(orders[[#This Row],[Customer Gender]]= "O", "Other","Unknown")))</f>
        <v>Male</v>
      </c>
    </row>
    <row r="17" spans="1:16"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s="12" t="str">
        <f>TEXT(orders[[#This Row],[Order Date]],"mmmm")</f>
        <v>January</v>
      </c>
      <c r="P17" t="str">
        <f>IF(orders[[#This Row],[Customer Gender]]="M","Male", IF(orders[[#This Row],[Customer Gender]]="F","Female", IF(orders[[#This Row],[Customer Gender]]= "O", "Other","Unknown")))</f>
        <v>Male</v>
      </c>
    </row>
    <row r="18" spans="1:16"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s="12" t="str">
        <f>TEXT(orders[[#This Row],[Order Date]],"mmmm")</f>
        <v>January</v>
      </c>
      <c r="P18" t="str">
        <f>IF(orders[[#This Row],[Customer Gender]]="M","Male", IF(orders[[#This Row],[Customer Gender]]="F","Female", IF(orders[[#This Row],[Customer Gender]]= "O", "Other","Unknown")))</f>
        <v>Female</v>
      </c>
    </row>
    <row r="19" spans="1:16"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s="12" t="str">
        <f>TEXT(orders[[#This Row],[Order Date]],"mmmm")</f>
        <v>January</v>
      </c>
      <c r="P19" t="str">
        <f>IF(orders[[#This Row],[Customer Gender]]="M","Male", IF(orders[[#This Row],[Customer Gender]]="F","Female", IF(orders[[#This Row],[Customer Gender]]= "O", "Other","Unknown")))</f>
        <v>Female</v>
      </c>
    </row>
    <row r="20" spans="1:16"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s="12" t="str">
        <f>TEXT(orders[[#This Row],[Order Date]],"mmmm")</f>
        <v>January</v>
      </c>
      <c r="P20" t="str">
        <f>IF(orders[[#This Row],[Customer Gender]]="M","Male", IF(orders[[#This Row],[Customer Gender]]="F","Female", IF(orders[[#This Row],[Customer Gender]]= "O", "Other","Unknown")))</f>
        <v>Female</v>
      </c>
    </row>
    <row r="21" spans="1:16"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s="12" t="str">
        <f>TEXT(orders[[#This Row],[Order Date]],"mmmm")</f>
        <v>January</v>
      </c>
      <c r="P21" t="str">
        <f>IF(orders[[#This Row],[Customer Gender]]="M","Male", IF(orders[[#This Row],[Customer Gender]]="F","Female", IF(orders[[#This Row],[Customer Gender]]= "O", "Other","Unknown")))</f>
        <v>Female</v>
      </c>
    </row>
    <row r="22" spans="1:16"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s="12" t="str">
        <f>TEXT(orders[[#This Row],[Order Date]],"mmmm")</f>
        <v>January</v>
      </c>
      <c r="P22" t="str">
        <f>IF(orders[[#This Row],[Customer Gender]]="M","Male", IF(orders[[#This Row],[Customer Gender]]="F","Female", IF(orders[[#This Row],[Customer Gender]]= "O", "Other","Unknown")))</f>
        <v>Female</v>
      </c>
    </row>
    <row r="23" spans="1:16"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s="12" t="str">
        <f>TEXT(orders[[#This Row],[Order Date]],"mmmm")</f>
        <v>January</v>
      </c>
      <c r="P23" t="str">
        <f>IF(orders[[#This Row],[Customer Gender]]="M","Male", IF(orders[[#This Row],[Customer Gender]]="F","Female", IF(orders[[#This Row],[Customer Gender]]= "O", "Other","Unknown")))</f>
        <v>Female</v>
      </c>
    </row>
    <row r="24" spans="1:16"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s="12" t="str">
        <f>TEXT(orders[[#This Row],[Order Date]],"mmmm")</f>
        <v>January</v>
      </c>
      <c r="P24" t="str">
        <f>IF(orders[[#This Row],[Customer Gender]]="M","Male", IF(orders[[#This Row],[Customer Gender]]="F","Female", IF(orders[[#This Row],[Customer Gender]]= "O", "Other","Unknown")))</f>
        <v>Male</v>
      </c>
    </row>
    <row r="25" spans="1:16"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s="12" t="str">
        <f>TEXT(orders[[#This Row],[Order Date]],"mmmm")</f>
        <v>January</v>
      </c>
      <c r="P25" t="str">
        <f>IF(orders[[#This Row],[Customer Gender]]="M","Male", IF(orders[[#This Row],[Customer Gender]]="F","Female", IF(orders[[#This Row],[Customer Gender]]= "O", "Other","Unknown")))</f>
        <v>Female</v>
      </c>
    </row>
    <row r="26" spans="1:16"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s="12" t="str">
        <f>TEXT(orders[[#This Row],[Order Date]],"mmmm")</f>
        <v>January</v>
      </c>
      <c r="P26" t="str">
        <f>IF(orders[[#This Row],[Customer Gender]]="M","Male", IF(orders[[#This Row],[Customer Gender]]="F","Female", IF(orders[[#This Row],[Customer Gender]]= "O", "Other","Unknown")))</f>
        <v>Female</v>
      </c>
    </row>
    <row r="27" spans="1:16"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s="12" t="str">
        <f>TEXT(orders[[#This Row],[Order Date]],"mmmm")</f>
        <v>January</v>
      </c>
      <c r="P27" t="str">
        <f>IF(orders[[#This Row],[Customer Gender]]="M","Male", IF(orders[[#This Row],[Customer Gender]]="F","Female", IF(orders[[#This Row],[Customer Gender]]= "O", "Other","Unknown")))</f>
        <v>Female</v>
      </c>
    </row>
    <row r="28" spans="1:16"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s="12" t="str">
        <f>TEXT(orders[[#This Row],[Order Date]],"mmmm")</f>
        <v>January</v>
      </c>
      <c r="P28" t="str">
        <f>IF(orders[[#This Row],[Customer Gender]]="M","Male", IF(orders[[#This Row],[Customer Gender]]="F","Female", IF(orders[[#This Row],[Customer Gender]]= "O", "Other","Unknown")))</f>
        <v>Male</v>
      </c>
    </row>
    <row r="29" spans="1:16" hidden="1"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s="12" t="str">
        <f>TEXT(orders[[#This Row],[Order Date]],"mmmm")</f>
        <v>January</v>
      </c>
      <c r="P29" t="str">
        <f>IF(orders[[#This Row],[Customer Gender]]="M","Male", IF(orders[[#This Row],[Customer Gender]]="F","Female", IF(orders[[#This Row],[Customer Gender]]= "O", "Other","Unknown")))</f>
        <v>Unknown</v>
      </c>
    </row>
    <row r="30" spans="1:16" hidden="1"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s="12" t="str">
        <f>TEXT(orders[[#This Row],[Order Date]],"mmmm")</f>
        <v>January</v>
      </c>
      <c r="P30" t="str">
        <f>IF(orders[[#This Row],[Customer Gender]]="M","Male", IF(orders[[#This Row],[Customer Gender]]="F","Female", IF(orders[[#This Row],[Customer Gender]]= "O", "Other","Unknown")))</f>
        <v>Unknown</v>
      </c>
    </row>
    <row r="31" spans="1:16"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s="12" t="str">
        <f>TEXT(orders[[#This Row],[Order Date]],"mmmm")</f>
        <v>January</v>
      </c>
      <c r="P31" t="str">
        <f>IF(orders[[#This Row],[Customer Gender]]="M","Male", IF(orders[[#This Row],[Customer Gender]]="F","Female", IF(orders[[#This Row],[Customer Gender]]= "O", "Other","Unknown")))</f>
        <v>Female</v>
      </c>
    </row>
    <row r="32" spans="1:16"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s="12" t="str">
        <f>TEXT(orders[[#This Row],[Order Date]],"mmmm")</f>
        <v>January</v>
      </c>
      <c r="P32" t="str">
        <f>IF(orders[[#This Row],[Customer Gender]]="M","Male", IF(orders[[#This Row],[Customer Gender]]="F","Female", IF(orders[[#This Row],[Customer Gender]]= "O", "Other","Unknown")))</f>
        <v>Male</v>
      </c>
    </row>
    <row r="33" spans="1:16"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s="12" t="str">
        <f>TEXT(orders[[#This Row],[Order Date]],"mmmm")</f>
        <v>January</v>
      </c>
      <c r="P33" t="str">
        <f>IF(orders[[#This Row],[Customer Gender]]="M","Male", IF(orders[[#This Row],[Customer Gender]]="F","Female", IF(orders[[#This Row],[Customer Gender]]= "O", "Other","Unknown")))</f>
        <v>Male</v>
      </c>
    </row>
    <row r="34" spans="1:16"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s="12" t="str">
        <f>TEXT(orders[[#This Row],[Order Date]],"mmmm")</f>
        <v>January</v>
      </c>
      <c r="P34" t="str">
        <f>IF(orders[[#This Row],[Customer Gender]]="M","Male", IF(orders[[#This Row],[Customer Gender]]="F","Female", IF(orders[[#This Row],[Customer Gender]]= "O", "Other","Unknown")))</f>
        <v>Male</v>
      </c>
    </row>
    <row r="35" spans="1:16"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s="12" t="str">
        <f>TEXT(orders[[#This Row],[Order Date]],"mmmm")</f>
        <v>January</v>
      </c>
      <c r="P35" t="str">
        <f>IF(orders[[#This Row],[Customer Gender]]="M","Male", IF(orders[[#This Row],[Customer Gender]]="F","Female", IF(orders[[#This Row],[Customer Gender]]= "O", "Other","Unknown")))</f>
        <v>Other</v>
      </c>
    </row>
    <row r="36" spans="1:16"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s="12" t="str">
        <f>TEXT(orders[[#This Row],[Order Date]],"mmmm")</f>
        <v>January</v>
      </c>
      <c r="P36" t="str">
        <f>IF(orders[[#This Row],[Customer Gender]]="M","Male", IF(orders[[#This Row],[Customer Gender]]="F","Female", IF(orders[[#This Row],[Customer Gender]]= "O", "Other","Unknown")))</f>
        <v>Male</v>
      </c>
    </row>
    <row r="37" spans="1:16"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s="12" t="str">
        <f>TEXT(orders[[#This Row],[Order Date]],"mmmm")</f>
        <v>January</v>
      </c>
      <c r="P37" t="str">
        <f>IF(orders[[#This Row],[Customer Gender]]="M","Male", IF(orders[[#This Row],[Customer Gender]]="F","Female", IF(orders[[#This Row],[Customer Gender]]= "O", "Other","Unknown")))</f>
        <v>Male</v>
      </c>
    </row>
    <row r="38" spans="1:16"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s="12" t="str">
        <f>TEXT(orders[[#This Row],[Order Date]],"mmmm")</f>
        <v>January</v>
      </c>
      <c r="P38" t="str">
        <f>IF(orders[[#This Row],[Customer Gender]]="M","Male", IF(orders[[#This Row],[Customer Gender]]="F","Female", IF(orders[[#This Row],[Customer Gender]]= "O", "Other","Unknown")))</f>
        <v>Male</v>
      </c>
    </row>
    <row r="39" spans="1:16"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s="12" t="str">
        <f>TEXT(orders[[#This Row],[Order Date]],"mmmm")</f>
        <v>January</v>
      </c>
      <c r="P39" t="str">
        <f>IF(orders[[#This Row],[Customer Gender]]="M","Male", IF(orders[[#This Row],[Customer Gender]]="F","Female", IF(orders[[#This Row],[Customer Gender]]= "O", "Other","Unknown")))</f>
        <v>Male</v>
      </c>
    </row>
    <row r="40" spans="1:16"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s="12" t="str">
        <f>TEXT(orders[[#This Row],[Order Date]],"mmmm")</f>
        <v>January</v>
      </c>
      <c r="P40" t="str">
        <f>IF(orders[[#This Row],[Customer Gender]]="M","Male", IF(orders[[#This Row],[Customer Gender]]="F","Female", IF(orders[[#This Row],[Customer Gender]]= "O", "Other","Unknown")))</f>
        <v>Male</v>
      </c>
    </row>
    <row r="41" spans="1:16"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s="12" t="str">
        <f>TEXT(orders[[#This Row],[Order Date]],"mmmm")</f>
        <v>January</v>
      </c>
      <c r="P41" t="str">
        <f>IF(orders[[#This Row],[Customer Gender]]="M","Male", IF(orders[[#This Row],[Customer Gender]]="F","Female", IF(orders[[#This Row],[Customer Gender]]= "O", "Other","Unknown")))</f>
        <v>Female</v>
      </c>
    </row>
    <row r="42" spans="1:16"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s="12" t="str">
        <f>TEXT(orders[[#This Row],[Order Date]],"mmmm")</f>
        <v>January</v>
      </c>
      <c r="P42" t="str">
        <f>IF(orders[[#This Row],[Customer Gender]]="M","Male", IF(orders[[#This Row],[Customer Gender]]="F","Female", IF(orders[[#This Row],[Customer Gender]]= "O", "Other","Unknown")))</f>
        <v>Female</v>
      </c>
    </row>
    <row r="43" spans="1:16"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s="12" t="str">
        <f>TEXT(orders[[#This Row],[Order Date]],"mmmm")</f>
        <v>January</v>
      </c>
      <c r="P43" t="str">
        <f>IF(orders[[#This Row],[Customer Gender]]="M","Male", IF(orders[[#This Row],[Customer Gender]]="F","Female", IF(orders[[#This Row],[Customer Gender]]= "O", "Other","Unknown")))</f>
        <v>Male</v>
      </c>
    </row>
    <row r="44" spans="1:16"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s="12" t="str">
        <f>TEXT(orders[[#This Row],[Order Date]],"mmmm")</f>
        <v>January</v>
      </c>
      <c r="P44" t="str">
        <f>IF(orders[[#This Row],[Customer Gender]]="M","Male", IF(orders[[#This Row],[Customer Gender]]="F","Female", IF(orders[[#This Row],[Customer Gender]]= "O", "Other","Unknown")))</f>
        <v>Male</v>
      </c>
    </row>
    <row r="45" spans="1:16"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s="12" t="str">
        <f>TEXT(orders[[#This Row],[Order Date]],"mmmm")</f>
        <v>January</v>
      </c>
      <c r="P45" t="str">
        <f>IF(orders[[#This Row],[Customer Gender]]="M","Male", IF(orders[[#This Row],[Customer Gender]]="F","Female", IF(orders[[#This Row],[Customer Gender]]= "O", "Other","Unknown")))</f>
        <v>Female</v>
      </c>
    </row>
    <row r="46" spans="1:16"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s="12" t="str">
        <f>TEXT(orders[[#This Row],[Order Date]],"mmmm")</f>
        <v>January</v>
      </c>
      <c r="P46" t="str">
        <f>IF(orders[[#This Row],[Customer Gender]]="M","Male", IF(orders[[#This Row],[Customer Gender]]="F","Female", IF(orders[[#This Row],[Customer Gender]]= "O", "Other","Unknown")))</f>
        <v>Female</v>
      </c>
    </row>
    <row r="47" spans="1:16"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s="12" t="str">
        <f>TEXT(orders[[#This Row],[Order Date]],"mmmm")</f>
        <v>January</v>
      </c>
      <c r="P47" t="str">
        <f>IF(orders[[#This Row],[Customer Gender]]="M","Male", IF(orders[[#This Row],[Customer Gender]]="F","Female", IF(orders[[#This Row],[Customer Gender]]= "O", "Other","Unknown")))</f>
        <v>Female</v>
      </c>
    </row>
    <row r="48" spans="1:16"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s="12" t="str">
        <f>TEXT(orders[[#This Row],[Order Date]],"mmmm")</f>
        <v>January</v>
      </c>
      <c r="P48" t="str">
        <f>IF(orders[[#This Row],[Customer Gender]]="M","Male", IF(orders[[#This Row],[Customer Gender]]="F","Female", IF(orders[[#This Row],[Customer Gender]]= "O", "Other","Unknown")))</f>
        <v>Male</v>
      </c>
    </row>
    <row r="49" spans="1:16"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s="12" t="str">
        <f>TEXT(orders[[#This Row],[Order Date]],"mmmm")</f>
        <v>January</v>
      </c>
      <c r="P49" t="str">
        <f>IF(orders[[#This Row],[Customer Gender]]="M","Male", IF(orders[[#This Row],[Customer Gender]]="F","Female", IF(orders[[#This Row],[Customer Gender]]= "O", "Other","Unknown")))</f>
        <v>Female</v>
      </c>
    </row>
    <row r="50" spans="1:16"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s="12" t="str">
        <f>TEXT(orders[[#This Row],[Order Date]],"mmmm")</f>
        <v>January</v>
      </c>
      <c r="P50" t="str">
        <f>IF(orders[[#This Row],[Customer Gender]]="M","Male", IF(orders[[#This Row],[Customer Gender]]="F","Female", IF(orders[[#This Row],[Customer Gender]]= "O", "Other","Unknown")))</f>
        <v>Female</v>
      </c>
    </row>
    <row r="51" spans="1:16"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s="12" t="str">
        <f>TEXT(orders[[#This Row],[Order Date]],"mmmm")</f>
        <v>January</v>
      </c>
      <c r="P51" t="str">
        <f>IF(orders[[#This Row],[Customer Gender]]="M","Male", IF(orders[[#This Row],[Customer Gender]]="F","Female", IF(orders[[#This Row],[Customer Gender]]= "O", "Other","Unknown")))</f>
        <v>Female</v>
      </c>
    </row>
    <row r="52" spans="1:16"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s="12" t="str">
        <f>TEXT(orders[[#This Row],[Order Date]],"mmmm")</f>
        <v>January</v>
      </c>
      <c r="P52" t="str">
        <f>IF(orders[[#This Row],[Customer Gender]]="M","Male", IF(orders[[#This Row],[Customer Gender]]="F","Female", IF(orders[[#This Row],[Customer Gender]]= "O", "Other","Unknown")))</f>
        <v>Male</v>
      </c>
    </row>
    <row r="53" spans="1:16"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s="12" t="str">
        <f>TEXT(orders[[#This Row],[Order Date]],"mmmm")</f>
        <v>January</v>
      </c>
      <c r="P53" t="str">
        <f>IF(orders[[#This Row],[Customer Gender]]="M","Male", IF(orders[[#This Row],[Customer Gender]]="F","Female", IF(orders[[#This Row],[Customer Gender]]= "O", "Other","Unknown")))</f>
        <v>Female</v>
      </c>
    </row>
    <row r="54" spans="1:16"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s="12" t="str">
        <f>TEXT(orders[[#This Row],[Order Date]],"mmmm")</f>
        <v>January</v>
      </c>
      <c r="P54" t="str">
        <f>IF(orders[[#This Row],[Customer Gender]]="M","Male", IF(orders[[#This Row],[Customer Gender]]="F","Female", IF(orders[[#This Row],[Customer Gender]]= "O", "Other","Unknown")))</f>
        <v>Male</v>
      </c>
    </row>
    <row r="55" spans="1:16"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s="12" t="str">
        <f>TEXT(orders[[#This Row],[Order Date]],"mmmm")</f>
        <v>January</v>
      </c>
      <c r="P55" t="str">
        <f>IF(orders[[#This Row],[Customer Gender]]="M","Male", IF(orders[[#This Row],[Customer Gender]]="F","Female", IF(orders[[#This Row],[Customer Gender]]= "O", "Other","Unknown")))</f>
        <v>Female</v>
      </c>
    </row>
    <row r="56" spans="1:16"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s="12" t="str">
        <f>TEXT(orders[[#This Row],[Order Date]],"mmmm")</f>
        <v>January</v>
      </c>
      <c r="P56" t="str">
        <f>IF(orders[[#This Row],[Customer Gender]]="M","Male", IF(orders[[#This Row],[Customer Gender]]="F","Female", IF(orders[[#This Row],[Customer Gender]]= "O", "Other","Unknown")))</f>
        <v>Male</v>
      </c>
    </row>
    <row r="57" spans="1:16"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s="12" t="str">
        <f>TEXT(orders[[#This Row],[Order Date]],"mmmm")</f>
        <v>January</v>
      </c>
      <c r="P57" t="str">
        <f>IF(orders[[#This Row],[Customer Gender]]="M","Male", IF(orders[[#This Row],[Customer Gender]]="F","Female", IF(orders[[#This Row],[Customer Gender]]= "O", "Other","Unknown")))</f>
        <v>Male</v>
      </c>
    </row>
    <row r="58" spans="1:16"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s="12" t="str">
        <f>TEXT(orders[[#This Row],[Order Date]],"mmmm")</f>
        <v>January</v>
      </c>
      <c r="P58" t="str">
        <f>IF(orders[[#This Row],[Customer Gender]]="M","Male", IF(orders[[#This Row],[Customer Gender]]="F","Female", IF(orders[[#This Row],[Customer Gender]]= "O", "Other","Unknown")))</f>
        <v>Female</v>
      </c>
    </row>
    <row r="59" spans="1:16"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s="12" t="str">
        <f>TEXT(orders[[#This Row],[Order Date]],"mmmm")</f>
        <v>January</v>
      </c>
      <c r="P59" t="str">
        <f>IF(orders[[#This Row],[Customer Gender]]="M","Male", IF(orders[[#This Row],[Customer Gender]]="F","Female", IF(orders[[#This Row],[Customer Gender]]= "O", "Other","Unknown")))</f>
        <v>Female</v>
      </c>
    </row>
    <row r="60" spans="1:16"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s="12" t="str">
        <f>TEXT(orders[[#This Row],[Order Date]],"mmmm")</f>
        <v>January</v>
      </c>
      <c r="P60" t="str">
        <f>IF(orders[[#This Row],[Customer Gender]]="M","Male", IF(orders[[#This Row],[Customer Gender]]="F","Female", IF(orders[[#This Row],[Customer Gender]]= "O", "Other","Unknown")))</f>
        <v>Male</v>
      </c>
    </row>
    <row r="61" spans="1:16"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s="12" t="str">
        <f>TEXT(orders[[#This Row],[Order Date]],"mmmm")</f>
        <v>January</v>
      </c>
      <c r="P61" t="str">
        <f>IF(orders[[#This Row],[Customer Gender]]="M","Male", IF(orders[[#This Row],[Customer Gender]]="F","Female", IF(orders[[#This Row],[Customer Gender]]= "O", "Other","Unknown")))</f>
        <v>Female</v>
      </c>
    </row>
    <row r="62" spans="1:16"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s="12" t="str">
        <f>TEXT(orders[[#This Row],[Order Date]],"mmmm")</f>
        <v>January</v>
      </c>
      <c r="P62" t="str">
        <f>IF(orders[[#This Row],[Customer Gender]]="M","Male", IF(orders[[#This Row],[Customer Gender]]="F","Female", IF(orders[[#This Row],[Customer Gender]]= "O", "Other","Unknown")))</f>
        <v>Female</v>
      </c>
    </row>
    <row r="63" spans="1:16"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s="12" t="str">
        <f>TEXT(orders[[#This Row],[Order Date]],"mmmm")</f>
        <v>January</v>
      </c>
      <c r="P63" t="str">
        <f>IF(orders[[#This Row],[Customer Gender]]="M","Male", IF(orders[[#This Row],[Customer Gender]]="F","Female", IF(orders[[#This Row],[Customer Gender]]= "O", "Other","Unknown")))</f>
        <v>Female</v>
      </c>
    </row>
    <row r="64" spans="1:16"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s="12" t="str">
        <f>TEXT(orders[[#This Row],[Order Date]],"mmmm")</f>
        <v>January</v>
      </c>
      <c r="P64" t="str">
        <f>IF(orders[[#This Row],[Customer Gender]]="M","Male", IF(orders[[#This Row],[Customer Gender]]="F","Female", IF(orders[[#This Row],[Customer Gender]]= "O", "Other","Unknown")))</f>
        <v>Female</v>
      </c>
    </row>
    <row r="65" spans="1:16"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s="12" t="str">
        <f>TEXT(orders[[#This Row],[Order Date]],"mmmm")</f>
        <v>January</v>
      </c>
      <c r="P65" t="str">
        <f>IF(orders[[#This Row],[Customer Gender]]="M","Male", IF(orders[[#This Row],[Customer Gender]]="F","Female", IF(orders[[#This Row],[Customer Gender]]= "O", "Other","Unknown")))</f>
        <v>Male</v>
      </c>
    </row>
    <row r="66" spans="1:16"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s="12" t="str">
        <f>TEXT(orders[[#This Row],[Order Date]],"mmmm")</f>
        <v>January</v>
      </c>
      <c r="P66" t="str">
        <f>IF(orders[[#This Row],[Customer Gender]]="M","Male", IF(orders[[#This Row],[Customer Gender]]="F","Female", IF(orders[[#This Row],[Customer Gender]]= "O", "Other","Unknown")))</f>
        <v>Female</v>
      </c>
    </row>
    <row r="67" spans="1:16"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s="12" t="str">
        <f>TEXT(orders[[#This Row],[Order Date]],"mmmm")</f>
        <v>January</v>
      </c>
      <c r="P67" t="str">
        <f>IF(orders[[#This Row],[Customer Gender]]="M","Male", IF(orders[[#This Row],[Customer Gender]]="F","Female", IF(orders[[#This Row],[Customer Gender]]= "O", "Other","Unknown")))</f>
        <v>Female</v>
      </c>
    </row>
    <row r="68" spans="1:16"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s="12" t="str">
        <f>TEXT(orders[[#This Row],[Order Date]],"mmmm")</f>
        <v>January</v>
      </c>
      <c r="P68" t="str">
        <f>IF(orders[[#This Row],[Customer Gender]]="M","Male", IF(orders[[#This Row],[Customer Gender]]="F","Female", IF(orders[[#This Row],[Customer Gender]]= "O", "Other","Unknown")))</f>
        <v>Male</v>
      </c>
    </row>
    <row r="69" spans="1:16"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s="12" t="str">
        <f>TEXT(orders[[#This Row],[Order Date]],"mmmm")</f>
        <v>January</v>
      </c>
      <c r="P69" t="str">
        <f>IF(orders[[#This Row],[Customer Gender]]="M","Male", IF(orders[[#This Row],[Customer Gender]]="F","Female", IF(orders[[#This Row],[Customer Gender]]= "O", "Other","Unknown")))</f>
        <v>Female</v>
      </c>
    </row>
    <row r="70" spans="1:16"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s="12" t="str">
        <f>TEXT(orders[[#This Row],[Order Date]],"mmmm")</f>
        <v>January</v>
      </c>
      <c r="P70" t="str">
        <f>IF(orders[[#This Row],[Customer Gender]]="M","Male", IF(orders[[#This Row],[Customer Gender]]="F","Female", IF(orders[[#This Row],[Customer Gender]]= "O", "Other","Unknown")))</f>
        <v>Female</v>
      </c>
    </row>
    <row r="71" spans="1:16"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s="12" t="str">
        <f>TEXT(orders[[#This Row],[Order Date]],"mmmm")</f>
        <v>January</v>
      </c>
      <c r="P71" t="str">
        <f>IF(orders[[#This Row],[Customer Gender]]="M","Male", IF(orders[[#This Row],[Customer Gender]]="F","Female", IF(orders[[#This Row],[Customer Gender]]= "O", "Other","Unknown")))</f>
        <v>Male</v>
      </c>
    </row>
    <row r="72" spans="1:16"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s="12" t="str">
        <f>TEXT(orders[[#This Row],[Order Date]],"mmmm")</f>
        <v>January</v>
      </c>
      <c r="P72" t="str">
        <f>IF(orders[[#This Row],[Customer Gender]]="M","Male", IF(orders[[#This Row],[Customer Gender]]="F","Female", IF(orders[[#This Row],[Customer Gender]]= "O", "Other","Unknown")))</f>
        <v>Male</v>
      </c>
    </row>
    <row r="73" spans="1:16"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s="12" t="str">
        <f>TEXT(orders[[#This Row],[Order Date]],"mmmm")</f>
        <v>January</v>
      </c>
      <c r="P73" t="str">
        <f>IF(orders[[#This Row],[Customer Gender]]="M","Male", IF(orders[[#This Row],[Customer Gender]]="F","Female", IF(orders[[#This Row],[Customer Gender]]= "O", "Other","Unknown")))</f>
        <v>Female</v>
      </c>
    </row>
    <row r="74" spans="1:16"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s="12" t="str">
        <f>TEXT(orders[[#This Row],[Order Date]],"mmmm")</f>
        <v>January</v>
      </c>
      <c r="P74" t="str">
        <f>IF(orders[[#This Row],[Customer Gender]]="M","Male", IF(orders[[#This Row],[Customer Gender]]="F","Female", IF(orders[[#This Row],[Customer Gender]]= "O", "Other","Unknown")))</f>
        <v>Female</v>
      </c>
    </row>
    <row r="75" spans="1:16"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s="12" t="str">
        <f>TEXT(orders[[#This Row],[Order Date]],"mmmm")</f>
        <v>January</v>
      </c>
      <c r="P75" t="str">
        <f>IF(orders[[#This Row],[Customer Gender]]="M","Male", IF(orders[[#This Row],[Customer Gender]]="F","Female", IF(orders[[#This Row],[Customer Gender]]= "O", "Other","Unknown")))</f>
        <v>Female</v>
      </c>
    </row>
    <row r="76" spans="1:16"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s="12" t="str">
        <f>TEXT(orders[[#This Row],[Order Date]],"mmmm")</f>
        <v>January</v>
      </c>
      <c r="P76" t="str">
        <f>IF(orders[[#This Row],[Customer Gender]]="M","Male", IF(orders[[#This Row],[Customer Gender]]="F","Female", IF(orders[[#This Row],[Customer Gender]]= "O", "Other","Unknown")))</f>
        <v>Male</v>
      </c>
    </row>
    <row r="77" spans="1:16"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s="12" t="str">
        <f>TEXT(orders[[#This Row],[Order Date]],"mmmm")</f>
        <v>January</v>
      </c>
      <c r="P77" t="str">
        <f>IF(orders[[#This Row],[Customer Gender]]="M","Male", IF(orders[[#This Row],[Customer Gender]]="F","Female", IF(orders[[#This Row],[Customer Gender]]= "O", "Other","Unknown")))</f>
        <v>Other</v>
      </c>
    </row>
    <row r="78" spans="1:16"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s="12" t="str">
        <f>TEXT(orders[[#This Row],[Order Date]],"mmmm")</f>
        <v>January</v>
      </c>
      <c r="P78" t="str">
        <f>IF(orders[[#This Row],[Customer Gender]]="M","Male", IF(orders[[#This Row],[Customer Gender]]="F","Female", IF(orders[[#This Row],[Customer Gender]]= "O", "Other","Unknown")))</f>
        <v>Female</v>
      </c>
    </row>
    <row r="79" spans="1:16"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s="12" t="str">
        <f>TEXT(orders[[#This Row],[Order Date]],"mmmm")</f>
        <v>January</v>
      </c>
      <c r="P79" t="str">
        <f>IF(orders[[#This Row],[Customer Gender]]="M","Male", IF(orders[[#This Row],[Customer Gender]]="F","Female", IF(orders[[#This Row],[Customer Gender]]= "O", "Other","Unknown")))</f>
        <v>Male</v>
      </c>
    </row>
    <row r="80" spans="1:16"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s="12" t="str">
        <f>TEXT(orders[[#This Row],[Order Date]],"mmmm")</f>
        <v>January</v>
      </c>
      <c r="P80" t="str">
        <f>IF(orders[[#This Row],[Customer Gender]]="M","Male", IF(orders[[#This Row],[Customer Gender]]="F","Female", IF(orders[[#This Row],[Customer Gender]]= "O", "Other","Unknown")))</f>
        <v>Female</v>
      </c>
    </row>
    <row r="81" spans="1:16"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s="12" t="str">
        <f>TEXT(orders[[#This Row],[Order Date]],"mmmm")</f>
        <v>January</v>
      </c>
      <c r="P81" t="str">
        <f>IF(orders[[#This Row],[Customer Gender]]="M","Male", IF(orders[[#This Row],[Customer Gender]]="F","Female", IF(orders[[#This Row],[Customer Gender]]= "O", "Other","Unknown")))</f>
        <v>Female</v>
      </c>
    </row>
    <row r="82" spans="1:16"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s="12" t="str">
        <f>TEXT(orders[[#This Row],[Order Date]],"mmmm")</f>
        <v>January</v>
      </c>
      <c r="P82" t="str">
        <f>IF(orders[[#This Row],[Customer Gender]]="M","Male", IF(orders[[#This Row],[Customer Gender]]="F","Female", IF(orders[[#This Row],[Customer Gender]]= "O", "Other","Unknown")))</f>
        <v>Male</v>
      </c>
    </row>
    <row r="83" spans="1:16"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s="12" t="str">
        <f>TEXT(orders[[#This Row],[Order Date]],"mmmm")</f>
        <v>January</v>
      </c>
      <c r="P83" t="str">
        <f>IF(orders[[#This Row],[Customer Gender]]="M","Male", IF(orders[[#This Row],[Customer Gender]]="F","Female", IF(orders[[#This Row],[Customer Gender]]= "O", "Other","Unknown")))</f>
        <v>Female</v>
      </c>
    </row>
    <row r="84" spans="1:16"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s="12" t="str">
        <f>TEXT(orders[[#This Row],[Order Date]],"mmmm")</f>
        <v>January</v>
      </c>
      <c r="P84" t="str">
        <f>IF(orders[[#This Row],[Customer Gender]]="M","Male", IF(orders[[#This Row],[Customer Gender]]="F","Female", IF(orders[[#This Row],[Customer Gender]]= "O", "Other","Unknown")))</f>
        <v>Male</v>
      </c>
    </row>
    <row r="85" spans="1:16"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s="12" t="str">
        <f>TEXT(orders[[#This Row],[Order Date]],"mmmm")</f>
        <v>January</v>
      </c>
      <c r="P85" t="str">
        <f>IF(orders[[#This Row],[Customer Gender]]="M","Male", IF(orders[[#This Row],[Customer Gender]]="F","Female", IF(orders[[#This Row],[Customer Gender]]= "O", "Other","Unknown")))</f>
        <v>Female</v>
      </c>
    </row>
    <row r="86" spans="1:16"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s="12" t="str">
        <f>TEXT(orders[[#This Row],[Order Date]],"mmmm")</f>
        <v>January</v>
      </c>
      <c r="P86" t="str">
        <f>IF(orders[[#This Row],[Customer Gender]]="M","Male", IF(orders[[#This Row],[Customer Gender]]="F","Female", IF(orders[[#This Row],[Customer Gender]]= "O", "Other","Unknown")))</f>
        <v>Male</v>
      </c>
    </row>
    <row r="87" spans="1:16"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s="12" t="str">
        <f>TEXT(orders[[#This Row],[Order Date]],"mmmm")</f>
        <v>January</v>
      </c>
      <c r="P87" t="str">
        <f>IF(orders[[#This Row],[Customer Gender]]="M","Male", IF(orders[[#This Row],[Customer Gender]]="F","Female", IF(orders[[#This Row],[Customer Gender]]= "O", "Other","Unknown")))</f>
        <v>Male</v>
      </c>
    </row>
    <row r="88" spans="1:16"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s="12" t="str">
        <f>TEXT(orders[[#This Row],[Order Date]],"mmmm")</f>
        <v>January</v>
      </c>
      <c r="P88" t="str">
        <f>IF(orders[[#This Row],[Customer Gender]]="M","Male", IF(orders[[#This Row],[Customer Gender]]="F","Female", IF(orders[[#This Row],[Customer Gender]]= "O", "Other","Unknown")))</f>
        <v>Female</v>
      </c>
    </row>
    <row r="89" spans="1:16"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s="12" t="str">
        <f>TEXT(orders[[#This Row],[Order Date]],"mmmm")</f>
        <v>January</v>
      </c>
      <c r="P89" t="str">
        <f>IF(orders[[#This Row],[Customer Gender]]="M","Male", IF(orders[[#This Row],[Customer Gender]]="F","Female", IF(orders[[#This Row],[Customer Gender]]= "O", "Other","Unknown")))</f>
        <v>Male</v>
      </c>
    </row>
    <row r="90" spans="1:16"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s="12" t="str">
        <f>TEXT(orders[[#This Row],[Order Date]],"mmmm")</f>
        <v>January</v>
      </c>
      <c r="P90" t="str">
        <f>IF(orders[[#This Row],[Customer Gender]]="M","Male", IF(orders[[#This Row],[Customer Gender]]="F","Female", IF(orders[[#This Row],[Customer Gender]]= "O", "Other","Unknown")))</f>
        <v>Male</v>
      </c>
    </row>
    <row r="91" spans="1:16"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s="12" t="str">
        <f>TEXT(orders[[#This Row],[Order Date]],"mmmm")</f>
        <v>January</v>
      </c>
      <c r="P91" t="str">
        <f>IF(orders[[#This Row],[Customer Gender]]="M","Male", IF(orders[[#This Row],[Customer Gender]]="F","Female", IF(orders[[#This Row],[Customer Gender]]= "O", "Other","Unknown")))</f>
        <v>Female</v>
      </c>
    </row>
    <row r="92" spans="1:16" hidden="1"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s="12" t="str">
        <f>TEXT(orders[[#This Row],[Order Date]],"mmmm")</f>
        <v>January</v>
      </c>
      <c r="P92" t="str">
        <f>IF(orders[[#This Row],[Customer Gender]]="M","Male", IF(orders[[#This Row],[Customer Gender]]="F","Female", IF(orders[[#This Row],[Customer Gender]]= "O", "Other","Unknown")))</f>
        <v>Unknown</v>
      </c>
    </row>
    <row r="93" spans="1:16"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s="12" t="str">
        <f>TEXT(orders[[#This Row],[Order Date]],"mmmm")</f>
        <v>January</v>
      </c>
      <c r="P93" t="str">
        <f>IF(orders[[#This Row],[Customer Gender]]="M","Male", IF(orders[[#This Row],[Customer Gender]]="F","Female", IF(orders[[#This Row],[Customer Gender]]= "O", "Other","Unknown")))</f>
        <v>Female</v>
      </c>
    </row>
    <row r="94" spans="1:16"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s="12" t="str">
        <f>TEXT(orders[[#This Row],[Order Date]],"mmmm")</f>
        <v>January</v>
      </c>
      <c r="P94" t="str">
        <f>IF(orders[[#This Row],[Customer Gender]]="M","Male", IF(orders[[#This Row],[Customer Gender]]="F","Female", IF(orders[[#This Row],[Customer Gender]]= "O", "Other","Unknown")))</f>
        <v>Male</v>
      </c>
    </row>
    <row r="95" spans="1:16" hidden="1"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s="12" t="str">
        <f>TEXT(orders[[#This Row],[Order Date]],"mmmm")</f>
        <v>January</v>
      </c>
      <c r="P95" t="str">
        <f>IF(orders[[#This Row],[Customer Gender]]="M","Male", IF(orders[[#This Row],[Customer Gender]]="F","Female", IF(orders[[#This Row],[Customer Gender]]= "O", "Other","Unknown")))</f>
        <v>Unknown</v>
      </c>
    </row>
    <row r="96" spans="1:16"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s="12" t="str">
        <f>TEXT(orders[[#This Row],[Order Date]],"mmmm")</f>
        <v>January</v>
      </c>
      <c r="P96" t="str">
        <f>IF(orders[[#This Row],[Customer Gender]]="M","Male", IF(orders[[#This Row],[Customer Gender]]="F","Female", IF(orders[[#This Row],[Customer Gender]]= "O", "Other","Unknown")))</f>
        <v>Female</v>
      </c>
    </row>
    <row r="97" spans="1:16"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s="12" t="str">
        <f>TEXT(orders[[#This Row],[Order Date]],"mmmm")</f>
        <v>January</v>
      </c>
      <c r="P97" t="str">
        <f>IF(orders[[#This Row],[Customer Gender]]="M","Male", IF(orders[[#This Row],[Customer Gender]]="F","Female", IF(orders[[#This Row],[Customer Gender]]= "O", "Other","Unknown")))</f>
        <v>Female</v>
      </c>
    </row>
    <row r="98" spans="1:16"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s="12" t="str">
        <f>TEXT(orders[[#This Row],[Order Date]],"mmmm")</f>
        <v>January</v>
      </c>
      <c r="P98" t="str">
        <f>IF(orders[[#This Row],[Customer Gender]]="M","Male", IF(orders[[#This Row],[Customer Gender]]="F","Female", IF(orders[[#This Row],[Customer Gender]]= "O", "Other","Unknown")))</f>
        <v>Male</v>
      </c>
    </row>
    <row r="99" spans="1:16"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s="12" t="str">
        <f>TEXT(orders[[#This Row],[Order Date]],"mmmm")</f>
        <v>January</v>
      </c>
      <c r="P99" t="str">
        <f>IF(orders[[#This Row],[Customer Gender]]="M","Male", IF(orders[[#This Row],[Customer Gender]]="F","Female", IF(orders[[#This Row],[Customer Gender]]= "O", "Other","Unknown")))</f>
        <v>Male</v>
      </c>
    </row>
    <row r="100" spans="1:16"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s="12" t="str">
        <f>TEXT(orders[[#This Row],[Order Date]],"mmmm")</f>
        <v>January</v>
      </c>
      <c r="P100" t="str">
        <f>IF(orders[[#This Row],[Customer Gender]]="M","Male", IF(orders[[#This Row],[Customer Gender]]="F","Female", IF(orders[[#This Row],[Customer Gender]]= "O", "Other","Unknown")))</f>
        <v>Male</v>
      </c>
    </row>
    <row r="101" spans="1:16"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s="12" t="str">
        <f>TEXT(orders[[#This Row],[Order Date]],"mmmm")</f>
        <v>January</v>
      </c>
      <c r="P101" t="str">
        <f>IF(orders[[#This Row],[Customer Gender]]="M","Male", IF(orders[[#This Row],[Customer Gender]]="F","Female", IF(orders[[#This Row],[Customer Gender]]= "O", "Other","Unknown")))</f>
        <v>Female</v>
      </c>
    </row>
    <row r="102" spans="1:16"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s="12" t="str">
        <f>TEXT(orders[[#This Row],[Order Date]],"mmmm")</f>
        <v>January</v>
      </c>
      <c r="P102" t="str">
        <f>IF(orders[[#This Row],[Customer Gender]]="M","Male", IF(orders[[#This Row],[Customer Gender]]="F","Female", IF(orders[[#This Row],[Customer Gender]]= "O", "Other","Unknown")))</f>
        <v>Male</v>
      </c>
    </row>
    <row r="103" spans="1:16"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s="12" t="str">
        <f>TEXT(orders[[#This Row],[Order Date]],"mmmm")</f>
        <v>January</v>
      </c>
      <c r="P103" t="str">
        <f>IF(orders[[#This Row],[Customer Gender]]="M","Male", IF(orders[[#This Row],[Customer Gender]]="F","Female", IF(orders[[#This Row],[Customer Gender]]= "O", "Other","Unknown")))</f>
        <v>Male</v>
      </c>
    </row>
    <row r="104" spans="1:16"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s="12" t="str">
        <f>TEXT(orders[[#This Row],[Order Date]],"mmmm")</f>
        <v>January</v>
      </c>
      <c r="P104" t="str">
        <f>IF(orders[[#This Row],[Customer Gender]]="M","Male", IF(orders[[#This Row],[Customer Gender]]="F","Female", IF(orders[[#This Row],[Customer Gender]]= "O", "Other","Unknown")))</f>
        <v>Female</v>
      </c>
    </row>
    <row r="105" spans="1:16"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s="12" t="str">
        <f>TEXT(orders[[#This Row],[Order Date]],"mmmm")</f>
        <v>January</v>
      </c>
      <c r="P105" t="str">
        <f>IF(orders[[#This Row],[Customer Gender]]="M","Male", IF(orders[[#This Row],[Customer Gender]]="F","Female", IF(orders[[#This Row],[Customer Gender]]= "O", "Other","Unknown")))</f>
        <v>Male</v>
      </c>
    </row>
    <row r="106" spans="1:16"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s="12" t="str">
        <f>TEXT(orders[[#This Row],[Order Date]],"mmmm")</f>
        <v>January</v>
      </c>
      <c r="P106" t="str">
        <f>IF(orders[[#This Row],[Customer Gender]]="M","Male", IF(orders[[#This Row],[Customer Gender]]="F","Female", IF(orders[[#This Row],[Customer Gender]]= "O", "Other","Unknown")))</f>
        <v>Female</v>
      </c>
    </row>
    <row r="107" spans="1:16"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s="12" t="str">
        <f>TEXT(orders[[#This Row],[Order Date]],"mmmm")</f>
        <v>January</v>
      </c>
      <c r="P107" t="str">
        <f>IF(orders[[#This Row],[Customer Gender]]="M","Male", IF(orders[[#This Row],[Customer Gender]]="F","Female", IF(orders[[#This Row],[Customer Gender]]= "O", "Other","Unknown")))</f>
        <v>Female</v>
      </c>
    </row>
    <row r="108" spans="1:16"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s="12" t="str">
        <f>TEXT(orders[[#This Row],[Order Date]],"mmmm")</f>
        <v>January</v>
      </c>
      <c r="P108" t="str">
        <f>IF(orders[[#This Row],[Customer Gender]]="M","Male", IF(orders[[#This Row],[Customer Gender]]="F","Female", IF(orders[[#This Row],[Customer Gender]]= "O", "Other","Unknown")))</f>
        <v>Female</v>
      </c>
    </row>
    <row r="109" spans="1:16"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s="12" t="str">
        <f>TEXT(orders[[#This Row],[Order Date]],"mmmm")</f>
        <v>January</v>
      </c>
      <c r="P109" t="str">
        <f>IF(orders[[#This Row],[Customer Gender]]="M","Male", IF(orders[[#This Row],[Customer Gender]]="F","Female", IF(orders[[#This Row],[Customer Gender]]= "O", "Other","Unknown")))</f>
        <v>Male</v>
      </c>
    </row>
    <row r="110" spans="1:16"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s="12" t="str">
        <f>TEXT(orders[[#This Row],[Order Date]],"mmmm")</f>
        <v>January</v>
      </c>
      <c r="P110" t="str">
        <f>IF(orders[[#This Row],[Customer Gender]]="M","Male", IF(orders[[#This Row],[Customer Gender]]="F","Female", IF(orders[[#This Row],[Customer Gender]]= "O", "Other","Unknown")))</f>
        <v>Male</v>
      </c>
    </row>
    <row r="111" spans="1:16"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s="12" t="str">
        <f>TEXT(orders[[#This Row],[Order Date]],"mmmm")</f>
        <v>January</v>
      </c>
      <c r="P111" t="str">
        <f>IF(orders[[#This Row],[Customer Gender]]="M","Male", IF(orders[[#This Row],[Customer Gender]]="F","Female", IF(orders[[#This Row],[Customer Gender]]= "O", "Other","Unknown")))</f>
        <v>Female</v>
      </c>
    </row>
    <row r="112" spans="1:16"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s="12" t="str">
        <f>TEXT(orders[[#This Row],[Order Date]],"mmmm")</f>
        <v>January</v>
      </c>
      <c r="P112" t="str">
        <f>IF(orders[[#This Row],[Customer Gender]]="M","Male", IF(orders[[#This Row],[Customer Gender]]="F","Female", IF(orders[[#This Row],[Customer Gender]]= "O", "Other","Unknown")))</f>
        <v>Male</v>
      </c>
    </row>
    <row r="113" spans="1:16"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s="12" t="str">
        <f>TEXT(orders[[#This Row],[Order Date]],"mmmm")</f>
        <v>January</v>
      </c>
      <c r="P113" t="str">
        <f>IF(orders[[#This Row],[Customer Gender]]="M","Male", IF(orders[[#This Row],[Customer Gender]]="F","Female", IF(orders[[#This Row],[Customer Gender]]= "O", "Other","Unknown")))</f>
        <v>Female</v>
      </c>
    </row>
    <row r="114" spans="1:16"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s="12" t="str">
        <f>TEXT(orders[[#This Row],[Order Date]],"mmmm")</f>
        <v>January</v>
      </c>
      <c r="P114" t="str">
        <f>IF(orders[[#This Row],[Customer Gender]]="M","Male", IF(orders[[#This Row],[Customer Gender]]="F","Female", IF(orders[[#This Row],[Customer Gender]]= "O", "Other","Unknown")))</f>
        <v>Male</v>
      </c>
    </row>
    <row r="115" spans="1:16"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s="12" t="str">
        <f>TEXT(orders[[#This Row],[Order Date]],"mmmm")</f>
        <v>January</v>
      </c>
      <c r="P115" t="str">
        <f>IF(orders[[#This Row],[Customer Gender]]="M","Male", IF(orders[[#This Row],[Customer Gender]]="F","Female", IF(orders[[#This Row],[Customer Gender]]= "O", "Other","Unknown")))</f>
        <v>Male</v>
      </c>
    </row>
    <row r="116" spans="1:16"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s="12" t="str">
        <f>TEXT(orders[[#This Row],[Order Date]],"mmmm")</f>
        <v>January</v>
      </c>
      <c r="P116" t="str">
        <f>IF(orders[[#This Row],[Customer Gender]]="M","Male", IF(orders[[#This Row],[Customer Gender]]="F","Female", IF(orders[[#This Row],[Customer Gender]]= "O", "Other","Unknown")))</f>
        <v>Male</v>
      </c>
    </row>
    <row r="117" spans="1:16"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s="12" t="str">
        <f>TEXT(orders[[#This Row],[Order Date]],"mmmm")</f>
        <v>January</v>
      </c>
      <c r="P117" t="str">
        <f>IF(orders[[#This Row],[Customer Gender]]="M","Male", IF(orders[[#This Row],[Customer Gender]]="F","Female", IF(orders[[#This Row],[Customer Gender]]= "O", "Other","Unknown")))</f>
        <v>Female</v>
      </c>
    </row>
    <row r="118" spans="1:16"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s="12" t="str">
        <f>TEXT(orders[[#This Row],[Order Date]],"mmmm")</f>
        <v>January</v>
      </c>
      <c r="P118" t="str">
        <f>IF(orders[[#This Row],[Customer Gender]]="M","Male", IF(orders[[#This Row],[Customer Gender]]="F","Female", IF(orders[[#This Row],[Customer Gender]]= "O", "Other","Unknown")))</f>
        <v>Female</v>
      </c>
    </row>
    <row r="119" spans="1:16"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s="12" t="str">
        <f>TEXT(orders[[#This Row],[Order Date]],"mmmm")</f>
        <v>January</v>
      </c>
      <c r="P119" t="str">
        <f>IF(orders[[#This Row],[Customer Gender]]="M","Male", IF(orders[[#This Row],[Customer Gender]]="F","Female", IF(orders[[#This Row],[Customer Gender]]= "O", "Other","Unknown")))</f>
        <v>Female</v>
      </c>
    </row>
    <row r="120" spans="1:16"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s="12" t="str">
        <f>TEXT(orders[[#This Row],[Order Date]],"mmmm")</f>
        <v>January</v>
      </c>
      <c r="P120" t="str">
        <f>IF(orders[[#This Row],[Customer Gender]]="M","Male", IF(orders[[#This Row],[Customer Gender]]="F","Female", IF(orders[[#This Row],[Customer Gender]]= "O", "Other","Unknown")))</f>
        <v>Male</v>
      </c>
    </row>
    <row r="121" spans="1:16"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s="12" t="str">
        <f>TEXT(orders[[#This Row],[Order Date]],"mmmm")</f>
        <v>January</v>
      </c>
      <c r="P121" t="str">
        <f>IF(orders[[#This Row],[Customer Gender]]="M","Male", IF(orders[[#This Row],[Customer Gender]]="F","Female", IF(orders[[#This Row],[Customer Gender]]= "O", "Other","Unknown")))</f>
        <v>Female</v>
      </c>
    </row>
    <row r="122" spans="1:16" hidden="1"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s="12" t="str">
        <f>TEXT(orders[[#This Row],[Order Date]],"mmmm")</f>
        <v>January</v>
      </c>
      <c r="P122" t="str">
        <f>IF(orders[[#This Row],[Customer Gender]]="M","Male", IF(orders[[#This Row],[Customer Gender]]="F","Female", IF(orders[[#This Row],[Customer Gender]]= "O", "Other","Unknown")))</f>
        <v>Unknown</v>
      </c>
    </row>
    <row r="123" spans="1:16"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s="12" t="str">
        <f>TEXT(orders[[#This Row],[Order Date]],"mmmm")</f>
        <v>January</v>
      </c>
      <c r="P123" t="str">
        <f>IF(orders[[#This Row],[Customer Gender]]="M","Male", IF(orders[[#This Row],[Customer Gender]]="F","Female", IF(orders[[#This Row],[Customer Gender]]= "O", "Other","Unknown")))</f>
        <v>Male</v>
      </c>
    </row>
    <row r="124" spans="1:16"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s="12" t="str">
        <f>TEXT(orders[[#This Row],[Order Date]],"mmmm")</f>
        <v>January</v>
      </c>
      <c r="P124" t="str">
        <f>IF(orders[[#This Row],[Customer Gender]]="M","Male", IF(orders[[#This Row],[Customer Gender]]="F","Female", IF(orders[[#This Row],[Customer Gender]]= "O", "Other","Unknown")))</f>
        <v>Female</v>
      </c>
    </row>
    <row r="125" spans="1:16"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s="12" t="str">
        <f>TEXT(orders[[#This Row],[Order Date]],"mmmm")</f>
        <v>January</v>
      </c>
      <c r="P125" t="str">
        <f>IF(orders[[#This Row],[Customer Gender]]="M","Male", IF(orders[[#This Row],[Customer Gender]]="F","Female", IF(orders[[#This Row],[Customer Gender]]= "O", "Other","Unknown")))</f>
        <v>Female</v>
      </c>
    </row>
    <row r="126" spans="1:16"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s="12" t="str">
        <f>TEXT(orders[[#This Row],[Order Date]],"mmmm")</f>
        <v>January</v>
      </c>
      <c r="P126" t="str">
        <f>IF(orders[[#This Row],[Customer Gender]]="M","Male", IF(orders[[#This Row],[Customer Gender]]="F","Female", IF(orders[[#This Row],[Customer Gender]]= "O", "Other","Unknown")))</f>
        <v>Male</v>
      </c>
    </row>
    <row r="127" spans="1:16"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s="12" t="str">
        <f>TEXT(orders[[#This Row],[Order Date]],"mmmm")</f>
        <v>January</v>
      </c>
      <c r="P127" t="str">
        <f>IF(orders[[#This Row],[Customer Gender]]="M","Male", IF(orders[[#This Row],[Customer Gender]]="F","Female", IF(orders[[#This Row],[Customer Gender]]= "O", "Other","Unknown")))</f>
        <v>Male</v>
      </c>
    </row>
    <row r="128" spans="1:16"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s="12" t="str">
        <f>TEXT(orders[[#This Row],[Order Date]],"mmmm")</f>
        <v>January</v>
      </c>
      <c r="P128" t="str">
        <f>IF(orders[[#This Row],[Customer Gender]]="M","Male", IF(orders[[#This Row],[Customer Gender]]="F","Female", IF(orders[[#This Row],[Customer Gender]]= "O", "Other","Unknown")))</f>
        <v>Female</v>
      </c>
    </row>
    <row r="129" spans="1:16"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s="12" t="str">
        <f>TEXT(orders[[#This Row],[Order Date]],"mmmm")</f>
        <v>January</v>
      </c>
      <c r="P129" t="str">
        <f>IF(orders[[#This Row],[Customer Gender]]="M","Male", IF(orders[[#This Row],[Customer Gender]]="F","Female", IF(orders[[#This Row],[Customer Gender]]= "O", "Other","Unknown")))</f>
        <v>Male</v>
      </c>
    </row>
    <row r="130" spans="1:16"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s="12" t="str">
        <f>TEXT(orders[[#This Row],[Order Date]],"mmmm")</f>
        <v>January</v>
      </c>
      <c r="P130" t="str">
        <f>IF(orders[[#This Row],[Customer Gender]]="M","Male", IF(orders[[#This Row],[Customer Gender]]="F","Female", IF(orders[[#This Row],[Customer Gender]]= "O", "Other","Unknown")))</f>
        <v>Male</v>
      </c>
    </row>
    <row r="131" spans="1:16"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s="12" t="str">
        <f>TEXT(orders[[#This Row],[Order Date]],"mmmm")</f>
        <v>January</v>
      </c>
      <c r="P131" t="str">
        <f>IF(orders[[#This Row],[Customer Gender]]="M","Male", IF(orders[[#This Row],[Customer Gender]]="F","Female", IF(orders[[#This Row],[Customer Gender]]= "O", "Other","Unknown")))</f>
        <v>Male</v>
      </c>
    </row>
    <row r="132" spans="1:16"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s="12" t="str">
        <f>TEXT(orders[[#This Row],[Order Date]],"mmmm")</f>
        <v>January</v>
      </c>
      <c r="P132" t="str">
        <f>IF(orders[[#This Row],[Customer Gender]]="M","Male", IF(orders[[#This Row],[Customer Gender]]="F","Female", IF(orders[[#This Row],[Customer Gender]]= "O", "Other","Unknown")))</f>
        <v>Other</v>
      </c>
    </row>
    <row r="133" spans="1:16"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s="12" t="str">
        <f>TEXT(orders[[#This Row],[Order Date]],"mmmm")</f>
        <v>January</v>
      </c>
      <c r="P133" t="str">
        <f>IF(orders[[#This Row],[Customer Gender]]="M","Male", IF(orders[[#This Row],[Customer Gender]]="F","Female", IF(orders[[#This Row],[Customer Gender]]= "O", "Other","Unknown")))</f>
        <v>Female</v>
      </c>
    </row>
    <row r="134" spans="1:16"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s="12" t="str">
        <f>TEXT(orders[[#This Row],[Order Date]],"mmmm")</f>
        <v>January</v>
      </c>
      <c r="P134" t="str">
        <f>IF(orders[[#This Row],[Customer Gender]]="M","Male", IF(orders[[#This Row],[Customer Gender]]="F","Female", IF(orders[[#This Row],[Customer Gender]]= "O", "Other","Unknown")))</f>
        <v>Male</v>
      </c>
    </row>
    <row r="135" spans="1:16"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s="12" t="str">
        <f>TEXT(orders[[#This Row],[Order Date]],"mmmm")</f>
        <v>January</v>
      </c>
      <c r="P135" t="str">
        <f>IF(orders[[#This Row],[Customer Gender]]="M","Male", IF(orders[[#This Row],[Customer Gender]]="F","Female", IF(orders[[#This Row],[Customer Gender]]= "O", "Other","Unknown")))</f>
        <v>Other</v>
      </c>
    </row>
    <row r="136" spans="1:16"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s="12" t="str">
        <f>TEXT(orders[[#This Row],[Order Date]],"mmmm")</f>
        <v>January</v>
      </c>
      <c r="P136" t="str">
        <f>IF(orders[[#This Row],[Customer Gender]]="M","Male", IF(orders[[#This Row],[Customer Gender]]="F","Female", IF(orders[[#This Row],[Customer Gender]]= "O", "Other","Unknown")))</f>
        <v>Female</v>
      </c>
    </row>
    <row r="137" spans="1:16"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s="12" t="str">
        <f>TEXT(orders[[#This Row],[Order Date]],"mmmm")</f>
        <v>January</v>
      </c>
      <c r="P137" t="str">
        <f>IF(orders[[#This Row],[Customer Gender]]="M","Male", IF(orders[[#This Row],[Customer Gender]]="F","Female", IF(orders[[#This Row],[Customer Gender]]= "O", "Other","Unknown")))</f>
        <v>Female</v>
      </c>
    </row>
    <row r="138" spans="1:16"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s="12" t="str">
        <f>TEXT(orders[[#This Row],[Order Date]],"mmmm")</f>
        <v>January</v>
      </c>
      <c r="P138" t="str">
        <f>IF(orders[[#This Row],[Customer Gender]]="M","Male", IF(orders[[#This Row],[Customer Gender]]="F","Female", IF(orders[[#This Row],[Customer Gender]]= "O", "Other","Unknown")))</f>
        <v>Female</v>
      </c>
    </row>
    <row r="139" spans="1:16"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s="12" t="str">
        <f>TEXT(orders[[#This Row],[Order Date]],"mmmm")</f>
        <v>January</v>
      </c>
      <c r="P139" t="str">
        <f>IF(orders[[#This Row],[Customer Gender]]="M","Male", IF(orders[[#This Row],[Customer Gender]]="F","Female", IF(orders[[#This Row],[Customer Gender]]= "O", "Other","Unknown")))</f>
        <v>Female</v>
      </c>
    </row>
    <row r="140" spans="1:16"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s="12" t="str">
        <f>TEXT(orders[[#This Row],[Order Date]],"mmmm")</f>
        <v>January</v>
      </c>
      <c r="P140" t="str">
        <f>IF(orders[[#This Row],[Customer Gender]]="M","Male", IF(orders[[#This Row],[Customer Gender]]="F","Female", IF(orders[[#This Row],[Customer Gender]]= "O", "Other","Unknown")))</f>
        <v>Female</v>
      </c>
    </row>
    <row r="141" spans="1:16"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s="12" t="str">
        <f>TEXT(orders[[#This Row],[Order Date]],"mmmm")</f>
        <v>January</v>
      </c>
      <c r="P141" t="str">
        <f>IF(orders[[#This Row],[Customer Gender]]="M","Male", IF(orders[[#This Row],[Customer Gender]]="F","Female", IF(orders[[#This Row],[Customer Gender]]= "O", "Other","Unknown")))</f>
        <v>Male</v>
      </c>
    </row>
    <row r="142" spans="1:16"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s="12" t="str">
        <f>TEXT(orders[[#This Row],[Order Date]],"mmmm")</f>
        <v>January</v>
      </c>
      <c r="P142" t="str">
        <f>IF(orders[[#This Row],[Customer Gender]]="M","Male", IF(orders[[#This Row],[Customer Gender]]="F","Female", IF(orders[[#This Row],[Customer Gender]]= "O", "Other","Unknown")))</f>
        <v>Male</v>
      </c>
    </row>
    <row r="143" spans="1:16" hidden="1"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s="12" t="str">
        <f>TEXT(orders[[#This Row],[Order Date]],"mmmm")</f>
        <v>January</v>
      </c>
      <c r="P143" t="str">
        <f>IF(orders[[#This Row],[Customer Gender]]="M","Male", IF(orders[[#This Row],[Customer Gender]]="F","Female", IF(orders[[#This Row],[Customer Gender]]= "O", "Other","Unknown")))</f>
        <v>Unknown</v>
      </c>
    </row>
    <row r="144" spans="1:16"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s="12" t="str">
        <f>TEXT(orders[[#This Row],[Order Date]],"mmmm")</f>
        <v>January</v>
      </c>
      <c r="P144" t="str">
        <f>IF(orders[[#This Row],[Customer Gender]]="M","Male", IF(orders[[#This Row],[Customer Gender]]="F","Female", IF(orders[[#This Row],[Customer Gender]]= "O", "Other","Unknown")))</f>
        <v>Female</v>
      </c>
    </row>
    <row r="145" spans="1:16" hidden="1"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s="12" t="str">
        <f>TEXT(orders[[#This Row],[Order Date]],"mmmm")</f>
        <v>January</v>
      </c>
      <c r="P145" t="str">
        <f>IF(orders[[#This Row],[Customer Gender]]="M","Male", IF(orders[[#This Row],[Customer Gender]]="F","Female", IF(orders[[#This Row],[Customer Gender]]= "O", "Other","Unknown")))</f>
        <v>Unknown</v>
      </c>
    </row>
    <row r="146" spans="1:16"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s="12" t="str">
        <f>TEXT(orders[[#This Row],[Order Date]],"mmmm")</f>
        <v>January</v>
      </c>
      <c r="P146" t="str">
        <f>IF(orders[[#This Row],[Customer Gender]]="M","Male", IF(orders[[#This Row],[Customer Gender]]="F","Female", IF(orders[[#This Row],[Customer Gender]]= "O", "Other","Unknown")))</f>
        <v>Female</v>
      </c>
    </row>
    <row r="147" spans="1:16"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s="12" t="str">
        <f>TEXT(orders[[#This Row],[Order Date]],"mmmm")</f>
        <v>January</v>
      </c>
      <c r="P147" t="str">
        <f>IF(orders[[#This Row],[Customer Gender]]="M","Male", IF(orders[[#This Row],[Customer Gender]]="F","Female", IF(orders[[#This Row],[Customer Gender]]= "O", "Other","Unknown")))</f>
        <v>Male</v>
      </c>
    </row>
    <row r="148" spans="1:16"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s="12" t="str">
        <f>TEXT(orders[[#This Row],[Order Date]],"mmmm")</f>
        <v>January</v>
      </c>
      <c r="P148" t="str">
        <f>IF(orders[[#This Row],[Customer Gender]]="M","Male", IF(orders[[#This Row],[Customer Gender]]="F","Female", IF(orders[[#This Row],[Customer Gender]]= "O", "Other","Unknown")))</f>
        <v>Male</v>
      </c>
    </row>
    <row r="149" spans="1:16"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s="12" t="str">
        <f>TEXT(orders[[#This Row],[Order Date]],"mmmm")</f>
        <v>January</v>
      </c>
      <c r="P149" t="str">
        <f>IF(orders[[#This Row],[Customer Gender]]="M","Male", IF(orders[[#This Row],[Customer Gender]]="F","Female", IF(orders[[#This Row],[Customer Gender]]= "O", "Other","Unknown")))</f>
        <v>Male</v>
      </c>
    </row>
    <row r="150" spans="1:16"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s="12" t="str">
        <f>TEXT(orders[[#This Row],[Order Date]],"mmmm")</f>
        <v>January</v>
      </c>
      <c r="P150" t="str">
        <f>IF(orders[[#This Row],[Customer Gender]]="M","Male", IF(orders[[#This Row],[Customer Gender]]="F","Female", IF(orders[[#This Row],[Customer Gender]]= "O", "Other","Unknown")))</f>
        <v>Male</v>
      </c>
    </row>
    <row r="151" spans="1:16"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s="12" t="str">
        <f>TEXT(orders[[#This Row],[Order Date]],"mmmm")</f>
        <v>January</v>
      </c>
      <c r="P151" t="str">
        <f>IF(orders[[#This Row],[Customer Gender]]="M","Male", IF(orders[[#This Row],[Customer Gender]]="F","Female", IF(orders[[#This Row],[Customer Gender]]= "O", "Other","Unknown")))</f>
        <v>Female</v>
      </c>
    </row>
    <row r="152" spans="1:16"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s="12" t="str">
        <f>TEXT(orders[[#This Row],[Order Date]],"mmmm")</f>
        <v>January</v>
      </c>
      <c r="P152" t="str">
        <f>IF(orders[[#This Row],[Customer Gender]]="M","Male", IF(orders[[#This Row],[Customer Gender]]="F","Female", IF(orders[[#This Row],[Customer Gender]]= "O", "Other","Unknown")))</f>
        <v>Male</v>
      </c>
    </row>
    <row r="153" spans="1:16"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s="12" t="str">
        <f>TEXT(orders[[#This Row],[Order Date]],"mmmm")</f>
        <v>January</v>
      </c>
      <c r="P153" t="str">
        <f>IF(orders[[#This Row],[Customer Gender]]="M","Male", IF(orders[[#This Row],[Customer Gender]]="F","Female", IF(orders[[#This Row],[Customer Gender]]= "O", "Other","Unknown")))</f>
        <v>Male</v>
      </c>
    </row>
    <row r="154" spans="1:16"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s="12" t="str">
        <f>TEXT(orders[[#This Row],[Order Date]],"mmmm")</f>
        <v>January</v>
      </c>
      <c r="P154" t="str">
        <f>IF(orders[[#This Row],[Customer Gender]]="M","Male", IF(orders[[#This Row],[Customer Gender]]="F","Female", IF(orders[[#This Row],[Customer Gender]]= "O", "Other","Unknown")))</f>
        <v>Female</v>
      </c>
    </row>
    <row r="155" spans="1:16"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s="12" t="str">
        <f>TEXT(orders[[#This Row],[Order Date]],"mmmm")</f>
        <v>January</v>
      </c>
      <c r="P155" t="str">
        <f>IF(orders[[#This Row],[Customer Gender]]="M","Male", IF(orders[[#This Row],[Customer Gender]]="F","Female", IF(orders[[#This Row],[Customer Gender]]= "O", "Other","Unknown")))</f>
        <v>Female</v>
      </c>
    </row>
    <row r="156" spans="1:16"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s="12" t="str">
        <f>TEXT(orders[[#This Row],[Order Date]],"mmmm")</f>
        <v>January</v>
      </c>
      <c r="P156" t="str">
        <f>IF(orders[[#This Row],[Customer Gender]]="M","Male", IF(orders[[#This Row],[Customer Gender]]="F","Female", IF(orders[[#This Row],[Customer Gender]]= "O", "Other","Unknown")))</f>
        <v>Female</v>
      </c>
    </row>
    <row r="157" spans="1:16"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s="12" t="str">
        <f>TEXT(orders[[#This Row],[Order Date]],"mmmm")</f>
        <v>January</v>
      </c>
      <c r="P157" t="str">
        <f>IF(orders[[#This Row],[Customer Gender]]="M","Male", IF(orders[[#This Row],[Customer Gender]]="F","Female", IF(orders[[#This Row],[Customer Gender]]= "O", "Other","Unknown")))</f>
        <v>Female</v>
      </c>
    </row>
    <row r="158" spans="1:16"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s="12" t="str">
        <f>TEXT(orders[[#This Row],[Order Date]],"mmmm")</f>
        <v>January</v>
      </c>
      <c r="P158" t="str">
        <f>IF(orders[[#This Row],[Customer Gender]]="M","Male", IF(orders[[#This Row],[Customer Gender]]="F","Female", IF(orders[[#This Row],[Customer Gender]]= "O", "Other","Unknown")))</f>
        <v>Female</v>
      </c>
    </row>
    <row r="159" spans="1:16"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s="12" t="str">
        <f>TEXT(orders[[#This Row],[Order Date]],"mmmm")</f>
        <v>January</v>
      </c>
      <c r="P159" t="str">
        <f>IF(orders[[#This Row],[Customer Gender]]="M","Male", IF(orders[[#This Row],[Customer Gender]]="F","Female", IF(orders[[#This Row],[Customer Gender]]= "O", "Other","Unknown")))</f>
        <v>Female</v>
      </c>
    </row>
    <row r="160" spans="1:16"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s="12" t="str">
        <f>TEXT(orders[[#This Row],[Order Date]],"mmmm")</f>
        <v>January</v>
      </c>
      <c r="P160" t="str">
        <f>IF(orders[[#This Row],[Customer Gender]]="M","Male", IF(orders[[#This Row],[Customer Gender]]="F","Female", IF(orders[[#This Row],[Customer Gender]]= "O", "Other","Unknown")))</f>
        <v>Female</v>
      </c>
    </row>
    <row r="161" spans="1:16"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s="12" t="str">
        <f>TEXT(orders[[#This Row],[Order Date]],"mmmm")</f>
        <v>January</v>
      </c>
      <c r="P161" t="str">
        <f>IF(orders[[#This Row],[Customer Gender]]="M","Male", IF(orders[[#This Row],[Customer Gender]]="F","Female", IF(orders[[#This Row],[Customer Gender]]= "O", "Other","Unknown")))</f>
        <v>Male</v>
      </c>
    </row>
    <row r="162" spans="1:16"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s="12" t="str">
        <f>TEXT(orders[[#This Row],[Order Date]],"mmmm")</f>
        <v>January</v>
      </c>
      <c r="P162" t="str">
        <f>IF(orders[[#This Row],[Customer Gender]]="M","Male", IF(orders[[#This Row],[Customer Gender]]="F","Female", IF(orders[[#This Row],[Customer Gender]]= "O", "Other","Unknown")))</f>
        <v>Female</v>
      </c>
    </row>
    <row r="163" spans="1:16"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s="12" t="str">
        <f>TEXT(orders[[#This Row],[Order Date]],"mmmm")</f>
        <v>January</v>
      </c>
      <c r="P163" t="str">
        <f>IF(orders[[#This Row],[Customer Gender]]="M","Male", IF(orders[[#This Row],[Customer Gender]]="F","Female", IF(orders[[#This Row],[Customer Gender]]= "O", "Other","Unknown")))</f>
        <v>Male</v>
      </c>
    </row>
    <row r="164" spans="1:16" hidden="1"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s="12" t="str">
        <f>TEXT(orders[[#This Row],[Order Date]],"mmmm")</f>
        <v>January</v>
      </c>
      <c r="P164" t="str">
        <f>IF(orders[[#This Row],[Customer Gender]]="M","Male", IF(orders[[#This Row],[Customer Gender]]="F","Female", IF(orders[[#This Row],[Customer Gender]]= "O", "Other","Unknown")))</f>
        <v>Unknown</v>
      </c>
    </row>
    <row r="165" spans="1:16"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s="12" t="str">
        <f>TEXT(orders[[#This Row],[Order Date]],"mmmm")</f>
        <v>January</v>
      </c>
      <c r="P165" t="str">
        <f>IF(orders[[#This Row],[Customer Gender]]="M","Male", IF(orders[[#This Row],[Customer Gender]]="F","Female", IF(orders[[#This Row],[Customer Gender]]= "O", "Other","Unknown")))</f>
        <v>Female</v>
      </c>
    </row>
    <row r="166" spans="1:16"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s="12" t="str">
        <f>TEXT(orders[[#This Row],[Order Date]],"mmmm")</f>
        <v>January</v>
      </c>
      <c r="P166" t="str">
        <f>IF(orders[[#This Row],[Customer Gender]]="M","Male", IF(orders[[#This Row],[Customer Gender]]="F","Female", IF(orders[[#This Row],[Customer Gender]]= "O", "Other","Unknown")))</f>
        <v>Male</v>
      </c>
    </row>
    <row r="167" spans="1:16"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s="12" t="str">
        <f>TEXT(orders[[#This Row],[Order Date]],"mmmm")</f>
        <v>January</v>
      </c>
      <c r="P167" t="str">
        <f>IF(orders[[#This Row],[Customer Gender]]="M","Male", IF(orders[[#This Row],[Customer Gender]]="F","Female", IF(orders[[#This Row],[Customer Gender]]= "O", "Other","Unknown")))</f>
        <v>Female</v>
      </c>
    </row>
    <row r="168" spans="1:16"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s="12" t="str">
        <f>TEXT(orders[[#This Row],[Order Date]],"mmmm")</f>
        <v>January</v>
      </c>
      <c r="P168" t="str">
        <f>IF(orders[[#This Row],[Customer Gender]]="M","Male", IF(orders[[#This Row],[Customer Gender]]="F","Female", IF(orders[[#This Row],[Customer Gender]]= "O", "Other","Unknown")))</f>
        <v>Female</v>
      </c>
    </row>
    <row r="169" spans="1:16"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s="12" t="str">
        <f>TEXT(orders[[#This Row],[Order Date]],"mmmm")</f>
        <v>January</v>
      </c>
      <c r="P169" t="str">
        <f>IF(orders[[#This Row],[Customer Gender]]="M","Male", IF(orders[[#This Row],[Customer Gender]]="F","Female", IF(orders[[#This Row],[Customer Gender]]= "O", "Other","Unknown")))</f>
        <v>Female</v>
      </c>
    </row>
    <row r="170" spans="1:16"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s="12" t="str">
        <f>TEXT(orders[[#This Row],[Order Date]],"mmmm")</f>
        <v>January</v>
      </c>
      <c r="P170" t="str">
        <f>IF(orders[[#This Row],[Customer Gender]]="M","Male", IF(orders[[#This Row],[Customer Gender]]="F","Female", IF(orders[[#This Row],[Customer Gender]]= "O", "Other","Unknown")))</f>
        <v>Female</v>
      </c>
    </row>
    <row r="171" spans="1:16"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s="12" t="str">
        <f>TEXT(orders[[#This Row],[Order Date]],"mmmm")</f>
        <v>January</v>
      </c>
      <c r="P171" t="str">
        <f>IF(orders[[#This Row],[Customer Gender]]="M","Male", IF(orders[[#This Row],[Customer Gender]]="F","Female", IF(orders[[#This Row],[Customer Gender]]= "O", "Other","Unknown")))</f>
        <v>Female</v>
      </c>
    </row>
    <row r="172" spans="1:16"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s="12" t="str">
        <f>TEXT(orders[[#This Row],[Order Date]],"mmmm")</f>
        <v>January</v>
      </c>
      <c r="P172" t="str">
        <f>IF(orders[[#This Row],[Customer Gender]]="M","Male", IF(orders[[#This Row],[Customer Gender]]="F","Female", IF(orders[[#This Row],[Customer Gender]]= "O", "Other","Unknown")))</f>
        <v>Female</v>
      </c>
    </row>
    <row r="173" spans="1:16"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s="12" t="str">
        <f>TEXT(orders[[#This Row],[Order Date]],"mmmm")</f>
        <v>January</v>
      </c>
      <c r="P173" t="str">
        <f>IF(orders[[#This Row],[Customer Gender]]="M","Male", IF(orders[[#This Row],[Customer Gender]]="F","Female", IF(orders[[#This Row],[Customer Gender]]= "O", "Other","Unknown")))</f>
        <v>Male</v>
      </c>
    </row>
    <row r="174" spans="1:16"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s="12" t="str">
        <f>TEXT(orders[[#This Row],[Order Date]],"mmmm")</f>
        <v>January</v>
      </c>
      <c r="P174" t="str">
        <f>IF(orders[[#This Row],[Customer Gender]]="M","Male", IF(orders[[#This Row],[Customer Gender]]="F","Female", IF(orders[[#This Row],[Customer Gender]]= "O", "Other","Unknown")))</f>
        <v>Male</v>
      </c>
    </row>
    <row r="175" spans="1:16"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s="12" t="str">
        <f>TEXT(orders[[#This Row],[Order Date]],"mmmm")</f>
        <v>January</v>
      </c>
      <c r="P175" t="str">
        <f>IF(orders[[#This Row],[Customer Gender]]="M","Male", IF(orders[[#This Row],[Customer Gender]]="F","Female", IF(orders[[#This Row],[Customer Gender]]= "O", "Other","Unknown")))</f>
        <v>Female</v>
      </c>
    </row>
    <row r="176" spans="1:16"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s="12" t="str">
        <f>TEXT(orders[[#This Row],[Order Date]],"mmmm")</f>
        <v>January</v>
      </c>
      <c r="P176" t="str">
        <f>IF(orders[[#This Row],[Customer Gender]]="M","Male", IF(orders[[#This Row],[Customer Gender]]="F","Female", IF(orders[[#This Row],[Customer Gender]]= "O", "Other","Unknown")))</f>
        <v>Female</v>
      </c>
    </row>
    <row r="177" spans="1:16"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s="12" t="str">
        <f>TEXT(orders[[#This Row],[Order Date]],"mmmm")</f>
        <v>January</v>
      </c>
      <c r="P177" t="str">
        <f>IF(orders[[#This Row],[Customer Gender]]="M","Male", IF(orders[[#This Row],[Customer Gender]]="F","Female", IF(orders[[#This Row],[Customer Gender]]= "O", "Other","Unknown")))</f>
        <v>Female</v>
      </c>
    </row>
    <row r="178" spans="1:16"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s="12" t="str">
        <f>TEXT(orders[[#This Row],[Order Date]],"mmmm")</f>
        <v>January</v>
      </c>
      <c r="P178" t="str">
        <f>IF(orders[[#This Row],[Customer Gender]]="M","Male", IF(orders[[#This Row],[Customer Gender]]="F","Female", IF(orders[[#This Row],[Customer Gender]]= "O", "Other","Unknown")))</f>
        <v>Female</v>
      </c>
    </row>
    <row r="179" spans="1:16"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s="12" t="str">
        <f>TEXT(orders[[#This Row],[Order Date]],"mmmm")</f>
        <v>January</v>
      </c>
      <c r="P179" t="str">
        <f>IF(orders[[#This Row],[Customer Gender]]="M","Male", IF(orders[[#This Row],[Customer Gender]]="F","Female", IF(orders[[#This Row],[Customer Gender]]= "O", "Other","Unknown")))</f>
        <v>Male</v>
      </c>
    </row>
    <row r="180" spans="1:16"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s="12" t="str">
        <f>TEXT(orders[[#This Row],[Order Date]],"mmmm")</f>
        <v>January</v>
      </c>
      <c r="P180" t="str">
        <f>IF(orders[[#This Row],[Customer Gender]]="M","Male", IF(orders[[#This Row],[Customer Gender]]="F","Female", IF(orders[[#This Row],[Customer Gender]]= "O", "Other","Unknown")))</f>
        <v>Female</v>
      </c>
    </row>
    <row r="181" spans="1:16" hidden="1"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s="12" t="str">
        <f>TEXT(orders[[#This Row],[Order Date]],"mmmm")</f>
        <v>January</v>
      </c>
      <c r="P181" t="str">
        <f>IF(orders[[#This Row],[Customer Gender]]="M","Male", IF(orders[[#This Row],[Customer Gender]]="F","Female", IF(orders[[#This Row],[Customer Gender]]= "O", "Other","Unknown")))</f>
        <v>Unknown</v>
      </c>
    </row>
    <row r="182" spans="1:16"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s="12" t="str">
        <f>TEXT(orders[[#This Row],[Order Date]],"mmmm")</f>
        <v>January</v>
      </c>
      <c r="P182" t="str">
        <f>IF(orders[[#This Row],[Customer Gender]]="M","Male", IF(orders[[#This Row],[Customer Gender]]="F","Female", IF(orders[[#This Row],[Customer Gender]]= "O", "Other","Unknown")))</f>
        <v>Female</v>
      </c>
    </row>
    <row r="183" spans="1:16"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s="12" t="str">
        <f>TEXT(orders[[#This Row],[Order Date]],"mmmm")</f>
        <v>January</v>
      </c>
      <c r="P183" t="str">
        <f>IF(orders[[#This Row],[Customer Gender]]="M","Male", IF(orders[[#This Row],[Customer Gender]]="F","Female", IF(orders[[#This Row],[Customer Gender]]= "O", "Other","Unknown")))</f>
        <v>Male</v>
      </c>
    </row>
    <row r="184" spans="1:16"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s="12" t="str">
        <f>TEXT(orders[[#This Row],[Order Date]],"mmmm")</f>
        <v>January</v>
      </c>
      <c r="P184" t="str">
        <f>IF(orders[[#This Row],[Customer Gender]]="M","Male", IF(orders[[#This Row],[Customer Gender]]="F","Female", IF(orders[[#This Row],[Customer Gender]]= "O", "Other","Unknown")))</f>
        <v>Female</v>
      </c>
    </row>
    <row r="185" spans="1:16"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s="12" t="str">
        <f>TEXT(orders[[#This Row],[Order Date]],"mmmm")</f>
        <v>January</v>
      </c>
      <c r="P185" t="str">
        <f>IF(orders[[#This Row],[Customer Gender]]="M","Male", IF(orders[[#This Row],[Customer Gender]]="F","Female", IF(orders[[#This Row],[Customer Gender]]= "O", "Other","Unknown")))</f>
        <v>Female</v>
      </c>
    </row>
    <row r="186" spans="1:16"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s="12" t="str">
        <f>TEXT(orders[[#This Row],[Order Date]],"mmmm")</f>
        <v>January</v>
      </c>
      <c r="P186" t="str">
        <f>IF(orders[[#This Row],[Customer Gender]]="M","Male", IF(orders[[#This Row],[Customer Gender]]="F","Female", IF(orders[[#This Row],[Customer Gender]]= "O", "Other","Unknown")))</f>
        <v>Male</v>
      </c>
    </row>
    <row r="187" spans="1:16"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s="12" t="str">
        <f>TEXT(orders[[#This Row],[Order Date]],"mmmm")</f>
        <v>January</v>
      </c>
      <c r="P187" t="str">
        <f>IF(orders[[#This Row],[Customer Gender]]="M","Male", IF(orders[[#This Row],[Customer Gender]]="F","Female", IF(orders[[#This Row],[Customer Gender]]= "O", "Other","Unknown")))</f>
        <v>Male</v>
      </c>
    </row>
    <row r="188" spans="1:16"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s="12" t="str">
        <f>TEXT(orders[[#This Row],[Order Date]],"mmmm")</f>
        <v>January</v>
      </c>
      <c r="P188" t="str">
        <f>IF(orders[[#This Row],[Customer Gender]]="M","Male", IF(orders[[#This Row],[Customer Gender]]="F","Female", IF(orders[[#This Row],[Customer Gender]]= "O", "Other","Unknown")))</f>
        <v>Female</v>
      </c>
    </row>
    <row r="189" spans="1:16"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s="12" t="str">
        <f>TEXT(orders[[#This Row],[Order Date]],"mmmm")</f>
        <v>January</v>
      </c>
      <c r="P189" t="str">
        <f>IF(orders[[#This Row],[Customer Gender]]="M","Male", IF(orders[[#This Row],[Customer Gender]]="F","Female", IF(orders[[#This Row],[Customer Gender]]= "O", "Other","Unknown")))</f>
        <v>Female</v>
      </c>
    </row>
    <row r="190" spans="1:16"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s="12" t="str">
        <f>TEXT(orders[[#This Row],[Order Date]],"mmmm")</f>
        <v>January</v>
      </c>
      <c r="P190" t="str">
        <f>IF(orders[[#This Row],[Customer Gender]]="M","Male", IF(orders[[#This Row],[Customer Gender]]="F","Female", IF(orders[[#This Row],[Customer Gender]]= "O", "Other","Unknown")))</f>
        <v>Male</v>
      </c>
    </row>
    <row r="191" spans="1:16"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s="12" t="str">
        <f>TEXT(orders[[#This Row],[Order Date]],"mmmm")</f>
        <v>January</v>
      </c>
      <c r="P191" t="str">
        <f>IF(orders[[#This Row],[Customer Gender]]="M","Male", IF(orders[[#This Row],[Customer Gender]]="F","Female", IF(orders[[#This Row],[Customer Gender]]= "O", "Other","Unknown")))</f>
        <v>Female</v>
      </c>
    </row>
    <row r="192" spans="1:16" hidden="1"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s="12" t="str">
        <f>TEXT(orders[[#This Row],[Order Date]],"mmmm")</f>
        <v>January</v>
      </c>
      <c r="P192" t="str">
        <f>IF(orders[[#This Row],[Customer Gender]]="M","Male", IF(orders[[#This Row],[Customer Gender]]="F","Female", IF(orders[[#This Row],[Customer Gender]]= "O", "Other","Unknown")))</f>
        <v>Unknown</v>
      </c>
    </row>
    <row r="193" spans="1:16" hidden="1"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s="12" t="str">
        <f>TEXT(orders[[#This Row],[Order Date]],"mmmm")</f>
        <v>January</v>
      </c>
      <c r="P193" t="str">
        <f>IF(orders[[#This Row],[Customer Gender]]="M","Male", IF(orders[[#This Row],[Customer Gender]]="F","Female", IF(orders[[#This Row],[Customer Gender]]= "O", "Other","Unknown")))</f>
        <v>Unknown</v>
      </c>
    </row>
    <row r="194" spans="1:16"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s="12" t="str">
        <f>TEXT(orders[[#This Row],[Order Date]],"mmmm")</f>
        <v>January</v>
      </c>
      <c r="P194" t="str">
        <f>IF(orders[[#This Row],[Customer Gender]]="M","Male", IF(orders[[#This Row],[Customer Gender]]="F","Female", IF(orders[[#This Row],[Customer Gender]]= "O", "Other","Unknown")))</f>
        <v>Male</v>
      </c>
    </row>
    <row r="195" spans="1:16"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s="12" t="str">
        <f>TEXT(orders[[#This Row],[Order Date]],"mmmm")</f>
        <v>January</v>
      </c>
      <c r="P195" t="str">
        <f>IF(orders[[#This Row],[Customer Gender]]="M","Male", IF(orders[[#This Row],[Customer Gender]]="F","Female", IF(orders[[#This Row],[Customer Gender]]= "O", "Other","Unknown")))</f>
        <v>Female</v>
      </c>
    </row>
    <row r="196" spans="1:16"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s="12" t="str">
        <f>TEXT(orders[[#This Row],[Order Date]],"mmmm")</f>
        <v>January</v>
      </c>
      <c r="P196" t="str">
        <f>IF(orders[[#This Row],[Customer Gender]]="M","Male", IF(orders[[#This Row],[Customer Gender]]="F","Female", IF(orders[[#This Row],[Customer Gender]]= "O", "Other","Unknown")))</f>
        <v>Female</v>
      </c>
    </row>
    <row r="197" spans="1:16"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s="12" t="str">
        <f>TEXT(orders[[#This Row],[Order Date]],"mmmm")</f>
        <v>January</v>
      </c>
      <c r="P197" t="str">
        <f>IF(orders[[#This Row],[Customer Gender]]="M","Male", IF(orders[[#This Row],[Customer Gender]]="F","Female", IF(orders[[#This Row],[Customer Gender]]= "O", "Other","Unknown")))</f>
        <v>Female</v>
      </c>
    </row>
    <row r="198" spans="1:16"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s="12" t="str">
        <f>TEXT(orders[[#This Row],[Order Date]],"mmmm")</f>
        <v>January</v>
      </c>
      <c r="P198" t="str">
        <f>IF(orders[[#This Row],[Customer Gender]]="M","Male", IF(orders[[#This Row],[Customer Gender]]="F","Female", IF(orders[[#This Row],[Customer Gender]]= "O", "Other","Unknown")))</f>
        <v>Female</v>
      </c>
    </row>
    <row r="199" spans="1:16"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s="12" t="str">
        <f>TEXT(orders[[#This Row],[Order Date]],"mmmm")</f>
        <v>January</v>
      </c>
      <c r="P199" t="str">
        <f>IF(orders[[#This Row],[Customer Gender]]="M","Male", IF(orders[[#This Row],[Customer Gender]]="F","Female", IF(orders[[#This Row],[Customer Gender]]= "O", "Other","Unknown")))</f>
        <v>Female</v>
      </c>
    </row>
    <row r="200" spans="1:16"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s="12" t="str">
        <f>TEXT(orders[[#This Row],[Order Date]],"mmmm")</f>
        <v>January</v>
      </c>
      <c r="P200" t="str">
        <f>IF(orders[[#This Row],[Customer Gender]]="M","Male", IF(orders[[#This Row],[Customer Gender]]="F","Female", IF(orders[[#This Row],[Customer Gender]]= "O", "Other","Unknown")))</f>
        <v>Male</v>
      </c>
    </row>
    <row r="201" spans="1:16"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s="12" t="str">
        <f>TEXT(orders[[#This Row],[Order Date]],"mmmm")</f>
        <v>January</v>
      </c>
      <c r="P201" t="str">
        <f>IF(orders[[#This Row],[Customer Gender]]="M","Male", IF(orders[[#This Row],[Customer Gender]]="F","Female", IF(orders[[#This Row],[Customer Gender]]= "O", "Other","Unknown")))</f>
        <v>Male</v>
      </c>
    </row>
    <row r="202" spans="1:16"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s="12" t="str">
        <f>TEXT(orders[[#This Row],[Order Date]],"mmmm")</f>
        <v>January</v>
      </c>
      <c r="P202" t="str">
        <f>IF(orders[[#This Row],[Customer Gender]]="M","Male", IF(orders[[#This Row],[Customer Gender]]="F","Female", IF(orders[[#This Row],[Customer Gender]]= "O", "Other","Unknown")))</f>
        <v>Male</v>
      </c>
    </row>
    <row r="203" spans="1:16"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s="12" t="str">
        <f>TEXT(orders[[#This Row],[Order Date]],"mmmm")</f>
        <v>January</v>
      </c>
      <c r="P203" t="str">
        <f>IF(orders[[#This Row],[Customer Gender]]="M","Male", IF(orders[[#This Row],[Customer Gender]]="F","Female", IF(orders[[#This Row],[Customer Gender]]= "O", "Other","Unknown")))</f>
        <v>Male</v>
      </c>
    </row>
    <row r="204" spans="1:16"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s="12" t="str">
        <f>TEXT(orders[[#This Row],[Order Date]],"mmmm")</f>
        <v>January</v>
      </c>
      <c r="P204" t="str">
        <f>IF(orders[[#This Row],[Customer Gender]]="M","Male", IF(orders[[#This Row],[Customer Gender]]="F","Female", IF(orders[[#This Row],[Customer Gender]]= "O", "Other","Unknown")))</f>
        <v>Female</v>
      </c>
    </row>
    <row r="205" spans="1:16"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s="12" t="str">
        <f>TEXT(orders[[#This Row],[Order Date]],"mmmm")</f>
        <v>January</v>
      </c>
      <c r="P205" t="str">
        <f>IF(orders[[#This Row],[Customer Gender]]="M","Male", IF(orders[[#This Row],[Customer Gender]]="F","Female", IF(orders[[#This Row],[Customer Gender]]= "O", "Other","Unknown")))</f>
        <v>Female</v>
      </c>
    </row>
    <row r="206" spans="1:16"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s="12" t="str">
        <f>TEXT(orders[[#This Row],[Order Date]],"mmmm")</f>
        <v>January</v>
      </c>
      <c r="P206" t="str">
        <f>IF(orders[[#This Row],[Customer Gender]]="M","Male", IF(orders[[#This Row],[Customer Gender]]="F","Female", IF(orders[[#This Row],[Customer Gender]]= "O", "Other","Unknown")))</f>
        <v>Female</v>
      </c>
    </row>
    <row r="207" spans="1:16"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s="12" t="str">
        <f>TEXT(orders[[#This Row],[Order Date]],"mmmm")</f>
        <v>January</v>
      </c>
      <c r="P207" t="str">
        <f>IF(orders[[#This Row],[Customer Gender]]="M","Male", IF(orders[[#This Row],[Customer Gender]]="F","Female", IF(orders[[#This Row],[Customer Gender]]= "O", "Other","Unknown")))</f>
        <v>Female</v>
      </c>
    </row>
    <row r="208" spans="1:16"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s="12" t="str">
        <f>TEXT(orders[[#This Row],[Order Date]],"mmmm")</f>
        <v>January</v>
      </c>
      <c r="P208" t="str">
        <f>IF(orders[[#This Row],[Customer Gender]]="M","Male", IF(orders[[#This Row],[Customer Gender]]="F","Female", IF(orders[[#This Row],[Customer Gender]]= "O", "Other","Unknown")))</f>
        <v>Female</v>
      </c>
    </row>
    <row r="209" spans="1:16"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s="12" t="str">
        <f>TEXT(orders[[#This Row],[Order Date]],"mmmm")</f>
        <v>January</v>
      </c>
      <c r="P209" t="str">
        <f>IF(orders[[#This Row],[Customer Gender]]="M","Male", IF(orders[[#This Row],[Customer Gender]]="F","Female", IF(orders[[#This Row],[Customer Gender]]= "O", "Other","Unknown")))</f>
        <v>Female</v>
      </c>
    </row>
    <row r="210" spans="1:16"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s="12" t="str">
        <f>TEXT(orders[[#This Row],[Order Date]],"mmmm")</f>
        <v>January</v>
      </c>
      <c r="P210" t="str">
        <f>IF(orders[[#This Row],[Customer Gender]]="M","Male", IF(orders[[#This Row],[Customer Gender]]="F","Female", IF(orders[[#This Row],[Customer Gender]]= "O", "Other","Unknown")))</f>
        <v>Female</v>
      </c>
    </row>
    <row r="211" spans="1:16"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s="12" t="str">
        <f>TEXT(orders[[#This Row],[Order Date]],"mmmm")</f>
        <v>January</v>
      </c>
      <c r="P211" t="str">
        <f>IF(orders[[#This Row],[Customer Gender]]="M","Male", IF(orders[[#This Row],[Customer Gender]]="F","Female", IF(orders[[#This Row],[Customer Gender]]= "O", "Other","Unknown")))</f>
        <v>Male</v>
      </c>
    </row>
    <row r="212" spans="1:16"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s="12" t="str">
        <f>TEXT(orders[[#This Row],[Order Date]],"mmmm")</f>
        <v>January</v>
      </c>
      <c r="P212" t="str">
        <f>IF(orders[[#This Row],[Customer Gender]]="M","Male", IF(orders[[#This Row],[Customer Gender]]="F","Female", IF(orders[[#This Row],[Customer Gender]]= "O", "Other","Unknown")))</f>
        <v>Female</v>
      </c>
    </row>
    <row r="213" spans="1:16"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s="12" t="str">
        <f>TEXT(orders[[#This Row],[Order Date]],"mmmm")</f>
        <v>January</v>
      </c>
      <c r="P213" t="str">
        <f>IF(orders[[#This Row],[Customer Gender]]="M","Male", IF(orders[[#This Row],[Customer Gender]]="F","Female", IF(orders[[#This Row],[Customer Gender]]= "O", "Other","Unknown")))</f>
        <v>Female</v>
      </c>
    </row>
    <row r="214" spans="1:16"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s="12" t="str">
        <f>TEXT(orders[[#This Row],[Order Date]],"mmmm")</f>
        <v>January</v>
      </c>
      <c r="P214" t="str">
        <f>IF(orders[[#This Row],[Customer Gender]]="M","Male", IF(orders[[#This Row],[Customer Gender]]="F","Female", IF(orders[[#This Row],[Customer Gender]]= "O", "Other","Unknown")))</f>
        <v>Male</v>
      </c>
    </row>
    <row r="215" spans="1:16"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s="12" t="str">
        <f>TEXT(orders[[#This Row],[Order Date]],"mmmm")</f>
        <v>January</v>
      </c>
      <c r="P215" t="str">
        <f>IF(orders[[#This Row],[Customer Gender]]="M","Male", IF(orders[[#This Row],[Customer Gender]]="F","Female", IF(orders[[#This Row],[Customer Gender]]= "O", "Other","Unknown")))</f>
        <v>Female</v>
      </c>
    </row>
    <row r="216" spans="1:16"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s="12" t="str">
        <f>TEXT(orders[[#This Row],[Order Date]],"mmmm")</f>
        <v>January</v>
      </c>
      <c r="P216" t="str">
        <f>IF(orders[[#This Row],[Customer Gender]]="M","Male", IF(orders[[#This Row],[Customer Gender]]="F","Female", IF(orders[[#This Row],[Customer Gender]]= "O", "Other","Unknown")))</f>
        <v>Female</v>
      </c>
    </row>
    <row r="217" spans="1:16"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s="12" t="str">
        <f>TEXT(orders[[#This Row],[Order Date]],"mmmm")</f>
        <v>January</v>
      </c>
      <c r="P217" t="str">
        <f>IF(orders[[#This Row],[Customer Gender]]="M","Male", IF(orders[[#This Row],[Customer Gender]]="F","Female", IF(orders[[#This Row],[Customer Gender]]= "O", "Other","Unknown")))</f>
        <v>Female</v>
      </c>
    </row>
    <row r="218" spans="1:16"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s="12" t="str">
        <f>TEXT(orders[[#This Row],[Order Date]],"mmmm")</f>
        <v>January</v>
      </c>
      <c r="P218" t="str">
        <f>IF(orders[[#This Row],[Customer Gender]]="M","Male", IF(orders[[#This Row],[Customer Gender]]="F","Female", IF(orders[[#This Row],[Customer Gender]]= "O", "Other","Unknown")))</f>
        <v>Female</v>
      </c>
    </row>
    <row r="219" spans="1:16"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s="12" t="str">
        <f>TEXT(orders[[#This Row],[Order Date]],"mmmm")</f>
        <v>January</v>
      </c>
      <c r="P219" t="str">
        <f>IF(orders[[#This Row],[Customer Gender]]="M","Male", IF(orders[[#This Row],[Customer Gender]]="F","Female", IF(orders[[#This Row],[Customer Gender]]= "O", "Other","Unknown")))</f>
        <v>Male</v>
      </c>
    </row>
    <row r="220" spans="1:16"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s="12" t="str">
        <f>TEXT(orders[[#This Row],[Order Date]],"mmmm")</f>
        <v>January</v>
      </c>
      <c r="P220" t="str">
        <f>IF(orders[[#This Row],[Customer Gender]]="M","Male", IF(orders[[#This Row],[Customer Gender]]="F","Female", IF(orders[[#This Row],[Customer Gender]]= "O", "Other","Unknown")))</f>
        <v>Female</v>
      </c>
    </row>
    <row r="221" spans="1:16"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s="12" t="str">
        <f>TEXT(orders[[#This Row],[Order Date]],"mmmm")</f>
        <v>January</v>
      </c>
      <c r="P221" t="str">
        <f>IF(orders[[#This Row],[Customer Gender]]="M","Male", IF(orders[[#This Row],[Customer Gender]]="F","Female", IF(orders[[#This Row],[Customer Gender]]= "O", "Other","Unknown")))</f>
        <v>Male</v>
      </c>
    </row>
    <row r="222" spans="1:16" hidden="1"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s="12" t="str">
        <f>TEXT(orders[[#This Row],[Order Date]],"mmmm")</f>
        <v>January</v>
      </c>
      <c r="P222" t="str">
        <f>IF(orders[[#This Row],[Customer Gender]]="M","Male", IF(orders[[#This Row],[Customer Gender]]="F","Female", IF(orders[[#This Row],[Customer Gender]]= "O", "Other","Unknown")))</f>
        <v>Unknown</v>
      </c>
    </row>
    <row r="223" spans="1:16"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s="12" t="str">
        <f>TEXT(orders[[#This Row],[Order Date]],"mmmm")</f>
        <v>January</v>
      </c>
      <c r="P223" t="str">
        <f>IF(orders[[#This Row],[Customer Gender]]="M","Male", IF(orders[[#This Row],[Customer Gender]]="F","Female", IF(orders[[#This Row],[Customer Gender]]= "O", "Other","Unknown")))</f>
        <v>Male</v>
      </c>
    </row>
    <row r="224" spans="1:16"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s="12" t="str">
        <f>TEXT(orders[[#This Row],[Order Date]],"mmmm")</f>
        <v>January</v>
      </c>
      <c r="P224" t="str">
        <f>IF(orders[[#This Row],[Customer Gender]]="M","Male", IF(orders[[#This Row],[Customer Gender]]="F","Female", IF(orders[[#This Row],[Customer Gender]]= "O", "Other","Unknown")))</f>
        <v>Female</v>
      </c>
    </row>
    <row r="225" spans="1:16"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s="12" t="str">
        <f>TEXT(orders[[#This Row],[Order Date]],"mmmm")</f>
        <v>January</v>
      </c>
      <c r="P225" t="str">
        <f>IF(orders[[#This Row],[Customer Gender]]="M","Male", IF(orders[[#This Row],[Customer Gender]]="F","Female", IF(orders[[#This Row],[Customer Gender]]= "O", "Other","Unknown")))</f>
        <v>Female</v>
      </c>
    </row>
    <row r="226" spans="1:16"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s="12" t="str">
        <f>TEXT(orders[[#This Row],[Order Date]],"mmmm")</f>
        <v>January</v>
      </c>
      <c r="P226" t="str">
        <f>IF(orders[[#This Row],[Customer Gender]]="M","Male", IF(orders[[#This Row],[Customer Gender]]="F","Female", IF(orders[[#This Row],[Customer Gender]]= "O", "Other","Unknown")))</f>
        <v>Male</v>
      </c>
    </row>
    <row r="227" spans="1:16"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s="12" t="str">
        <f>TEXT(orders[[#This Row],[Order Date]],"mmmm")</f>
        <v>January</v>
      </c>
      <c r="P227" t="str">
        <f>IF(orders[[#This Row],[Customer Gender]]="M","Male", IF(orders[[#This Row],[Customer Gender]]="F","Female", IF(orders[[#This Row],[Customer Gender]]= "O", "Other","Unknown")))</f>
        <v>Female</v>
      </c>
    </row>
    <row r="228" spans="1:16"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s="12" t="str">
        <f>TEXT(orders[[#This Row],[Order Date]],"mmmm")</f>
        <v>January</v>
      </c>
      <c r="P228" t="str">
        <f>IF(orders[[#This Row],[Customer Gender]]="M","Male", IF(orders[[#This Row],[Customer Gender]]="F","Female", IF(orders[[#This Row],[Customer Gender]]= "O", "Other","Unknown")))</f>
        <v>Male</v>
      </c>
    </row>
    <row r="229" spans="1:16"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s="12" t="str">
        <f>TEXT(orders[[#This Row],[Order Date]],"mmmm")</f>
        <v>January</v>
      </c>
      <c r="P229" t="str">
        <f>IF(orders[[#This Row],[Customer Gender]]="M","Male", IF(orders[[#This Row],[Customer Gender]]="F","Female", IF(orders[[#This Row],[Customer Gender]]= "O", "Other","Unknown")))</f>
        <v>Female</v>
      </c>
    </row>
    <row r="230" spans="1:16"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s="12" t="str">
        <f>TEXT(orders[[#This Row],[Order Date]],"mmmm")</f>
        <v>January</v>
      </c>
      <c r="P230" t="str">
        <f>IF(orders[[#This Row],[Customer Gender]]="M","Male", IF(orders[[#This Row],[Customer Gender]]="F","Female", IF(orders[[#This Row],[Customer Gender]]= "O", "Other","Unknown")))</f>
        <v>Female</v>
      </c>
    </row>
    <row r="231" spans="1:16"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s="12" t="str">
        <f>TEXT(orders[[#This Row],[Order Date]],"mmmm")</f>
        <v>January</v>
      </c>
      <c r="P231" t="str">
        <f>IF(orders[[#This Row],[Customer Gender]]="M","Male", IF(orders[[#This Row],[Customer Gender]]="F","Female", IF(orders[[#This Row],[Customer Gender]]= "O", "Other","Unknown")))</f>
        <v>Male</v>
      </c>
    </row>
    <row r="232" spans="1:16"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s="12" t="str">
        <f>TEXT(orders[[#This Row],[Order Date]],"mmmm")</f>
        <v>January</v>
      </c>
      <c r="P232" t="str">
        <f>IF(orders[[#This Row],[Customer Gender]]="M","Male", IF(orders[[#This Row],[Customer Gender]]="F","Female", IF(orders[[#This Row],[Customer Gender]]= "O", "Other","Unknown")))</f>
        <v>Female</v>
      </c>
    </row>
    <row r="233" spans="1:16"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s="12" t="str">
        <f>TEXT(orders[[#This Row],[Order Date]],"mmmm")</f>
        <v>January</v>
      </c>
      <c r="P233" t="str">
        <f>IF(orders[[#This Row],[Customer Gender]]="M","Male", IF(orders[[#This Row],[Customer Gender]]="F","Female", IF(orders[[#This Row],[Customer Gender]]= "O", "Other","Unknown")))</f>
        <v>Female</v>
      </c>
    </row>
    <row r="234" spans="1:16"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s="12" t="str">
        <f>TEXT(orders[[#This Row],[Order Date]],"mmmm")</f>
        <v>January</v>
      </c>
      <c r="P234" t="str">
        <f>IF(orders[[#This Row],[Customer Gender]]="M","Male", IF(orders[[#This Row],[Customer Gender]]="F","Female", IF(orders[[#This Row],[Customer Gender]]= "O", "Other","Unknown")))</f>
        <v>Male</v>
      </c>
    </row>
    <row r="235" spans="1:16"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s="12" t="str">
        <f>TEXT(orders[[#This Row],[Order Date]],"mmmm")</f>
        <v>January</v>
      </c>
      <c r="P235" t="str">
        <f>IF(orders[[#This Row],[Customer Gender]]="M","Male", IF(orders[[#This Row],[Customer Gender]]="F","Female", IF(orders[[#This Row],[Customer Gender]]= "O", "Other","Unknown")))</f>
        <v>Female</v>
      </c>
    </row>
    <row r="236" spans="1:16"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s="12" t="str">
        <f>TEXT(orders[[#This Row],[Order Date]],"mmmm")</f>
        <v>January</v>
      </c>
      <c r="P236" t="str">
        <f>IF(orders[[#This Row],[Customer Gender]]="M","Male", IF(orders[[#This Row],[Customer Gender]]="F","Female", IF(orders[[#This Row],[Customer Gender]]= "O", "Other","Unknown")))</f>
        <v>Male</v>
      </c>
    </row>
    <row r="237" spans="1:16"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s="12" t="str">
        <f>TEXT(orders[[#This Row],[Order Date]],"mmmm")</f>
        <v>January</v>
      </c>
      <c r="P237" t="str">
        <f>IF(orders[[#This Row],[Customer Gender]]="M","Male", IF(orders[[#This Row],[Customer Gender]]="F","Female", IF(orders[[#This Row],[Customer Gender]]= "O", "Other","Unknown")))</f>
        <v>Female</v>
      </c>
    </row>
    <row r="238" spans="1:16"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s="12" t="str">
        <f>TEXT(orders[[#This Row],[Order Date]],"mmmm")</f>
        <v>January</v>
      </c>
      <c r="P238" t="str">
        <f>IF(orders[[#This Row],[Customer Gender]]="M","Male", IF(orders[[#This Row],[Customer Gender]]="F","Female", IF(orders[[#This Row],[Customer Gender]]= "O", "Other","Unknown")))</f>
        <v>Female</v>
      </c>
    </row>
    <row r="239" spans="1:16"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s="12" t="str">
        <f>TEXT(orders[[#This Row],[Order Date]],"mmmm")</f>
        <v>January</v>
      </c>
      <c r="P239" t="str">
        <f>IF(orders[[#This Row],[Customer Gender]]="M","Male", IF(orders[[#This Row],[Customer Gender]]="F","Female", IF(orders[[#This Row],[Customer Gender]]= "O", "Other","Unknown")))</f>
        <v>Female</v>
      </c>
    </row>
    <row r="240" spans="1:16"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s="12" t="str">
        <f>TEXT(orders[[#This Row],[Order Date]],"mmmm")</f>
        <v>January</v>
      </c>
      <c r="P240" t="str">
        <f>IF(orders[[#This Row],[Customer Gender]]="M","Male", IF(orders[[#This Row],[Customer Gender]]="F","Female", IF(orders[[#This Row],[Customer Gender]]= "O", "Other","Unknown")))</f>
        <v>Male</v>
      </c>
    </row>
    <row r="241" spans="1:16"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s="12" t="str">
        <f>TEXT(orders[[#This Row],[Order Date]],"mmmm")</f>
        <v>January</v>
      </c>
      <c r="P241" t="str">
        <f>IF(orders[[#This Row],[Customer Gender]]="M","Male", IF(orders[[#This Row],[Customer Gender]]="F","Female", IF(orders[[#This Row],[Customer Gender]]= "O", "Other","Unknown")))</f>
        <v>Female</v>
      </c>
    </row>
    <row r="242" spans="1:16"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s="12" t="str">
        <f>TEXT(orders[[#This Row],[Order Date]],"mmmm")</f>
        <v>January</v>
      </c>
      <c r="P242" t="str">
        <f>IF(orders[[#This Row],[Customer Gender]]="M","Male", IF(orders[[#This Row],[Customer Gender]]="F","Female", IF(orders[[#This Row],[Customer Gender]]= "O", "Other","Unknown")))</f>
        <v>Female</v>
      </c>
    </row>
    <row r="243" spans="1:16"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s="12" t="str">
        <f>TEXT(orders[[#This Row],[Order Date]],"mmmm")</f>
        <v>January</v>
      </c>
      <c r="P243" t="str">
        <f>IF(orders[[#This Row],[Customer Gender]]="M","Male", IF(orders[[#This Row],[Customer Gender]]="F","Female", IF(orders[[#This Row],[Customer Gender]]= "O", "Other","Unknown")))</f>
        <v>Male</v>
      </c>
    </row>
    <row r="244" spans="1:16"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s="12" t="str">
        <f>TEXT(orders[[#This Row],[Order Date]],"mmmm")</f>
        <v>January</v>
      </c>
      <c r="P244" t="str">
        <f>IF(orders[[#This Row],[Customer Gender]]="M","Male", IF(orders[[#This Row],[Customer Gender]]="F","Female", IF(orders[[#This Row],[Customer Gender]]= "O", "Other","Unknown")))</f>
        <v>Male</v>
      </c>
    </row>
    <row r="245" spans="1:16"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s="12" t="str">
        <f>TEXT(orders[[#This Row],[Order Date]],"mmmm")</f>
        <v>January</v>
      </c>
      <c r="P245" t="str">
        <f>IF(orders[[#This Row],[Customer Gender]]="M","Male", IF(orders[[#This Row],[Customer Gender]]="F","Female", IF(orders[[#This Row],[Customer Gender]]= "O", "Other","Unknown")))</f>
        <v>Male</v>
      </c>
    </row>
    <row r="246" spans="1:16"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s="12" t="str">
        <f>TEXT(orders[[#This Row],[Order Date]],"mmmm")</f>
        <v>January</v>
      </c>
      <c r="P246" t="str">
        <f>IF(orders[[#This Row],[Customer Gender]]="M","Male", IF(orders[[#This Row],[Customer Gender]]="F","Female", IF(orders[[#This Row],[Customer Gender]]= "O", "Other","Unknown")))</f>
        <v>Female</v>
      </c>
    </row>
    <row r="247" spans="1:16"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s="12" t="str">
        <f>TEXT(orders[[#This Row],[Order Date]],"mmmm")</f>
        <v>January</v>
      </c>
      <c r="P247" t="str">
        <f>IF(orders[[#This Row],[Customer Gender]]="M","Male", IF(orders[[#This Row],[Customer Gender]]="F","Female", IF(orders[[#This Row],[Customer Gender]]= "O", "Other","Unknown")))</f>
        <v>Male</v>
      </c>
    </row>
    <row r="248" spans="1:16"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s="12" t="str">
        <f>TEXT(orders[[#This Row],[Order Date]],"mmmm")</f>
        <v>January</v>
      </c>
      <c r="P248" t="str">
        <f>IF(orders[[#This Row],[Customer Gender]]="M","Male", IF(orders[[#This Row],[Customer Gender]]="F","Female", IF(orders[[#This Row],[Customer Gender]]= "O", "Other","Unknown")))</f>
        <v>Male</v>
      </c>
    </row>
    <row r="249" spans="1:16"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s="12" t="str">
        <f>TEXT(orders[[#This Row],[Order Date]],"mmmm")</f>
        <v>January</v>
      </c>
      <c r="P249" t="str">
        <f>IF(orders[[#This Row],[Customer Gender]]="M","Male", IF(orders[[#This Row],[Customer Gender]]="F","Female", IF(orders[[#This Row],[Customer Gender]]= "O", "Other","Unknown")))</f>
        <v>Male</v>
      </c>
    </row>
    <row r="250" spans="1:16"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s="12" t="str">
        <f>TEXT(orders[[#This Row],[Order Date]],"mmmm")</f>
        <v>January</v>
      </c>
      <c r="P250" t="str">
        <f>IF(orders[[#This Row],[Customer Gender]]="M","Male", IF(orders[[#This Row],[Customer Gender]]="F","Female", IF(orders[[#This Row],[Customer Gender]]= "O", "Other","Unknown")))</f>
        <v>Female</v>
      </c>
    </row>
    <row r="251" spans="1:16"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s="12" t="str">
        <f>TEXT(orders[[#This Row],[Order Date]],"mmmm")</f>
        <v>January</v>
      </c>
      <c r="P251" t="str">
        <f>IF(orders[[#This Row],[Customer Gender]]="M","Male", IF(orders[[#This Row],[Customer Gender]]="F","Female", IF(orders[[#This Row],[Customer Gender]]= "O", "Other","Unknown")))</f>
        <v>Female</v>
      </c>
    </row>
    <row r="252" spans="1:16"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s="12" t="str">
        <f>TEXT(orders[[#This Row],[Order Date]],"mmmm")</f>
        <v>January</v>
      </c>
      <c r="P252" t="str">
        <f>IF(orders[[#This Row],[Customer Gender]]="M","Male", IF(orders[[#This Row],[Customer Gender]]="F","Female", IF(orders[[#This Row],[Customer Gender]]= "O", "Other","Unknown")))</f>
        <v>Male</v>
      </c>
    </row>
    <row r="253" spans="1:16"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s="12" t="str">
        <f>TEXT(orders[[#This Row],[Order Date]],"mmmm")</f>
        <v>January</v>
      </c>
      <c r="P253" t="str">
        <f>IF(orders[[#This Row],[Customer Gender]]="M","Male", IF(orders[[#This Row],[Customer Gender]]="F","Female", IF(orders[[#This Row],[Customer Gender]]= "O", "Other","Unknown")))</f>
        <v>Male</v>
      </c>
    </row>
    <row r="254" spans="1:16"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s="12" t="str">
        <f>TEXT(orders[[#This Row],[Order Date]],"mmmm")</f>
        <v>January</v>
      </c>
      <c r="P254" t="str">
        <f>IF(orders[[#This Row],[Customer Gender]]="M","Male", IF(orders[[#This Row],[Customer Gender]]="F","Female", IF(orders[[#This Row],[Customer Gender]]= "O", "Other","Unknown")))</f>
        <v>Other</v>
      </c>
    </row>
    <row r="255" spans="1:16"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s="12" t="str">
        <f>TEXT(orders[[#This Row],[Order Date]],"mmmm")</f>
        <v>January</v>
      </c>
      <c r="P255" t="str">
        <f>IF(orders[[#This Row],[Customer Gender]]="M","Male", IF(orders[[#This Row],[Customer Gender]]="F","Female", IF(orders[[#This Row],[Customer Gender]]= "O", "Other","Unknown")))</f>
        <v>Male</v>
      </c>
    </row>
    <row r="256" spans="1:16"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s="12" t="str">
        <f>TEXT(orders[[#This Row],[Order Date]],"mmmm")</f>
        <v>January</v>
      </c>
      <c r="P256" t="str">
        <f>IF(orders[[#This Row],[Customer Gender]]="M","Male", IF(orders[[#This Row],[Customer Gender]]="F","Female", IF(orders[[#This Row],[Customer Gender]]= "O", "Other","Unknown")))</f>
        <v>Male</v>
      </c>
    </row>
    <row r="257" spans="1:16"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s="12" t="str">
        <f>TEXT(orders[[#This Row],[Order Date]],"mmmm")</f>
        <v>January</v>
      </c>
      <c r="P257" t="str">
        <f>IF(orders[[#This Row],[Customer Gender]]="M","Male", IF(orders[[#This Row],[Customer Gender]]="F","Female", IF(orders[[#This Row],[Customer Gender]]= "O", "Other","Unknown")))</f>
        <v>Female</v>
      </c>
    </row>
    <row r="258" spans="1:16"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s="12" t="str">
        <f>TEXT(orders[[#This Row],[Order Date]],"mmmm")</f>
        <v>January</v>
      </c>
      <c r="P258" t="str">
        <f>IF(orders[[#This Row],[Customer Gender]]="M","Male", IF(orders[[#This Row],[Customer Gender]]="F","Female", IF(orders[[#This Row],[Customer Gender]]= "O", "Other","Unknown")))</f>
        <v>Male</v>
      </c>
    </row>
    <row r="259" spans="1:16"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s="12" t="str">
        <f>TEXT(orders[[#This Row],[Order Date]],"mmmm")</f>
        <v>January</v>
      </c>
      <c r="P259" t="str">
        <f>IF(orders[[#This Row],[Customer Gender]]="M","Male", IF(orders[[#This Row],[Customer Gender]]="F","Female", IF(orders[[#This Row],[Customer Gender]]= "O", "Other","Unknown")))</f>
        <v>Male</v>
      </c>
    </row>
    <row r="260" spans="1:16"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s="12" t="str">
        <f>TEXT(orders[[#This Row],[Order Date]],"mmmm")</f>
        <v>January</v>
      </c>
      <c r="P260" t="str">
        <f>IF(orders[[#This Row],[Customer Gender]]="M","Male", IF(orders[[#This Row],[Customer Gender]]="F","Female", IF(orders[[#This Row],[Customer Gender]]= "O", "Other","Unknown")))</f>
        <v>Female</v>
      </c>
    </row>
    <row r="261" spans="1:16"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s="12" t="str">
        <f>TEXT(orders[[#This Row],[Order Date]],"mmmm")</f>
        <v>January</v>
      </c>
      <c r="P261" t="str">
        <f>IF(orders[[#This Row],[Customer Gender]]="M","Male", IF(orders[[#This Row],[Customer Gender]]="F","Female", IF(orders[[#This Row],[Customer Gender]]= "O", "Other","Unknown")))</f>
        <v>Female</v>
      </c>
    </row>
    <row r="262" spans="1:16"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s="12" t="str">
        <f>TEXT(orders[[#This Row],[Order Date]],"mmmm")</f>
        <v>January</v>
      </c>
      <c r="P262" t="str">
        <f>IF(orders[[#This Row],[Customer Gender]]="M","Male", IF(orders[[#This Row],[Customer Gender]]="F","Female", IF(orders[[#This Row],[Customer Gender]]= "O", "Other","Unknown")))</f>
        <v>Male</v>
      </c>
    </row>
    <row r="263" spans="1:16"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s="12" t="str">
        <f>TEXT(orders[[#This Row],[Order Date]],"mmmm")</f>
        <v>January</v>
      </c>
      <c r="P263" t="str">
        <f>IF(orders[[#This Row],[Customer Gender]]="M","Male", IF(orders[[#This Row],[Customer Gender]]="F","Female", IF(orders[[#This Row],[Customer Gender]]= "O", "Other","Unknown")))</f>
        <v>Female</v>
      </c>
    </row>
    <row r="264" spans="1:16"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s="12" t="str">
        <f>TEXT(orders[[#This Row],[Order Date]],"mmmm")</f>
        <v>January</v>
      </c>
      <c r="P264" t="str">
        <f>IF(orders[[#This Row],[Customer Gender]]="M","Male", IF(orders[[#This Row],[Customer Gender]]="F","Female", IF(orders[[#This Row],[Customer Gender]]= "O", "Other","Unknown")))</f>
        <v>Male</v>
      </c>
    </row>
    <row r="265" spans="1:16"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s="12" t="str">
        <f>TEXT(orders[[#This Row],[Order Date]],"mmmm")</f>
        <v>January</v>
      </c>
      <c r="P265" t="str">
        <f>IF(orders[[#This Row],[Customer Gender]]="M","Male", IF(orders[[#This Row],[Customer Gender]]="F","Female", IF(orders[[#This Row],[Customer Gender]]= "O", "Other","Unknown")))</f>
        <v>Female</v>
      </c>
    </row>
    <row r="266" spans="1:16"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s="12" t="str">
        <f>TEXT(orders[[#This Row],[Order Date]],"mmmm")</f>
        <v>January</v>
      </c>
      <c r="P266" t="str">
        <f>IF(orders[[#This Row],[Customer Gender]]="M","Male", IF(orders[[#This Row],[Customer Gender]]="F","Female", IF(orders[[#This Row],[Customer Gender]]= "O", "Other","Unknown")))</f>
        <v>Male</v>
      </c>
    </row>
    <row r="267" spans="1:16"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s="12" t="str">
        <f>TEXT(orders[[#This Row],[Order Date]],"mmmm")</f>
        <v>January</v>
      </c>
      <c r="P267" t="str">
        <f>IF(orders[[#This Row],[Customer Gender]]="M","Male", IF(orders[[#This Row],[Customer Gender]]="F","Female", IF(orders[[#This Row],[Customer Gender]]= "O", "Other","Unknown")))</f>
        <v>Female</v>
      </c>
    </row>
    <row r="268" spans="1:16" hidden="1"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s="12" t="str">
        <f>TEXT(orders[[#This Row],[Order Date]],"mmmm")</f>
        <v>January</v>
      </c>
      <c r="P268" t="str">
        <f>IF(orders[[#This Row],[Customer Gender]]="M","Male", IF(orders[[#This Row],[Customer Gender]]="F","Female", IF(orders[[#This Row],[Customer Gender]]= "O", "Other","Unknown")))</f>
        <v>Unknown</v>
      </c>
    </row>
    <row r="269" spans="1:16"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s="12" t="str">
        <f>TEXT(orders[[#This Row],[Order Date]],"mmmm")</f>
        <v>January</v>
      </c>
      <c r="P269" t="str">
        <f>IF(orders[[#This Row],[Customer Gender]]="M","Male", IF(orders[[#This Row],[Customer Gender]]="F","Female", IF(orders[[#This Row],[Customer Gender]]= "O", "Other","Unknown")))</f>
        <v>Female</v>
      </c>
    </row>
    <row r="270" spans="1:16"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s="12" t="str">
        <f>TEXT(orders[[#This Row],[Order Date]],"mmmm")</f>
        <v>January</v>
      </c>
      <c r="P270" t="str">
        <f>IF(orders[[#This Row],[Customer Gender]]="M","Male", IF(orders[[#This Row],[Customer Gender]]="F","Female", IF(orders[[#This Row],[Customer Gender]]= "O", "Other","Unknown")))</f>
        <v>Female</v>
      </c>
    </row>
    <row r="271" spans="1:16"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s="12" t="str">
        <f>TEXT(orders[[#This Row],[Order Date]],"mmmm")</f>
        <v>January</v>
      </c>
      <c r="P271" t="str">
        <f>IF(orders[[#This Row],[Customer Gender]]="M","Male", IF(orders[[#This Row],[Customer Gender]]="F","Female", IF(orders[[#This Row],[Customer Gender]]= "O", "Other","Unknown")))</f>
        <v>Female</v>
      </c>
    </row>
    <row r="272" spans="1:16"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s="12" t="str">
        <f>TEXT(orders[[#This Row],[Order Date]],"mmmm")</f>
        <v>January</v>
      </c>
      <c r="P272" t="str">
        <f>IF(orders[[#This Row],[Customer Gender]]="M","Male", IF(orders[[#This Row],[Customer Gender]]="F","Female", IF(orders[[#This Row],[Customer Gender]]= "O", "Other","Unknown")))</f>
        <v>Female</v>
      </c>
    </row>
    <row r="273" spans="1:16"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s="12" t="str">
        <f>TEXT(orders[[#This Row],[Order Date]],"mmmm")</f>
        <v>January</v>
      </c>
      <c r="P273" t="str">
        <f>IF(orders[[#This Row],[Customer Gender]]="M","Male", IF(orders[[#This Row],[Customer Gender]]="F","Female", IF(orders[[#This Row],[Customer Gender]]= "O", "Other","Unknown")))</f>
        <v>Female</v>
      </c>
    </row>
    <row r="274" spans="1:16"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s="12" t="str">
        <f>TEXT(orders[[#This Row],[Order Date]],"mmmm")</f>
        <v>January</v>
      </c>
      <c r="P274" t="str">
        <f>IF(orders[[#This Row],[Customer Gender]]="M","Male", IF(orders[[#This Row],[Customer Gender]]="F","Female", IF(orders[[#This Row],[Customer Gender]]= "O", "Other","Unknown")))</f>
        <v>Female</v>
      </c>
    </row>
    <row r="275" spans="1:16"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s="12" t="str">
        <f>TEXT(orders[[#This Row],[Order Date]],"mmmm")</f>
        <v>January</v>
      </c>
      <c r="P275" t="str">
        <f>IF(orders[[#This Row],[Customer Gender]]="M","Male", IF(orders[[#This Row],[Customer Gender]]="F","Female", IF(orders[[#This Row],[Customer Gender]]= "O", "Other","Unknown")))</f>
        <v>Male</v>
      </c>
    </row>
    <row r="276" spans="1:16"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s="12" t="str">
        <f>TEXT(orders[[#This Row],[Order Date]],"mmmm")</f>
        <v>January</v>
      </c>
      <c r="P276" t="str">
        <f>IF(orders[[#This Row],[Customer Gender]]="M","Male", IF(orders[[#This Row],[Customer Gender]]="F","Female", IF(orders[[#This Row],[Customer Gender]]= "O", "Other","Unknown")))</f>
        <v>Male</v>
      </c>
    </row>
    <row r="277" spans="1:16"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s="12" t="str">
        <f>TEXT(orders[[#This Row],[Order Date]],"mmmm")</f>
        <v>January</v>
      </c>
      <c r="P277" t="str">
        <f>IF(orders[[#This Row],[Customer Gender]]="M","Male", IF(orders[[#This Row],[Customer Gender]]="F","Female", IF(orders[[#This Row],[Customer Gender]]= "O", "Other","Unknown")))</f>
        <v>Female</v>
      </c>
    </row>
    <row r="278" spans="1:16" hidden="1"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s="12" t="str">
        <f>TEXT(orders[[#This Row],[Order Date]],"mmmm")</f>
        <v>January</v>
      </c>
      <c r="P278" t="str">
        <f>IF(orders[[#This Row],[Customer Gender]]="M","Male", IF(orders[[#This Row],[Customer Gender]]="F","Female", IF(orders[[#This Row],[Customer Gender]]= "O", "Other","Unknown")))</f>
        <v>Unknown</v>
      </c>
    </row>
    <row r="279" spans="1:16"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s="12" t="str">
        <f>TEXT(orders[[#This Row],[Order Date]],"mmmm")</f>
        <v>January</v>
      </c>
      <c r="P279" t="str">
        <f>IF(orders[[#This Row],[Customer Gender]]="M","Male", IF(orders[[#This Row],[Customer Gender]]="F","Female", IF(orders[[#This Row],[Customer Gender]]= "O", "Other","Unknown")))</f>
        <v>Female</v>
      </c>
    </row>
    <row r="280" spans="1:16"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s="12" t="str">
        <f>TEXT(orders[[#This Row],[Order Date]],"mmmm")</f>
        <v>January</v>
      </c>
      <c r="P280" t="str">
        <f>IF(orders[[#This Row],[Customer Gender]]="M","Male", IF(orders[[#This Row],[Customer Gender]]="F","Female", IF(orders[[#This Row],[Customer Gender]]= "O", "Other","Unknown")))</f>
        <v>Female</v>
      </c>
    </row>
    <row r="281" spans="1:16"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s="12" t="str">
        <f>TEXT(orders[[#This Row],[Order Date]],"mmmm")</f>
        <v>January</v>
      </c>
      <c r="P281" t="str">
        <f>IF(orders[[#This Row],[Customer Gender]]="M","Male", IF(orders[[#This Row],[Customer Gender]]="F","Female", IF(orders[[#This Row],[Customer Gender]]= "O", "Other","Unknown")))</f>
        <v>Female</v>
      </c>
    </row>
    <row r="282" spans="1:16"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s="12" t="str">
        <f>TEXT(orders[[#This Row],[Order Date]],"mmmm")</f>
        <v>January</v>
      </c>
      <c r="P282" t="str">
        <f>IF(orders[[#This Row],[Customer Gender]]="M","Male", IF(orders[[#This Row],[Customer Gender]]="F","Female", IF(orders[[#This Row],[Customer Gender]]= "O", "Other","Unknown")))</f>
        <v>Male</v>
      </c>
    </row>
    <row r="283" spans="1:16"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s="12" t="str">
        <f>TEXT(orders[[#This Row],[Order Date]],"mmmm")</f>
        <v>January</v>
      </c>
      <c r="P283" t="str">
        <f>IF(orders[[#This Row],[Customer Gender]]="M","Male", IF(orders[[#This Row],[Customer Gender]]="F","Female", IF(orders[[#This Row],[Customer Gender]]= "O", "Other","Unknown")))</f>
        <v>Male</v>
      </c>
    </row>
    <row r="284" spans="1:16"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s="12" t="str">
        <f>TEXT(orders[[#This Row],[Order Date]],"mmmm")</f>
        <v>January</v>
      </c>
      <c r="P284" t="str">
        <f>IF(orders[[#This Row],[Customer Gender]]="M","Male", IF(orders[[#This Row],[Customer Gender]]="F","Female", IF(orders[[#This Row],[Customer Gender]]= "O", "Other","Unknown")))</f>
        <v>Female</v>
      </c>
    </row>
    <row r="285" spans="1:16"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s="12" t="str">
        <f>TEXT(orders[[#This Row],[Order Date]],"mmmm")</f>
        <v>January</v>
      </c>
      <c r="P285" t="str">
        <f>IF(orders[[#This Row],[Customer Gender]]="M","Male", IF(orders[[#This Row],[Customer Gender]]="F","Female", IF(orders[[#This Row],[Customer Gender]]= "O", "Other","Unknown")))</f>
        <v>Male</v>
      </c>
    </row>
    <row r="286" spans="1:16"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s="12" t="str">
        <f>TEXT(orders[[#This Row],[Order Date]],"mmmm")</f>
        <v>January</v>
      </c>
      <c r="P286" t="str">
        <f>IF(orders[[#This Row],[Customer Gender]]="M","Male", IF(orders[[#This Row],[Customer Gender]]="F","Female", IF(orders[[#This Row],[Customer Gender]]= "O", "Other","Unknown")))</f>
        <v>Male</v>
      </c>
    </row>
    <row r="287" spans="1:16"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s="12" t="str">
        <f>TEXT(orders[[#This Row],[Order Date]],"mmmm")</f>
        <v>January</v>
      </c>
      <c r="P287" t="str">
        <f>IF(orders[[#This Row],[Customer Gender]]="M","Male", IF(orders[[#This Row],[Customer Gender]]="F","Female", IF(orders[[#This Row],[Customer Gender]]= "O", "Other","Unknown")))</f>
        <v>Female</v>
      </c>
    </row>
    <row r="288" spans="1:16"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s="12" t="str">
        <f>TEXT(orders[[#This Row],[Order Date]],"mmmm")</f>
        <v>January</v>
      </c>
      <c r="P288" t="str">
        <f>IF(orders[[#This Row],[Customer Gender]]="M","Male", IF(orders[[#This Row],[Customer Gender]]="F","Female", IF(orders[[#This Row],[Customer Gender]]= "O", "Other","Unknown")))</f>
        <v>Female</v>
      </c>
    </row>
    <row r="289" spans="1:16"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s="12" t="str">
        <f>TEXT(orders[[#This Row],[Order Date]],"mmmm")</f>
        <v>January</v>
      </c>
      <c r="P289" t="str">
        <f>IF(orders[[#This Row],[Customer Gender]]="M","Male", IF(orders[[#This Row],[Customer Gender]]="F","Female", IF(orders[[#This Row],[Customer Gender]]= "O", "Other","Unknown")))</f>
        <v>Male</v>
      </c>
    </row>
    <row r="290" spans="1:16"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s="12" t="str">
        <f>TEXT(orders[[#This Row],[Order Date]],"mmmm")</f>
        <v>January</v>
      </c>
      <c r="P290" t="str">
        <f>IF(orders[[#This Row],[Customer Gender]]="M","Male", IF(orders[[#This Row],[Customer Gender]]="F","Female", IF(orders[[#This Row],[Customer Gender]]= "O", "Other","Unknown")))</f>
        <v>Male</v>
      </c>
    </row>
    <row r="291" spans="1:16"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s="12" t="str">
        <f>TEXT(orders[[#This Row],[Order Date]],"mmmm")</f>
        <v>January</v>
      </c>
      <c r="P291" t="str">
        <f>IF(orders[[#This Row],[Customer Gender]]="M","Male", IF(orders[[#This Row],[Customer Gender]]="F","Female", IF(orders[[#This Row],[Customer Gender]]= "O", "Other","Unknown")))</f>
        <v>Male</v>
      </c>
    </row>
    <row r="292" spans="1:16"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s="12" t="str">
        <f>TEXT(orders[[#This Row],[Order Date]],"mmmm")</f>
        <v>January</v>
      </c>
      <c r="P292" t="str">
        <f>IF(orders[[#This Row],[Customer Gender]]="M","Male", IF(orders[[#This Row],[Customer Gender]]="F","Female", IF(orders[[#This Row],[Customer Gender]]= "O", "Other","Unknown")))</f>
        <v>Male</v>
      </c>
    </row>
    <row r="293" spans="1:16"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s="12" t="str">
        <f>TEXT(orders[[#This Row],[Order Date]],"mmmm")</f>
        <v>January</v>
      </c>
      <c r="P293" t="str">
        <f>IF(orders[[#This Row],[Customer Gender]]="M","Male", IF(orders[[#This Row],[Customer Gender]]="F","Female", IF(orders[[#This Row],[Customer Gender]]= "O", "Other","Unknown")))</f>
        <v>Male</v>
      </c>
    </row>
    <row r="294" spans="1:16"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s="12" t="str">
        <f>TEXT(orders[[#This Row],[Order Date]],"mmmm")</f>
        <v>January</v>
      </c>
      <c r="P294" t="str">
        <f>IF(orders[[#This Row],[Customer Gender]]="M","Male", IF(orders[[#This Row],[Customer Gender]]="F","Female", IF(orders[[#This Row],[Customer Gender]]= "O", "Other","Unknown")))</f>
        <v>Female</v>
      </c>
    </row>
    <row r="295" spans="1:16"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s="12" t="str">
        <f>TEXT(orders[[#This Row],[Order Date]],"mmmm")</f>
        <v>January</v>
      </c>
      <c r="P295" t="str">
        <f>IF(orders[[#This Row],[Customer Gender]]="M","Male", IF(orders[[#This Row],[Customer Gender]]="F","Female", IF(orders[[#This Row],[Customer Gender]]= "O", "Other","Unknown")))</f>
        <v>Male</v>
      </c>
    </row>
    <row r="296" spans="1:16"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s="12" t="str">
        <f>TEXT(orders[[#This Row],[Order Date]],"mmmm")</f>
        <v>January</v>
      </c>
      <c r="P296" t="str">
        <f>IF(orders[[#This Row],[Customer Gender]]="M","Male", IF(orders[[#This Row],[Customer Gender]]="F","Female", IF(orders[[#This Row],[Customer Gender]]= "O", "Other","Unknown")))</f>
        <v>Male</v>
      </c>
    </row>
    <row r="297" spans="1:16"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s="12" t="str">
        <f>TEXT(orders[[#This Row],[Order Date]],"mmmm")</f>
        <v>January</v>
      </c>
      <c r="P297" t="str">
        <f>IF(orders[[#This Row],[Customer Gender]]="M","Male", IF(orders[[#This Row],[Customer Gender]]="F","Female", IF(orders[[#This Row],[Customer Gender]]= "O", "Other","Unknown")))</f>
        <v>Female</v>
      </c>
    </row>
    <row r="298" spans="1:16"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s="12" t="str">
        <f>TEXT(orders[[#This Row],[Order Date]],"mmmm")</f>
        <v>January</v>
      </c>
      <c r="P298" t="str">
        <f>IF(orders[[#This Row],[Customer Gender]]="M","Male", IF(orders[[#This Row],[Customer Gender]]="F","Female", IF(orders[[#This Row],[Customer Gender]]= "O", "Other","Unknown")))</f>
        <v>Female</v>
      </c>
    </row>
    <row r="299" spans="1:16"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s="12" t="str">
        <f>TEXT(orders[[#This Row],[Order Date]],"mmmm")</f>
        <v>January</v>
      </c>
      <c r="P299" t="str">
        <f>IF(orders[[#This Row],[Customer Gender]]="M","Male", IF(orders[[#This Row],[Customer Gender]]="F","Female", IF(orders[[#This Row],[Customer Gender]]= "O", "Other","Unknown")))</f>
        <v>Male</v>
      </c>
    </row>
    <row r="300" spans="1:16"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s="12" t="str">
        <f>TEXT(orders[[#This Row],[Order Date]],"mmmm")</f>
        <v>January</v>
      </c>
      <c r="P300" t="str">
        <f>IF(orders[[#This Row],[Customer Gender]]="M","Male", IF(orders[[#This Row],[Customer Gender]]="F","Female", IF(orders[[#This Row],[Customer Gender]]= "O", "Other","Unknown")))</f>
        <v>Female</v>
      </c>
    </row>
    <row r="301" spans="1:16"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s="12" t="str">
        <f>TEXT(orders[[#This Row],[Order Date]],"mmmm")</f>
        <v>January</v>
      </c>
      <c r="P301" t="str">
        <f>IF(orders[[#This Row],[Customer Gender]]="M","Male", IF(orders[[#This Row],[Customer Gender]]="F","Female", IF(orders[[#This Row],[Customer Gender]]= "O", "Other","Unknown")))</f>
        <v>Male</v>
      </c>
    </row>
    <row r="302" spans="1:16"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s="12" t="str">
        <f>TEXT(orders[[#This Row],[Order Date]],"mmmm")</f>
        <v>January</v>
      </c>
      <c r="P302" t="str">
        <f>IF(orders[[#This Row],[Customer Gender]]="M","Male", IF(orders[[#This Row],[Customer Gender]]="F","Female", IF(orders[[#This Row],[Customer Gender]]= "O", "Other","Unknown")))</f>
        <v>Female</v>
      </c>
    </row>
    <row r="303" spans="1:16"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s="12" t="str">
        <f>TEXT(orders[[#This Row],[Order Date]],"mmmm")</f>
        <v>January</v>
      </c>
      <c r="P303" t="str">
        <f>IF(orders[[#This Row],[Customer Gender]]="M","Male", IF(orders[[#This Row],[Customer Gender]]="F","Female", IF(orders[[#This Row],[Customer Gender]]= "O", "Other","Unknown")))</f>
        <v>Female</v>
      </c>
    </row>
    <row r="304" spans="1:16"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s="12" t="str">
        <f>TEXT(orders[[#This Row],[Order Date]],"mmmm")</f>
        <v>January</v>
      </c>
      <c r="P304" t="str">
        <f>IF(orders[[#This Row],[Customer Gender]]="M","Male", IF(orders[[#This Row],[Customer Gender]]="F","Female", IF(orders[[#This Row],[Customer Gender]]= "O", "Other","Unknown")))</f>
        <v>Female</v>
      </c>
    </row>
    <row r="305" spans="1:16"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s="12" t="str">
        <f>TEXT(orders[[#This Row],[Order Date]],"mmmm")</f>
        <v>January</v>
      </c>
      <c r="P305" t="str">
        <f>IF(orders[[#This Row],[Customer Gender]]="M","Male", IF(orders[[#This Row],[Customer Gender]]="F","Female", IF(orders[[#This Row],[Customer Gender]]= "O", "Other","Unknown")))</f>
        <v>Female</v>
      </c>
    </row>
    <row r="306" spans="1:16"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s="12" t="str">
        <f>TEXT(orders[[#This Row],[Order Date]],"mmmm")</f>
        <v>January</v>
      </c>
      <c r="P306" t="str">
        <f>IF(orders[[#This Row],[Customer Gender]]="M","Male", IF(orders[[#This Row],[Customer Gender]]="F","Female", IF(orders[[#This Row],[Customer Gender]]= "O", "Other","Unknown")))</f>
        <v>Male</v>
      </c>
    </row>
    <row r="307" spans="1:16"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s="12" t="str">
        <f>TEXT(orders[[#This Row],[Order Date]],"mmmm")</f>
        <v>January</v>
      </c>
      <c r="P307" t="str">
        <f>IF(orders[[#This Row],[Customer Gender]]="M","Male", IF(orders[[#This Row],[Customer Gender]]="F","Female", IF(orders[[#This Row],[Customer Gender]]= "O", "Other","Unknown")))</f>
        <v>Female</v>
      </c>
    </row>
    <row r="308" spans="1:16"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s="12" t="str">
        <f>TEXT(orders[[#This Row],[Order Date]],"mmmm")</f>
        <v>January</v>
      </c>
      <c r="P308" t="str">
        <f>IF(orders[[#This Row],[Customer Gender]]="M","Male", IF(orders[[#This Row],[Customer Gender]]="F","Female", IF(orders[[#This Row],[Customer Gender]]= "O", "Other","Unknown")))</f>
        <v>Female</v>
      </c>
    </row>
    <row r="309" spans="1:16"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s="12" t="str">
        <f>TEXT(orders[[#This Row],[Order Date]],"mmmm")</f>
        <v>January</v>
      </c>
      <c r="P309" t="str">
        <f>IF(orders[[#This Row],[Customer Gender]]="M","Male", IF(orders[[#This Row],[Customer Gender]]="F","Female", IF(orders[[#This Row],[Customer Gender]]= "O", "Other","Unknown")))</f>
        <v>Female</v>
      </c>
    </row>
    <row r="310" spans="1:16"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s="12" t="str">
        <f>TEXT(orders[[#This Row],[Order Date]],"mmmm")</f>
        <v>January</v>
      </c>
      <c r="P310" t="str">
        <f>IF(orders[[#This Row],[Customer Gender]]="M","Male", IF(orders[[#This Row],[Customer Gender]]="F","Female", IF(orders[[#This Row],[Customer Gender]]= "O", "Other","Unknown")))</f>
        <v>Male</v>
      </c>
    </row>
    <row r="311" spans="1:16"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s="12" t="str">
        <f>TEXT(orders[[#This Row],[Order Date]],"mmmm")</f>
        <v>January</v>
      </c>
      <c r="P311" t="str">
        <f>IF(orders[[#This Row],[Customer Gender]]="M","Male", IF(orders[[#This Row],[Customer Gender]]="F","Female", IF(orders[[#This Row],[Customer Gender]]= "O", "Other","Unknown")))</f>
        <v>Female</v>
      </c>
    </row>
    <row r="312" spans="1:16"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s="12" t="str">
        <f>TEXT(orders[[#This Row],[Order Date]],"mmmm")</f>
        <v>January</v>
      </c>
      <c r="P312" t="str">
        <f>IF(orders[[#This Row],[Customer Gender]]="M","Male", IF(orders[[#This Row],[Customer Gender]]="F","Female", IF(orders[[#This Row],[Customer Gender]]= "O", "Other","Unknown")))</f>
        <v>Male</v>
      </c>
    </row>
    <row r="313" spans="1:16"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s="12" t="str">
        <f>TEXT(orders[[#This Row],[Order Date]],"mmmm")</f>
        <v>January</v>
      </c>
      <c r="P313" t="str">
        <f>IF(orders[[#This Row],[Customer Gender]]="M","Male", IF(orders[[#This Row],[Customer Gender]]="F","Female", IF(orders[[#This Row],[Customer Gender]]= "O", "Other","Unknown")))</f>
        <v>Male</v>
      </c>
    </row>
    <row r="314" spans="1:16"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s="12" t="str">
        <f>TEXT(orders[[#This Row],[Order Date]],"mmmm")</f>
        <v>January</v>
      </c>
      <c r="P314" t="str">
        <f>IF(orders[[#This Row],[Customer Gender]]="M","Male", IF(orders[[#This Row],[Customer Gender]]="F","Female", IF(orders[[#This Row],[Customer Gender]]= "O", "Other","Unknown")))</f>
        <v>Male</v>
      </c>
    </row>
    <row r="315" spans="1:16"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s="12" t="str">
        <f>TEXT(orders[[#This Row],[Order Date]],"mmmm")</f>
        <v>January</v>
      </c>
      <c r="P315" t="str">
        <f>IF(orders[[#This Row],[Customer Gender]]="M","Male", IF(orders[[#This Row],[Customer Gender]]="F","Female", IF(orders[[#This Row],[Customer Gender]]= "O", "Other","Unknown")))</f>
        <v>Female</v>
      </c>
    </row>
    <row r="316" spans="1:16"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s="12" t="str">
        <f>TEXT(orders[[#This Row],[Order Date]],"mmmm")</f>
        <v>January</v>
      </c>
      <c r="P316" t="str">
        <f>IF(orders[[#This Row],[Customer Gender]]="M","Male", IF(orders[[#This Row],[Customer Gender]]="F","Female", IF(orders[[#This Row],[Customer Gender]]= "O", "Other","Unknown")))</f>
        <v>Male</v>
      </c>
    </row>
    <row r="317" spans="1:16"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s="12" t="str">
        <f>TEXT(orders[[#This Row],[Order Date]],"mmmm")</f>
        <v>January</v>
      </c>
      <c r="P317" t="str">
        <f>IF(orders[[#This Row],[Customer Gender]]="M","Male", IF(orders[[#This Row],[Customer Gender]]="F","Female", IF(orders[[#This Row],[Customer Gender]]= "O", "Other","Unknown")))</f>
        <v>Female</v>
      </c>
    </row>
    <row r="318" spans="1:16" hidden="1"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s="12" t="str">
        <f>TEXT(orders[[#This Row],[Order Date]],"mmmm")</f>
        <v>January</v>
      </c>
      <c r="P318" t="str">
        <f>IF(orders[[#This Row],[Customer Gender]]="M","Male", IF(orders[[#This Row],[Customer Gender]]="F","Female", IF(orders[[#This Row],[Customer Gender]]= "O", "Other","Unknown")))</f>
        <v>Unknown</v>
      </c>
    </row>
    <row r="319" spans="1:16"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s="12" t="str">
        <f>TEXT(orders[[#This Row],[Order Date]],"mmmm")</f>
        <v>January</v>
      </c>
      <c r="P319" t="str">
        <f>IF(orders[[#This Row],[Customer Gender]]="M","Male", IF(orders[[#This Row],[Customer Gender]]="F","Female", IF(orders[[#This Row],[Customer Gender]]= "O", "Other","Unknown")))</f>
        <v>Female</v>
      </c>
    </row>
    <row r="320" spans="1:16"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s="12" t="str">
        <f>TEXT(orders[[#This Row],[Order Date]],"mmmm")</f>
        <v>January</v>
      </c>
      <c r="P320" t="str">
        <f>IF(orders[[#This Row],[Customer Gender]]="M","Male", IF(orders[[#This Row],[Customer Gender]]="F","Female", IF(orders[[#This Row],[Customer Gender]]= "O", "Other","Unknown")))</f>
        <v>Female</v>
      </c>
    </row>
    <row r="321" spans="1:16"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s="12" t="str">
        <f>TEXT(orders[[#This Row],[Order Date]],"mmmm")</f>
        <v>January</v>
      </c>
      <c r="P321" t="str">
        <f>IF(orders[[#This Row],[Customer Gender]]="M","Male", IF(orders[[#This Row],[Customer Gender]]="F","Female", IF(orders[[#This Row],[Customer Gender]]= "O", "Other","Unknown")))</f>
        <v>Male</v>
      </c>
    </row>
    <row r="322" spans="1:16"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s="12" t="str">
        <f>TEXT(orders[[#This Row],[Order Date]],"mmmm")</f>
        <v>January</v>
      </c>
      <c r="P322" t="str">
        <f>IF(orders[[#This Row],[Customer Gender]]="M","Male", IF(orders[[#This Row],[Customer Gender]]="F","Female", IF(orders[[#This Row],[Customer Gender]]= "O", "Other","Unknown")))</f>
        <v>Other</v>
      </c>
    </row>
    <row r="323" spans="1:16" hidden="1"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s="12" t="str">
        <f>TEXT(orders[[#This Row],[Order Date]],"mmmm")</f>
        <v>January</v>
      </c>
      <c r="P323" t="str">
        <f>IF(orders[[#This Row],[Customer Gender]]="M","Male", IF(orders[[#This Row],[Customer Gender]]="F","Female", IF(orders[[#This Row],[Customer Gender]]= "O", "Other","Unknown")))</f>
        <v>Unknown</v>
      </c>
    </row>
    <row r="324" spans="1:16"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s="12" t="str">
        <f>TEXT(orders[[#This Row],[Order Date]],"mmmm")</f>
        <v>January</v>
      </c>
      <c r="P324" t="str">
        <f>IF(orders[[#This Row],[Customer Gender]]="M","Male", IF(orders[[#This Row],[Customer Gender]]="F","Female", IF(orders[[#This Row],[Customer Gender]]= "O", "Other","Unknown")))</f>
        <v>Female</v>
      </c>
    </row>
    <row r="325" spans="1:16"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s="12" t="str">
        <f>TEXT(orders[[#This Row],[Order Date]],"mmmm")</f>
        <v>January</v>
      </c>
      <c r="P325" t="str">
        <f>IF(orders[[#This Row],[Customer Gender]]="M","Male", IF(orders[[#This Row],[Customer Gender]]="F","Female", IF(orders[[#This Row],[Customer Gender]]= "O", "Other","Unknown")))</f>
        <v>Male</v>
      </c>
    </row>
    <row r="326" spans="1:16"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s="12" t="str">
        <f>TEXT(orders[[#This Row],[Order Date]],"mmmm")</f>
        <v>January</v>
      </c>
      <c r="P326" t="str">
        <f>IF(orders[[#This Row],[Customer Gender]]="M","Male", IF(orders[[#This Row],[Customer Gender]]="F","Female", IF(orders[[#This Row],[Customer Gender]]= "O", "Other","Unknown")))</f>
        <v>Female</v>
      </c>
    </row>
    <row r="327" spans="1:16"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s="12" t="str">
        <f>TEXT(orders[[#This Row],[Order Date]],"mmmm")</f>
        <v>January</v>
      </c>
      <c r="P327" t="str">
        <f>IF(orders[[#This Row],[Customer Gender]]="M","Male", IF(orders[[#This Row],[Customer Gender]]="F","Female", IF(orders[[#This Row],[Customer Gender]]= "O", "Other","Unknown")))</f>
        <v>Female</v>
      </c>
    </row>
    <row r="328" spans="1:16"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s="12" t="str">
        <f>TEXT(orders[[#This Row],[Order Date]],"mmmm")</f>
        <v>January</v>
      </c>
      <c r="P328" t="str">
        <f>IF(orders[[#This Row],[Customer Gender]]="M","Male", IF(orders[[#This Row],[Customer Gender]]="F","Female", IF(orders[[#This Row],[Customer Gender]]= "O", "Other","Unknown")))</f>
        <v>Male</v>
      </c>
    </row>
    <row r="329" spans="1:16"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s="12" t="str">
        <f>TEXT(orders[[#This Row],[Order Date]],"mmmm")</f>
        <v>January</v>
      </c>
      <c r="P329" t="str">
        <f>IF(orders[[#This Row],[Customer Gender]]="M","Male", IF(orders[[#This Row],[Customer Gender]]="F","Female", IF(orders[[#This Row],[Customer Gender]]= "O", "Other","Unknown")))</f>
        <v>Male</v>
      </c>
    </row>
    <row r="330" spans="1:16"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s="12" t="str">
        <f>TEXT(orders[[#This Row],[Order Date]],"mmmm")</f>
        <v>January</v>
      </c>
      <c r="P330" t="str">
        <f>IF(orders[[#This Row],[Customer Gender]]="M","Male", IF(orders[[#This Row],[Customer Gender]]="F","Female", IF(orders[[#This Row],[Customer Gender]]= "O", "Other","Unknown")))</f>
        <v>Female</v>
      </c>
    </row>
    <row r="331" spans="1:16"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s="12" t="str">
        <f>TEXT(orders[[#This Row],[Order Date]],"mmmm")</f>
        <v>January</v>
      </c>
      <c r="P331" t="str">
        <f>IF(orders[[#This Row],[Customer Gender]]="M","Male", IF(orders[[#This Row],[Customer Gender]]="F","Female", IF(orders[[#This Row],[Customer Gender]]= "O", "Other","Unknown")))</f>
        <v>Female</v>
      </c>
    </row>
    <row r="332" spans="1:16"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s="12" t="str">
        <f>TEXT(orders[[#This Row],[Order Date]],"mmmm")</f>
        <v>January</v>
      </c>
      <c r="P332" t="str">
        <f>IF(orders[[#This Row],[Customer Gender]]="M","Male", IF(orders[[#This Row],[Customer Gender]]="F","Female", IF(orders[[#This Row],[Customer Gender]]= "O", "Other","Unknown")))</f>
        <v>Female</v>
      </c>
    </row>
    <row r="333" spans="1:16"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s="12" t="str">
        <f>TEXT(orders[[#This Row],[Order Date]],"mmmm")</f>
        <v>January</v>
      </c>
      <c r="P333" t="str">
        <f>IF(orders[[#This Row],[Customer Gender]]="M","Male", IF(orders[[#This Row],[Customer Gender]]="F","Female", IF(orders[[#This Row],[Customer Gender]]= "O", "Other","Unknown")))</f>
        <v>Female</v>
      </c>
    </row>
    <row r="334" spans="1:16"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s="12" t="str">
        <f>TEXT(orders[[#This Row],[Order Date]],"mmmm")</f>
        <v>January</v>
      </c>
      <c r="P334" t="str">
        <f>IF(orders[[#This Row],[Customer Gender]]="M","Male", IF(orders[[#This Row],[Customer Gender]]="F","Female", IF(orders[[#This Row],[Customer Gender]]= "O", "Other","Unknown")))</f>
        <v>Male</v>
      </c>
    </row>
    <row r="335" spans="1:16"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s="12" t="str">
        <f>TEXT(orders[[#This Row],[Order Date]],"mmmm")</f>
        <v>January</v>
      </c>
      <c r="P335" t="str">
        <f>IF(orders[[#This Row],[Customer Gender]]="M","Male", IF(orders[[#This Row],[Customer Gender]]="F","Female", IF(orders[[#This Row],[Customer Gender]]= "O", "Other","Unknown")))</f>
        <v>Female</v>
      </c>
    </row>
    <row r="336" spans="1:16"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s="12" t="str">
        <f>TEXT(orders[[#This Row],[Order Date]],"mmmm")</f>
        <v>January</v>
      </c>
      <c r="P336" t="str">
        <f>IF(orders[[#This Row],[Customer Gender]]="M","Male", IF(orders[[#This Row],[Customer Gender]]="F","Female", IF(orders[[#This Row],[Customer Gender]]= "O", "Other","Unknown")))</f>
        <v>Female</v>
      </c>
    </row>
    <row r="337" spans="1:16"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s="12" t="str">
        <f>TEXT(orders[[#This Row],[Order Date]],"mmmm")</f>
        <v>January</v>
      </c>
      <c r="P337" t="str">
        <f>IF(orders[[#This Row],[Customer Gender]]="M","Male", IF(orders[[#This Row],[Customer Gender]]="F","Female", IF(orders[[#This Row],[Customer Gender]]= "O", "Other","Unknown")))</f>
        <v>Male</v>
      </c>
    </row>
    <row r="338" spans="1:16" hidden="1"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s="12" t="str">
        <f>TEXT(orders[[#This Row],[Order Date]],"mmmm")</f>
        <v>January</v>
      </c>
      <c r="P338" t="str">
        <f>IF(orders[[#This Row],[Customer Gender]]="M","Male", IF(orders[[#This Row],[Customer Gender]]="F","Female", IF(orders[[#This Row],[Customer Gender]]= "O", "Other","Unknown")))</f>
        <v>Unknown</v>
      </c>
    </row>
    <row r="339" spans="1:16"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s="12" t="str">
        <f>TEXT(orders[[#This Row],[Order Date]],"mmmm")</f>
        <v>January</v>
      </c>
      <c r="P339" t="str">
        <f>IF(orders[[#This Row],[Customer Gender]]="M","Male", IF(orders[[#This Row],[Customer Gender]]="F","Female", IF(orders[[#This Row],[Customer Gender]]= "O", "Other","Unknown")))</f>
        <v>Female</v>
      </c>
    </row>
    <row r="340" spans="1:16"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s="12" t="str">
        <f>TEXT(orders[[#This Row],[Order Date]],"mmmm")</f>
        <v>January</v>
      </c>
      <c r="P340" t="str">
        <f>IF(orders[[#This Row],[Customer Gender]]="M","Male", IF(orders[[#This Row],[Customer Gender]]="F","Female", IF(orders[[#This Row],[Customer Gender]]= "O", "Other","Unknown")))</f>
        <v>Male</v>
      </c>
    </row>
    <row r="341" spans="1:16"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s="12" t="str">
        <f>TEXT(orders[[#This Row],[Order Date]],"mmmm")</f>
        <v>January</v>
      </c>
      <c r="P341" t="str">
        <f>IF(orders[[#This Row],[Customer Gender]]="M","Male", IF(orders[[#This Row],[Customer Gender]]="F","Female", IF(orders[[#This Row],[Customer Gender]]= "O", "Other","Unknown")))</f>
        <v>Female</v>
      </c>
    </row>
    <row r="342" spans="1:16"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s="12" t="str">
        <f>TEXT(orders[[#This Row],[Order Date]],"mmmm")</f>
        <v>January</v>
      </c>
      <c r="P342" t="str">
        <f>IF(orders[[#This Row],[Customer Gender]]="M","Male", IF(orders[[#This Row],[Customer Gender]]="F","Female", IF(orders[[#This Row],[Customer Gender]]= "O", "Other","Unknown")))</f>
        <v>Female</v>
      </c>
    </row>
    <row r="343" spans="1:16"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s="12" t="str">
        <f>TEXT(orders[[#This Row],[Order Date]],"mmmm")</f>
        <v>January</v>
      </c>
      <c r="P343" t="str">
        <f>IF(orders[[#This Row],[Customer Gender]]="M","Male", IF(orders[[#This Row],[Customer Gender]]="F","Female", IF(orders[[#This Row],[Customer Gender]]= "O", "Other","Unknown")))</f>
        <v>Male</v>
      </c>
    </row>
    <row r="344" spans="1:16"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s="12" t="str">
        <f>TEXT(orders[[#This Row],[Order Date]],"mmmm")</f>
        <v>January</v>
      </c>
      <c r="P344" t="str">
        <f>IF(orders[[#This Row],[Customer Gender]]="M","Male", IF(orders[[#This Row],[Customer Gender]]="F","Female", IF(orders[[#This Row],[Customer Gender]]= "O", "Other","Unknown")))</f>
        <v>Female</v>
      </c>
    </row>
    <row r="345" spans="1:16"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s="12" t="str">
        <f>TEXT(orders[[#This Row],[Order Date]],"mmmm")</f>
        <v>January</v>
      </c>
      <c r="P345" t="str">
        <f>IF(orders[[#This Row],[Customer Gender]]="M","Male", IF(orders[[#This Row],[Customer Gender]]="F","Female", IF(orders[[#This Row],[Customer Gender]]= "O", "Other","Unknown")))</f>
        <v>Female</v>
      </c>
    </row>
    <row r="346" spans="1:16"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s="12" t="str">
        <f>TEXT(orders[[#This Row],[Order Date]],"mmmm")</f>
        <v>January</v>
      </c>
      <c r="P346" t="str">
        <f>IF(orders[[#This Row],[Customer Gender]]="M","Male", IF(orders[[#This Row],[Customer Gender]]="F","Female", IF(orders[[#This Row],[Customer Gender]]= "O", "Other","Unknown")))</f>
        <v>Female</v>
      </c>
    </row>
    <row r="347" spans="1:16" hidden="1"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s="12" t="str">
        <f>TEXT(orders[[#This Row],[Order Date]],"mmmm")</f>
        <v>January</v>
      </c>
      <c r="P347" t="str">
        <f>IF(orders[[#This Row],[Customer Gender]]="M","Male", IF(orders[[#This Row],[Customer Gender]]="F","Female", IF(orders[[#This Row],[Customer Gender]]= "O", "Other","Unknown")))</f>
        <v>Unknown</v>
      </c>
    </row>
    <row r="348" spans="1:16"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s="12" t="str">
        <f>TEXT(orders[[#This Row],[Order Date]],"mmmm")</f>
        <v>January</v>
      </c>
      <c r="P348" t="str">
        <f>IF(orders[[#This Row],[Customer Gender]]="M","Male", IF(orders[[#This Row],[Customer Gender]]="F","Female", IF(orders[[#This Row],[Customer Gender]]= "O", "Other","Unknown")))</f>
        <v>Male</v>
      </c>
    </row>
    <row r="349" spans="1:16"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s="12" t="str">
        <f>TEXT(orders[[#This Row],[Order Date]],"mmmm")</f>
        <v>January</v>
      </c>
      <c r="P349" t="str">
        <f>IF(orders[[#This Row],[Customer Gender]]="M","Male", IF(orders[[#This Row],[Customer Gender]]="F","Female", IF(orders[[#This Row],[Customer Gender]]= "O", "Other","Unknown")))</f>
        <v>Male</v>
      </c>
    </row>
    <row r="350" spans="1:16"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s="12" t="str">
        <f>TEXT(orders[[#This Row],[Order Date]],"mmmm")</f>
        <v>January</v>
      </c>
      <c r="P350" t="str">
        <f>IF(orders[[#This Row],[Customer Gender]]="M","Male", IF(orders[[#This Row],[Customer Gender]]="F","Female", IF(orders[[#This Row],[Customer Gender]]= "O", "Other","Unknown")))</f>
        <v>Male</v>
      </c>
    </row>
    <row r="351" spans="1:16"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s="12" t="str">
        <f>TEXT(orders[[#This Row],[Order Date]],"mmmm")</f>
        <v>January</v>
      </c>
      <c r="P351" t="str">
        <f>IF(orders[[#This Row],[Customer Gender]]="M","Male", IF(orders[[#This Row],[Customer Gender]]="F","Female", IF(orders[[#This Row],[Customer Gender]]= "O", "Other","Unknown")))</f>
        <v>Female</v>
      </c>
    </row>
    <row r="352" spans="1:16"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s="12" t="str">
        <f>TEXT(orders[[#This Row],[Order Date]],"mmmm")</f>
        <v>January</v>
      </c>
      <c r="P352" t="str">
        <f>IF(orders[[#This Row],[Customer Gender]]="M","Male", IF(orders[[#This Row],[Customer Gender]]="F","Female", IF(orders[[#This Row],[Customer Gender]]= "O", "Other","Unknown")))</f>
        <v>Male</v>
      </c>
    </row>
    <row r="353" spans="1:16"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s="12" t="str">
        <f>TEXT(orders[[#This Row],[Order Date]],"mmmm")</f>
        <v>January</v>
      </c>
      <c r="P353" t="str">
        <f>IF(orders[[#This Row],[Customer Gender]]="M","Male", IF(orders[[#This Row],[Customer Gender]]="F","Female", IF(orders[[#This Row],[Customer Gender]]= "O", "Other","Unknown")))</f>
        <v>Female</v>
      </c>
    </row>
    <row r="354" spans="1:16"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s="12" t="str">
        <f>TEXT(orders[[#This Row],[Order Date]],"mmmm")</f>
        <v>January</v>
      </c>
      <c r="P354" t="str">
        <f>IF(orders[[#This Row],[Customer Gender]]="M","Male", IF(orders[[#This Row],[Customer Gender]]="F","Female", IF(orders[[#This Row],[Customer Gender]]= "O", "Other","Unknown")))</f>
        <v>Female</v>
      </c>
    </row>
    <row r="355" spans="1:16"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s="12" t="str">
        <f>TEXT(orders[[#This Row],[Order Date]],"mmmm")</f>
        <v>January</v>
      </c>
      <c r="P355" t="str">
        <f>IF(orders[[#This Row],[Customer Gender]]="M","Male", IF(orders[[#This Row],[Customer Gender]]="F","Female", IF(orders[[#This Row],[Customer Gender]]= "O", "Other","Unknown")))</f>
        <v>Male</v>
      </c>
    </row>
    <row r="356" spans="1:16"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s="12" t="str">
        <f>TEXT(orders[[#This Row],[Order Date]],"mmmm")</f>
        <v>January</v>
      </c>
      <c r="P356" t="str">
        <f>IF(orders[[#This Row],[Customer Gender]]="M","Male", IF(orders[[#This Row],[Customer Gender]]="F","Female", IF(orders[[#This Row],[Customer Gender]]= "O", "Other","Unknown")))</f>
        <v>Male</v>
      </c>
    </row>
    <row r="357" spans="1:16" hidden="1"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s="12" t="str">
        <f>TEXT(orders[[#This Row],[Order Date]],"mmmm")</f>
        <v>January</v>
      </c>
      <c r="P357" t="str">
        <f>IF(orders[[#This Row],[Customer Gender]]="M","Male", IF(orders[[#This Row],[Customer Gender]]="F","Female", IF(orders[[#This Row],[Customer Gender]]= "O", "Other","Unknown")))</f>
        <v>Unknown</v>
      </c>
    </row>
    <row r="358" spans="1:16"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s="12" t="str">
        <f>TEXT(orders[[#This Row],[Order Date]],"mmmm")</f>
        <v>January</v>
      </c>
      <c r="P358" t="str">
        <f>IF(orders[[#This Row],[Customer Gender]]="M","Male", IF(orders[[#This Row],[Customer Gender]]="F","Female", IF(orders[[#This Row],[Customer Gender]]= "O", "Other","Unknown")))</f>
        <v>Female</v>
      </c>
    </row>
    <row r="359" spans="1:16"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s="12" t="str">
        <f>TEXT(orders[[#This Row],[Order Date]],"mmmm")</f>
        <v>January</v>
      </c>
      <c r="P359" t="str">
        <f>IF(orders[[#This Row],[Customer Gender]]="M","Male", IF(orders[[#This Row],[Customer Gender]]="F","Female", IF(orders[[#This Row],[Customer Gender]]= "O", "Other","Unknown")))</f>
        <v>Female</v>
      </c>
    </row>
    <row r="360" spans="1:16"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s="12" t="str">
        <f>TEXT(orders[[#This Row],[Order Date]],"mmmm")</f>
        <v>January</v>
      </c>
      <c r="P360" t="str">
        <f>IF(orders[[#This Row],[Customer Gender]]="M","Male", IF(orders[[#This Row],[Customer Gender]]="F","Female", IF(orders[[#This Row],[Customer Gender]]= "O", "Other","Unknown")))</f>
        <v>Female</v>
      </c>
    </row>
    <row r="361" spans="1:16"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s="12" t="str">
        <f>TEXT(orders[[#This Row],[Order Date]],"mmmm")</f>
        <v>January</v>
      </c>
      <c r="P361" t="str">
        <f>IF(orders[[#This Row],[Customer Gender]]="M","Male", IF(orders[[#This Row],[Customer Gender]]="F","Female", IF(orders[[#This Row],[Customer Gender]]= "O", "Other","Unknown")))</f>
        <v>Male</v>
      </c>
    </row>
    <row r="362" spans="1:16"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s="12" t="str">
        <f>TEXT(orders[[#This Row],[Order Date]],"mmmm")</f>
        <v>January</v>
      </c>
      <c r="P362" t="str">
        <f>IF(orders[[#This Row],[Customer Gender]]="M","Male", IF(orders[[#This Row],[Customer Gender]]="F","Female", IF(orders[[#This Row],[Customer Gender]]= "O", "Other","Unknown")))</f>
        <v>Female</v>
      </c>
    </row>
    <row r="363" spans="1:16"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s="12" t="str">
        <f>TEXT(orders[[#This Row],[Order Date]],"mmmm")</f>
        <v>January</v>
      </c>
      <c r="P363" t="str">
        <f>IF(orders[[#This Row],[Customer Gender]]="M","Male", IF(orders[[#This Row],[Customer Gender]]="F","Female", IF(orders[[#This Row],[Customer Gender]]= "O", "Other","Unknown")))</f>
        <v>Other</v>
      </c>
    </row>
    <row r="364" spans="1:16"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s="12" t="str">
        <f>TEXT(orders[[#This Row],[Order Date]],"mmmm")</f>
        <v>January</v>
      </c>
      <c r="P364" t="str">
        <f>IF(orders[[#This Row],[Customer Gender]]="M","Male", IF(orders[[#This Row],[Customer Gender]]="F","Female", IF(orders[[#This Row],[Customer Gender]]= "O", "Other","Unknown")))</f>
        <v>Male</v>
      </c>
    </row>
    <row r="365" spans="1:16"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s="12" t="str">
        <f>TEXT(orders[[#This Row],[Order Date]],"mmmm")</f>
        <v>January</v>
      </c>
      <c r="P365" t="str">
        <f>IF(orders[[#This Row],[Customer Gender]]="M","Male", IF(orders[[#This Row],[Customer Gender]]="F","Female", IF(orders[[#This Row],[Customer Gender]]= "O", "Other","Unknown")))</f>
        <v>Female</v>
      </c>
    </row>
    <row r="366" spans="1:16"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s="12" t="str">
        <f>TEXT(orders[[#This Row],[Order Date]],"mmmm")</f>
        <v>January</v>
      </c>
      <c r="P366" t="str">
        <f>IF(orders[[#This Row],[Customer Gender]]="M","Male", IF(orders[[#This Row],[Customer Gender]]="F","Female", IF(orders[[#This Row],[Customer Gender]]= "O", "Other","Unknown")))</f>
        <v>Male</v>
      </c>
    </row>
    <row r="367" spans="1:16"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s="12" t="str">
        <f>TEXT(orders[[#This Row],[Order Date]],"mmmm")</f>
        <v>January</v>
      </c>
      <c r="P367" t="str">
        <f>IF(orders[[#This Row],[Customer Gender]]="M","Male", IF(orders[[#This Row],[Customer Gender]]="F","Female", IF(orders[[#This Row],[Customer Gender]]= "O", "Other","Unknown")))</f>
        <v>Female</v>
      </c>
    </row>
    <row r="368" spans="1:16" hidden="1"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s="12" t="str">
        <f>TEXT(orders[[#This Row],[Order Date]],"mmmm")</f>
        <v>January</v>
      </c>
      <c r="P368" t="str">
        <f>IF(orders[[#This Row],[Customer Gender]]="M","Male", IF(orders[[#This Row],[Customer Gender]]="F","Female", IF(orders[[#This Row],[Customer Gender]]= "O", "Other","Unknown")))</f>
        <v>Unknown</v>
      </c>
    </row>
    <row r="369" spans="1:16"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s="12" t="str">
        <f>TEXT(orders[[#This Row],[Order Date]],"mmmm")</f>
        <v>January</v>
      </c>
      <c r="P369" t="str">
        <f>IF(orders[[#This Row],[Customer Gender]]="M","Male", IF(orders[[#This Row],[Customer Gender]]="F","Female", IF(orders[[#This Row],[Customer Gender]]= "O", "Other","Unknown")))</f>
        <v>Female</v>
      </c>
    </row>
    <row r="370" spans="1:16"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s="12" t="str">
        <f>TEXT(orders[[#This Row],[Order Date]],"mmmm")</f>
        <v>January</v>
      </c>
      <c r="P370" t="str">
        <f>IF(orders[[#This Row],[Customer Gender]]="M","Male", IF(orders[[#This Row],[Customer Gender]]="F","Female", IF(orders[[#This Row],[Customer Gender]]= "O", "Other","Unknown")))</f>
        <v>Male</v>
      </c>
    </row>
    <row r="371" spans="1:16"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s="12" t="str">
        <f>TEXT(orders[[#This Row],[Order Date]],"mmmm")</f>
        <v>January</v>
      </c>
      <c r="P371" t="str">
        <f>IF(orders[[#This Row],[Customer Gender]]="M","Male", IF(orders[[#This Row],[Customer Gender]]="F","Female", IF(orders[[#This Row],[Customer Gender]]= "O", "Other","Unknown")))</f>
        <v>Female</v>
      </c>
    </row>
    <row r="372" spans="1:16"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s="12" t="str">
        <f>TEXT(orders[[#This Row],[Order Date]],"mmmm")</f>
        <v>January</v>
      </c>
      <c r="P372" t="str">
        <f>IF(orders[[#This Row],[Customer Gender]]="M","Male", IF(orders[[#This Row],[Customer Gender]]="F","Female", IF(orders[[#This Row],[Customer Gender]]= "O", "Other","Unknown")))</f>
        <v>Female</v>
      </c>
    </row>
    <row r="373" spans="1:16"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s="12" t="str">
        <f>TEXT(orders[[#This Row],[Order Date]],"mmmm")</f>
        <v>January</v>
      </c>
      <c r="P373" t="str">
        <f>IF(orders[[#This Row],[Customer Gender]]="M","Male", IF(orders[[#This Row],[Customer Gender]]="F","Female", IF(orders[[#This Row],[Customer Gender]]= "O", "Other","Unknown")))</f>
        <v>Male</v>
      </c>
    </row>
    <row r="374" spans="1:16"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s="12" t="str">
        <f>TEXT(orders[[#This Row],[Order Date]],"mmmm")</f>
        <v>January</v>
      </c>
      <c r="P374" t="str">
        <f>IF(orders[[#This Row],[Customer Gender]]="M","Male", IF(orders[[#This Row],[Customer Gender]]="F","Female", IF(orders[[#This Row],[Customer Gender]]= "O", "Other","Unknown")))</f>
        <v>Male</v>
      </c>
    </row>
    <row r="375" spans="1:16" hidden="1"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s="12" t="str">
        <f>TEXT(orders[[#This Row],[Order Date]],"mmmm")</f>
        <v>January</v>
      </c>
      <c r="P375" t="str">
        <f>IF(orders[[#This Row],[Customer Gender]]="M","Male", IF(orders[[#This Row],[Customer Gender]]="F","Female", IF(orders[[#This Row],[Customer Gender]]= "O", "Other","Unknown")))</f>
        <v>Unknown</v>
      </c>
    </row>
    <row r="376" spans="1:16"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s="12" t="str">
        <f>TEXT(orders[[#This Row],[Order Date]],"mmmm")</f>
        <v>January</v>
      </c>
      <c r="P376" t="str">
        <f>IF(orders[[#This Row],[Customer Gender]]="M","Male", IF(orders[[#This Row],[Customer Gender]]="F","Female", IF(orders[[#This Row],[Customer Gender]]= "O", "Other","Unknown")))</f>
        <v>Male</v>
      </c>
    </row>
    <row r="377" spans="1:16"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s="12" t="str">
        <f>TEXT(orders[[#This Row],[Order Date]],"mmmm")</f>
        <v>January</v>
      </c>
      <c r="P377" t="str">
        <f>IF(orders[[#This Row],[Customer Gender]]="M","Male", IF(orders[[#This Row],[Customer Gender]]="F","Female", IF(orders[[#This Row],[Customer Gender]]= "O", "Other","Unknown")))</f>
        <v>Female</v>
      </c>
    </row>
    <row r="378" spans="1:16"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s="12" t="str">
        <f>TEXT(orders[[#This Row],[Order Date]],"mmmm")</f>
        <v>January</v>
      </c>
      <c r="P378" t="str">
        <f>IF(orders[[#This Row],[Customer Gender]]="M","Male", IF(orders[[#This Row],[Customer Gender]]="F","Female", IF(orders[[#This Row],[Customer Gender]]= "O", "Other","Unknown")))</f>
        <v>Other</v>
      </c>
    </row>
    <row r="379" spans="1:16"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s="12" t="str">
        <f>TEXT(orders[[#This Row],[Order Date]],"mmmm")</f>
        <v>January</v>
      </c>
      <c r="P379" t="str">
        <f>IF(orders[[#This Row],[Customer Gender]]="M","Male", IF(orders[[#This Row],[Customer Gender]]="F","Female", IF(orders[[#This Row],[Customer Gender]]= "O", "Other","Unknown")))</f>
        <v>Female</v>
      </c>
    </row>
    <row r="380" spans="1:16"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s="12" t="str">
        <f>TEXT(orders[[#This Row],[Order Date]],"mmmm")</f>
        <v>January</v>
      </c>
      <c r="P380" t="str">
        <f>IF(orders[[#This Row],[Customer Gender]]="M","Male", IF(orders[[#This Row],[Customer Gender]]="F","Female", IF(orders[[#This Row],[Customer Gender]]= "O", "Other","Unknown")))</f>
        <v>Female</v>
      </c>
    </row>
    <row r="381" spans="1:16"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s="12" t="str">
        <f>TEXT(orders[[#This Row],[Order Date]],"mmmm")</f>
        <v>January</v>
      </c>
      <c r="P381" t="str">
        <f>IF(orders[[#This Row],[Customer Gender]]="M","Male", IF(orders[[#This Row],[Customer Gender]]="F","Female", IF(orders[[#This Row],[Customer Gender]]= "O", "Other","Unknown")))</f>
        <v>Female</v>
      </c>
    </row>
    <row r="382" spans="1:16"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s="12" t="str">
        <f>TEXT(orders[[#This Row],[Order Date]],"mmmm")</f>
        <v>January</v>
      </c>
      <c r="P382" t="str">
        <f>IF(orders[[#This Row],[Customer Gender]]="M","Male", IF(orders[[#This Row],[Customer Gender]]="F","Female", IF(orders[[#This Row],[Customer Gender]]= "O", "Other","Unknown")))</f>
        <v>Male</v>
      </c>
    </row>
    <row r="383" spans="1:16"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s="12" t="str">
        <f>TEXT(orders[[#This Row],[Order Date]],"mmmm")</f>
        <v>January</v>
      </c>
      <c r="P383" t="str">
        <f>IF(orders[[#This Row],[Customer Gender]]="M","Male", IF(orders[[#This Row],[Customer Gender]]="F","Female", IF(orders[[#This Row],[Customer Gender]]= "O", "Other","Unknown")))</f>
        <v>Other</v>
      </c>
    </row>
    <row r="384" spans="1:16"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s="12" t="str">
        <f>TEXT(orders[[#This Row],[Order Date]],"mmmm")</f>
        <v>January</v>
      </c>
      <c r="P384" t="str">
        <f>IF(orders[[#This Row],[Customer Gender]]="M","Male", IF(orders[[#This Row],[Customer Gender]]="F","Female", IF(orders[[#This Row],[Customer Gender]]= "O", "Other","Unknown")))</f>
        <v>Male</v>
      </c>
    </row>
    <row r="385" spans="1:16"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s="12" t="str">
        <f>TEXT(orders[[#This Row],[Order Date]],"mmmm")</f>
        <v>January</v>
      </c>
      <c r="P385" t="str">
        <f>IF(orders[[#This Row],[Customer Gender]]="M","Male", IF(orders[[#This Row],[Customer Gender]]="F","Female", IF(orders[[#This Row],[Customer Gender]]= "O", "Other","Unknown")))</f>
        <v>Female</v>
      </c>
    </row>
    <row r="386" spans="1:16"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s="12" t="str">
        <f>TEXT(orders[[#This Row],[Order Date]],"mmmm")</f>
        <v>January</v>
      </c>
      <c r="P386" t="str">
        <f>IF(orders[[#This Row],[Customer Gender]]="M","Male", IF(orders[[#This Row],[Customer Gender]]="F","Female", IF(orders[[#This Row],[Customer Gender]]= "O", "Other","Unknown")))</f>
        <v>Female</v>
      </c>
    </row>
    <row r="387" spans="1:16" hidden="1"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s="12" t="str">
        <f>TEXT(orders[[#This Row],[Order Date]],"mmmm")</f>
        <v>January</v>
      </c>
      <c r="P387" t="str">
        <f>IF(orders[[#This Row],[Customer Gender]]="M","Male", IF(orders[[#This Row],[Customer Gender]]="F","Female", IF(orders[[#This Row],[Customer Gender]]= "O", "Other","Unknown")))</f>
        <v>Unknown</v>
      </c>
    </row>
    <row r="388" spans="1:16"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s="12" t="str">
        <f>TEXT(orders[[#This Row],[Order Date]],"mmmm")</f>
        <v>January</v>
      </c>
      <c r="P388" t="str">
        <f>IF(orders[[#This Row],[Customer Gender]]="M","Male", IF(orders[[#This Row],[Customer Gender]]="F","Female", IF(orders[[#This Row],[Customer Gender]]= "O", "Other","Unknown")))</f>
        <v>Male</v>
      </c>
    </row>
    <row r="389" spans="1:16"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s="12" t="str">
        <f>TEXT(orders[[#This Row],[Order Date]],"mmmm")</f>
        <v>January</v>
      </c>
      <c r="P389" t="str">
        <f>IF(orders[[#This Row],[Customer Gender]]="M","Male", IF(orders[[#This Row],[Customer Gender]]="F","Female", IF(orders[[#This Row],[Customer Gender]]= "O", "Other","Unknown")))</f>
        <v>Male</v>
      </c>
    </row>
    <row r="390" spans="1:16"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s="12" t="str">
        <f>TEXT(orders[[#This Row],[Order Date]],"mmmm")</f>
        <v>January</v>
      </c>
      <c r="P390" t="str">
        <f>IF(orders[[#This Row],[Customer Gender]]="M","Male", IF(orders[[#This Row],[Customer Gender]]="F","Female", IF(orders[[#This Row],[Customer Gender]]= "O", "Other","Unknown")))</f>
        <v>Female</v>
      </c>
    </row>
    <row r="391" spans="1:16"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s="12" t="str">
        <f>TEXT(orders[[#This Row],[Order Date]],"mmmm")</f>
        <v>January</v>
      </c>
      <c r="P391" t="str">
        <f>IF(orders[[#This Row],[Customer Gender]]="M","Male", IF(orders[[#This Row],[Customer Gender]]="F","Female", IF(orders[[#This Row],[Customer Gender]]= "O", "Other","Unknown")))</f>
        <v>Male</v>
      </c>
    </row>
    <row r="392" spans="1:16"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s="12" t="str">
        <f>TEXT(orders[[#This Row],[Order Date]],"mmmm")</f>
        <v>January</v>
      </c>
      <c r="P392" t="str">
        <f>IF(orders[[#This Row],[Customer Gender]]="M","Male", IF(orders[[#This Row],[Customer Gender]]="F","Female", IF(orders[[#This Row],[Customer Gender]]= "O", "Other","Unknown")))</f>
        <v>Female</v>
      </c>
    </row>
    <row r="393" spans="1:16"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s="12" t="str">
        <f>TEXT(orders[[#This Row],[Order Date]],"mmmm")</f>
        <v>January</v>
      </c>
      <c r="P393" t="str">
        <f>IF(orders[[#This Row],[Customer Gender]]="M","Male", IF(orders[[#This Row],[Customer Gender]]="F","Female", IF(orders[[#This Row],[Customer Gender]]= "O", "Other","Unknown")))</f>
        <v>Male</v>
      </c>
    </row>
    <row r="394" spans="1:16"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s="12" t="str">
        <f>TEXT(orders[[#This Row],[Order Date]],"mmmm")</f>
        <v>January</v>
      </c>
      <c r="P394" t="str">
        <f>IF(orders[[#This Row],[Customer Gender]]="M","Male", IF(orders[[#This Row],[Customer Gender]]="F","Female", IF(orders[[#This Row],[Customer Gender]]= "O", "Other","Unknown")))</f>
        <v>Female</v>
      </c>
    </row>
    <row r="395" spans="1:16"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s="12" t="str">
        <f>TEXT(orders[[#This Row],[Order Date]],"mmmm")</f>
        <v>January</v>
      </c>
      <c r="P395" t="str">
        <f>IF(orders[[#This Row],[Customer Gender]]="M","Male", IF(orders[[#This Row],[Customer Gender]]="F","Female", IF(orders[[#This Row],[Customer Gender]]= "O", "Other","Unknown")))</f>
        <v>Male</v>
      </c>
    </row>
    <row r="396" spans="1:16"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s="12" t="str">
        <f>TEXT(orders[[#This Row],[Order Date]],"mmmm")</f>
        <v>January</v>
      </c>
      <c r="P396" t="str">
        <f>IF(orders[[#This Row],[Customer Gender]]="M","Male", IF(orders[[#This Row],[Customer Gender]]="F","Female", IF(orders[[#This Row],[Customer Gender]]= "O", "Other","Unknown")))</f>
        <v>Male</v>
      </c>
    </row>
    <row r="397" spans="1:16"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s="12" t="str">
        <f>TEXT(orders[[#This Row],[Order Date]],"mmmm")</f>
        <v>January</v>
      </c>
      <c r="P397" t="str">
        <f>IF(orders[[#This Row],[Customer Gender]]="M","Male", IF(orders[[#This Row],[Customer Gender]]="F","Female", IF(orders[[#This Row],[Customer Gender]]= "O", "Other","Unknown")))</f>
        <v>Other</v>
      </c>
    </row>
    <row r="398" spans="1:16"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s="12" t="str">
        <f>TEXT(orders[[#This Row],[Order Date]],"mmmm")</f>
        <v>January</v>
      </c>
      <c r="P398" t="str">
        <f>IF(orders[[#This Row],[Customer Gender]]="M","Male", IF(orders[[#This Row],[Customer Gender]]="F","Female", IF(orders[[#This Row],[Customer Gender]]= "O", "Other","Unknown")))</f>
        <v>Male</v>
      </c>
    </row>
    <row r="399" spans="1:16"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s="12" t="str">
        <f>TEXT(orders[[#This Row],[Order Date]],"mmmm")</f>
        <v>January</v>
      </c>
      <c r="P399" t="str">
        <f>IF(orders[[#This Row],[Customer Gender]]="M","Male", IF(orders[[#This Row],[Customer Gender]]="F","Female", IF(orders[[#This Row],[Customer Gender]]= "O", "Other","Unknown")))</f>
        <v>Female</v>
      </c>
    </row>
    <row r="400" spans="1:16"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s="12" t="str">
        <f>TEXT(orders[[#This Row],[Order Date]],"mmmm")</f>
        <v>January</v>
      </c>
      <c r="P400" t="str">
        <f>IF(orders[[#This Row],[Customer Gender]]="M","Male", IF(orders[[#This Row],[Customer Gender]]="F","Female", IF(orders[[#This Row],[Customer Gender]]= "O", "Other","Unknown")))</f>
        <v>Male</v>
      </c>
    </row>
    <row r="401" spans="1:16"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s="12" t="str">
        <f>TEXT(orders[[#This Row],[Order Date]],"mmmm")</f>
        <v>January</v>
      </c>
      <c r="P401" t="str">
        <f>IF(orders[[#This Row],[Customer Gender]]="M","Male", IF(orders[[#This Row],[Customer Gender]]="F","Female", IF(orders[[#This Row],[Customer Gender]]= "O", "Other","Unknown")))</f>
        <v>Male</v>
      </c>
    </row>
    <row r="402" spans="1:16"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s="12" t="str">
        <f>TEXT(orders[[#This Row],[Order Date]],"mmmm")</f>
        <v>January</v>
      </c>
      <c r="P402" t="str">
        <f>IF(orders[[#This Row],[Customer Gender]]="M","Male", IF(orders[[#This Row],[Customer Gender]]="F","Female", IF(orders[[#This Row],[Customer Gender]]= "O", "Other","Unknown")))</f>
        <v>Male</v>
      </c>
    </row>
    <row r="403" spans="1:16"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s="12" t="str">
        <f>TEXT(orders[[#This Row],[Order Date]],"mmmm")</f>
        <v>January</v>
      </c>
      <c r="P403" t="str">
        <f>IF(orders[[#This Row],[Customer Gender]]="M","Male", IF(orders[[#This Row],[Customer Gender]]="F","Female", IF(orders[[#This Row],[Customer Gender]]= "O", "Other","Unknown")))</f>
        <v>Female</v>
      </c>
    </row>
    <row r="404" spans="1:16"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s="12" t="str">
        <f>TEXT(orders[[#This Row],[Order Date]],"mmmm")</f>
        <v>January</v>
      </c>
      <c r="P404" t="str">
        <f>IF(orders[[#This Row],[Customer Gender]]="M","Male", IF(orders[[#This Row],[Customer Gender]]="F","Female", IF(orders[[#This Row],[Customer Gender]]= "O", "Other","Unknown")))</f>
        <v>Female</v>
      </c>
    </row>
    <row r="405" spans="1:16"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s="12" t="str">
        <f>TEXT(orders[[#This Row],[Order Date]],"mmmm")</f>
        <v>January</v>
      </c>
      <c r="P405" t="str">
        <f>IF(orders[[#This Row],[Customer Gender]]="M","Male", IF(orders[[#This Row],[Customer Gender]]="F","Female", IF(orders[[#This Row],[Customer Gender]]= "O", "Other","Unknown")))</f>
        <v>Other</v>
      </c>
    </row>
    <row r="406" spans="1:16"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s="12" t="str">
        <f>TEXT(orders[[#This Row],[Order Date]],"mmmm")</f>
        <v>January</v>
      </c>
      <c r="P406" t="str">
        <f>IF(orders[[#This Row],[Customer Gender]]="M","Male", IF(orders[[#This Row],[Customer Gender]]="F","Female", IF(orders[[#This Row],[Customer Gender]]= "O", "Other","Unknown")))</f>
        <v>Female</v>
      </c>
    </row>
    <row r="407" spans="1:16"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s="12" t="str">
        <f>TEXT(orders[[#This Row],[Order Date]],"mmmm")</f>
        <v>January</v>
      </c>
      <c r="P407" t="str">
        <f>IF(orders[[#This Row],[Customer Gender]]="M","Male", IF(orders[[#This Row],[Customer Gender]]="F","Female", IF(orders[[#This Row],[Customer Gender]]= "O", "Other","Unknown")))</f>
        <v>Female</v>
      </c>
    </row>
    <row r="408" spans="1:16"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s="12" t="str">
        <f>TEXT(orders[[#This Row],[Order Date]],"mmmm")</f>
        <v>January</v>
      </c>
      <c r="P408" t="str">
        <f>IF(orders[[#This Row],[Customer Gender]]="M","Male", IF(orders[[#This Row],[Customer Gender]]="F","Female", IF(orders[[#This Row],[Customer Gender]]= "O", "Other","Unknown")))</f>
        <v>Female</v>
      </c>
    </row>
    <row r="409" spans="1:16"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s="12" t="str">
        <f>TEXT(orders[[#This Row],[Order Date]],"mmmm")</f>
        <v>January</v>
      </c>
      <c r="P409" t="str">
        <f>IF(orders[[#This Row],[Customer Gender]]="M","Male", IF(orders[[#This Row],[Customer Gender]]="F","Female", IF(orders[[#This Row],[Customer Gender]]= "O", "Other","Unknown")))</f>
        <v>Male</v>
      </c>
    </row>
    <row r="410" spans="1:16"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s="12" t="str">
        <f>TEXT(orders[[#This Row],[Order Date]],"mmmm")</f>
        <v>January</v>
      </c>
      <c r="P410" t="str">
        <f>IF(orders[[#This Row],[Customer Gender]]="M","Male", IF(orders[[#This Row],[Customer Gender]]="F","Female", IF(orders[[#This Row],[Customer Gender]]= "O", "Other","Unknown")))</f>
        <v>Male</v>
      </c>
    </row>
    <row r="411" spans="1:16"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s="12" t="str">
        <f>TEXT(orders[[#This Row],[Order Date]],"mmmm")</f>
        <v>January</v>
      </c>
      <c r="P411" t="str">
        <f>IF(orders[[#This Row],[Customer Gender]]="M","Male", IF(orders[[#This Row],[Customer Gender]]="F","Female", IF(orders[[#This Row],[Customer Gender]]= "O", "Other","Unknown")))</f>
        <v>Male</v>
      </c>
    </row>
    <row r="412" spans="1:16"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s="12" t="str">
        <f>TEXT(orders[[#This Row],[Order Date]],"mmmm")</f>
        <v>January</v>
      </c>
      <c r="P412" t="str">
        <f>IF(orders[[#This Row],[Customer Gender]]="M","Male", IF(orders[[#This Row],[Customer Gender]]="F","Female", IF(orders[[#This Row],[Customer Gender]]= "O", "Other","Unknown")))</f>
        <v>Female</v>
      </c>
    </row>
    <row r="413" spans="1:16"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s="12" t="str">
        <f>TEXT(orders[[#This Row],[Order Date]],"mmmm")</f>
        <v>January</v>
      </c>
      <c r="P413" t="str">
        <f>IF(orders[[#This Row],[Customer Gender]]="M","Male", IF(orders[[#This Row],[Customer Gender]]="F","Female", IF(orders[[#This Row],[Customer Gender]]= "O", "Other","Unknown")))</f>
        <v>Male</v>
      </c>
    </row>
    <row r="414" spans="1:16"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s="12" t="str">
        <f>TEXT(orders[[#This Row],[Order Date]],"mmmm")</f>
        <v>January</v>
      </c>
      <c r="P414" t="str">
        <f>IF(orders[[#This Row],[Customer Gender]]="M","Male", IF(orders[[#This Row],[Customer Gender]]="F","Female", IF(orders[[#This Row],[Customer Gender]]= "O", "Other","Unknown")))</f>
        <v>Male</v>
      </c>
    </row>
    <row r="415" spans="1:16"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s="12" t="str">
        <f>TEXT(orders[[#This Row],[Order Date]],"mmmm")</f>
        <v>January</v>
      </c>
      <c r="P415" t="str">
        <f>IF(orders[[#This Row],[Customer Gender]]="M","Male", IF(orders[[#This Row],[Customer Gender]]="F","Female", IF(orders[[#This Row],[Customer Gender]]= "O", "Other","Unknown")))</f>
        <v>Female</v>
      </c>
    </row>
    <row r="416" spans="1:16" hidden="1"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s="12" t="str">
        <f>TEXT(orders[[#This Row],[Order Date]],"mmmm")</f>
        <v>January</v>
      </c>
      <c r="P416" t="str">
        <f>IF(orders[[#This Row],[Customer Gender]]="M","Male", IF(orders[[#This Row],[Customer Gender]]="F","Female", IF(orders[[#This Row],[Customer Gender]]= "O", "Other","Unknown")))</f>
        <v>Unknown</v>
      </c>
    </row>
    <row r="417" spans="1:16"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s="12" t="str">
        <f>TEXT(orders[[#This Row],[Order Date]],"mmmm")</f>
        <v>January</v>
      </c>
      <c r="P417" t="str">
        <f>IF(orders[[#This Row],[Customer Gender]]="M","Male", IF(orders[[#This Row],[Customer Gender]]="F","Female", IF(orders[[#This Row],[Customer Gender]]= "O", "Other","Unknown")))</f>
        <v>Female</v>
      </c>
    </row>
    <row r="418" spans="1:16"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s="12" t="str">
        <f>TEXT(orders[[#This Row],[Order Date]],"mmmm")</f>
        <v>January</v>
      </c>
      <c r="P418" t="str">
        <f>IF(orders[[#This Row],[Customer Gender]]="M","Male", IF(orders[[#This Row],[Customer Gender]]="F","Female", IF(orders[[#This Row],[Customer Gender]]= "O", "Other","Unknown")))</f>
        <v>Other</v>
      </c>
    </row>
    <row r="419" spans="1:16"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s="12" t="str">
        <f>TEXT(orders[[#This Row],[Order Date]],"mmmm")</f>
        <v>January</v>
      </c>
      <c r="P419" t="str">
        <f>IF(orders[[#This Row],[Customer Gender]]="M","Male", IF(orders[[#This Row],[Customer Gender]]="F","Female", IF(orders[[#This Row],[Customer Gender]]= "O", "Other","Unknown")))</f>
        <v>Male</v>
      </c>
    </row>
    <row r="420" spans="1:16"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s="12" t="str">
        <f>TEXT(orders[[#This Row],[Order Date]],"mmmm")</f>
        <v>January</v>
      </c>
      <c r="P420" t="str">
        <f>IF(orders[[#This Row],[Customer Gender]]="M","Male", IF(orders[[#This Row],[Customer Gender]]="F","Female", IF(orders[[#This Row],[Customer Gender]]= "O", "Other","Unknown")))</f>
        <v>Female</v>
      </c>
    </row>
    <row r="421" spans="1:16"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s="12" t="str">
        <f>TEXT(orders[[#This Row],[Order Date]],"mmmm")</f>
        <v>January</v>
      </c>
      <c r="P421" t="str">
        <f>IF(orders[[#This Row],[Customer Gender]]="M","Male", IF(orders[[#This Row],[Customer Gender]]="F","Female", IF(orders[[#This Row],[Customer Gender]]= "O", "Other","Unknown")))</f>
        <v>Male</v>
      </c>
    </row>
    <row r="422" spans="1:16"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s="12" t="str">
        <f>TEXT(orders[[#This Row],[Order Date]],"mmmm")</f>
        <v>January</v>
      </c>
      <c r="P422" t="str">
        <f>IF(orders[[#This Row],[Customer Gender]]="M","Male", IF(orders[[#This Row],[Customer Gender]]="F","Female", IF(orders[[#This Row],[Customer Gender]]= "O", "Other","Unknown")))</f>
        <v>Male</v>
      </c>
    </row>
    <row r="423" spans="1:16"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s="12" t="str">
        <f>TEXT(orders[[#This Row],[Order Date]],"mmmm")</f>
        <v>January</v>
      </c>
      <c r="P423" t="str">
        <f>IF(orders[[#This Row],[Customer Gender]]="M","Male", IF(orders[[#This Row],[Customer Gender]]="F","Female", IF(orders[[#This Row],[Customer Gender]]= "O", "Other","Unknown")))</f>
        <v>Female</v>
      </c>
    </row>
    <row r="424" spans="1:16"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s="12" t="str">
        <f>TEXT(orders[[#This Row],[Order Date]],"mmmm")</f>
        <v>January</v>
      </c>
      <c r="P424" t="str">
        <f>IF(orders[[#This Row],[Customer Gender]]="M","Male", IF(orders[[#This Row],[Customer Gender]]="F","Female", IF(orders[[#This Row],[Customer Gender]]= "O", "Other","Unknown")))</f>
        <v>Male</v>
      </c>
    </row>
    <row r="425" spans="1:16"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s="12" t="str">
        <f>TEXT(orders[[#This Row],[Order Date]],"mmmm")</f>
        <v>January</v>
      </c>
      <c r="P425" t="str">
        <f>IF(orders[[#This Row],[Customer Gender]]="M","Male", IF(orders[[#This Row],[Customer Gender]]="F","Female", IF(orders[[#This Row],[Customer Gender]]= "O", "Other","Unknown")))</f>
        <v>Other</v>
      </c>
    </row>
    <row r="426" spans="1:16"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s="12" t="str">
        <f>TEXT(orders[[#This Row],[Order Date]],"mmmm")</f>
        <v>January</v>
      </c>
      <c r="P426" t="str">
        <f>IF(orders[[#This Row],[Customer Gender]]="M","Male", IF(orders[[#This Row],[Customer Gender]]="F","Female", IF(orders[[#This Row],[Customer Gender]]= "O", "Other","Unknown")))</f>
        <v>Female</v>
      </c>
    </row>
    <row r="427" spans="1:16"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s="12" t="str">
        <f>TEXT(orders[[#This Row],[Order Date]],"mmmm")</f>
        <v>January</v>
      </c>
      <c r="P427" t="str">
        <f>IF(orders[[#This Row],[Customer Gender]]="M","Male", IF(orders[[#This Row],[Customer Gender]]="F","Female", IF(orders[[#This Row],[Customer Gender]]= "O", "Other","Unknown")))</f>
        <v>Female</v>
      </c>
    </row>
    <row r="428" spans="1:16"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s="12" t="str">
        <f>TEXT(orders[[#This Row],[Order Date]],"mmmm")</f>
        <v>January</v>
      </c>
      <c r="P428" t="str">
        <f>IF(orders[[#This Row],[Customer Gender]]="M","Male", IF(orders[[#This Row],[Customer Gender]]="F","Female", IF(orders[[#This Row],[Customer Gender]]= "O", "Other","Unknown")))</f>
        <v>Female</v>
      </c>
    </row>
    <row r="429" spans="1:16"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s="12" t="str">
        <f>TEXT(orders[[#This Row],[Order Date]],"mmmm")</f>
        <v>January</v>
      </c>
      <c r="P429" t="str">
        <f>IF(orders[[#This Row],[Customer Gender]]="M","Male", IF(orders[[#This Row],[Customer Gender]]="F","Female", IF(orders[[#This Row],[Customer Gender]]= "O", "Other","Unknown")))</f>
        <v>Male</v>
      </c>
    </row>
    <row r="430" spans="1:16"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s="12" t="str">
        <f>TEXT(orders[[#This Row],[Order Date]],"mmmm")</f>
        <v>January</v>
      </c>
      <c r="P430" t="str">
        <f>IF(orders[[#This Row],[Customer Gender]]="M","Male", IF(orders[[#This Row],[Customer Gender]]="F","Female", IF(orders[[#This Row],[Customer Gender]]= "O", "Other","Unknown")))</f>
        <v>Female</v>
      </c>
    </row>
    <row r="431" spans="1:16"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s="12" t="str">
        <f>TEXT(orders[[#This Row],[Order Date]],"mmmm")</f>
        <v>January</v>
      </c>
      <c r="P431" t="str">
        <f>IF(orders[[#This Row],[Customer Gender]]="M","Male", IF(orders[[#This Row],[Customer Gender]]="F","Female", IF(orders[[#This Row],[Customer Gender]]= "O", "Other","Unknown")))</f>
        <v>Female</v>
      </c>
    </row>
    <row r="432" spans="1:16"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s="12" t="str">
        <f>TEXT(orders[[#This Row],[Order Date]],"mmmm")</f>
        <v>January</v>
      </c>
      <c r="P432" t="str">
        <f>IF(orders[[#This Row],[Customer Gender]]="M","Male", IF(orders[[#This Row],[Customer Gender]]="F","Female", IF(orders[[#This Row],[Customer Gender]]= "O", "Other","Unknown")))</f>
        <v>Female</v>
      </c>
    </row>
    <row r="433" spans="1:16"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s="12" t="str">
        <f>TEXT(orders[[#This Row],[Order Date]],"mmmm")</f>
        <v>January</v>
      </c>
      <c r="P433" t="str">
        <f>IF(orders[[#This Row],[Customer Gender]]="M","Male", IF(orders[[#This Row],[Customer Gender]]="F","Female", IF(orders[[#This Row],[Customer Gender]]= "O", "Other","Unknown")))</f>
        <v>Female</v>
      </c>
    </row>
    <row r="434" spans="1:16"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s="12" t="str">
        <f>TEXT(orders[[#This Row],[Order Date]],"mmmm")</f>
        <v>January</v>
      </c>
      <c r="P434" t="str">
        <f>IF(orders[[#This Row],[Customer Gender]]="M","Male", IF(orders[[#This Row],[Customer Gender]]="F","Female", IF(orders[[#This Row],[Customer Gender]]= "O", "Other","Unknown")))</f>
        <v>Female</v>
      </c>
    </row>
    <row r="435" spans="1:16"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s="12" t="str">
        <f>TEXT(orders[[#This Row],[Order Date]],"mmmm")</f>
        <v>January</v>
      </c>
      <c r="P435" t="str">
        <f>IF(orders[[#This Row],[Customer Gender]]="M","Male", IF(orders[[#This Row],[Customer Gender]]="F","Female", IF(orders[[#This Row],[Customer Gender]]= "O", "Other","Unknown")))</f>
        <v>Male</v>
      </c>
    </row>
    <row r="436" spans="1:16"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s="12" t="str">
        <f>TEXT(orders[[#This Row],[Order Date]],"mmmm")</f>
        <v>January</v>
      </c>
      <c r="P436" t="str">
        <f>IF(orders[[#This Row],[Customer Gender]]="M","Male", IF(orders[[#This Row],[Customer Gender]]="F","Female", IF(orders[[#This Row],[Customer Gender]]= "O", "Other","Unknown")))</f>
        <v>Female</v>
      </c>
    </row>
    <row r="437" spans="1:16"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s="12" t="str">
        <f>TEXT(orders[[#This Row],[Order Date]],"mmmm")</f>
        <v>January</v>
      </c>
      <c r="P437" t="str">
        <f>IF(orders[[#This Row],[Customer Gender]]="M","Male", IF(orders[[#This Row],[Customer Gender]]="F","Female", IF(orders[[#This Row],[Customer Gender]]= "O", "Other","Unknown")))</f>
        <v>Male</v>
      </c>
    </row>
    <row r="438" spans="1:16"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s="12" t="str">
        <f>TEXT(orders[[#This Row],[Order Date]],"mmmm")</f>
        <v>January</v>
      </c>
      <c r="P438" t="str">
        <f>IF(orders[[#This Row],[Customer Gender]]="M","Male", IF(orders[[#This Row],[Customer Gender]]="F","Female", IF(orders[[#This Row],[Customer Gender]]= "O", "Other","Unknown")))</f>
        <v>Female</v>
      </c>
    </row>
    <row r="439" spans="1:16"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s="12" t="str">
        <f>TEXT(orders[[#This Row],[Order Date]],"mmmm")</f>
        <v>January</v>
      </c>
      <c r="P439" t="str">
        <f>IF(orders[[#This Row],[Customer Gender]]="M","Male", IF(orders[[#This Row],[Customer Gender]]="F","Female", IF(orders[[#This Row],[Customer Gender]]= "O", "Other","Unknown")))</f>
        <v>Male</v>
      </c>
    </row>
    <row r="440" spans="1:16"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s="12" t="str">
        <f>TEXT(orders[[#This Row],[Order Date]],"mmmm")</f>
        <v>January</v>
      </c>
      <c r="P440" t="str">
        <f>IF(orders[[#This Row],[Customer Gender]]="M","Male", IF(orders[[#This Row],[Customer Gender]]="F","Female", IF(orders[[#This Row],[Customer Gender]]= "O", "Other","Unknown")))</f>
        <v>Female</v>
      </c>
    </row>
    <row r="441" spans="1:16"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s="12" t="str">
        <f>TEXT(orders[[#This Row],[Order Date]],"mmmm")</f>
        <v>January</v>
      </c>
      <c r="P441" t="str">
        <f>IF(orders[[#This Row],[Customer Gender]]="M","Male", IF(orders[[#This Row],[Customer Gender]]="F","Female", IF(orders[[#This Row],[Customer Gender]]= "O", "Other","Unknown")))</f>
        <v>Female</v>
      </c>
    </row>
    <row r="442" spans="1:16"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s="12" t="str">
        <f>TEXT(orders[[#This Row],[Order Date]],"mmmm")</f>
        <v>January</v>
      </c>
      <c r="P442" t="str">
        <f>IF(orders[[#This Row],[Customer Gender]]="M","Male", IF(orders[[#This Row],[Customer Gender]]="F","Female", IF(orders[[#This Row],[Customer Gender]]= "O", "Other","Unknown")))</f>
        <v>Male</v>
      </c>
    </row>
    <row r="443" spans="1:16"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s="12" t="str">
        <f>TEXT(orders[[#This Row],[Order Date]],"mmmm")</f>
        <v>January</v>
      </c>
      <c r="P443" t="str">
        <f>IF(orders[[#This Row],[Customer Gender]]="M","Male", IF(orders[[#This Row],[Customer Gender]]="F","Female", IF(orders[[#This Row],[Customer Gender]]= "O", "Other","Unknown")))</f>
        <v>Female</v>
      </c>
    </row>
    <row r="444" spans="1:16"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s="12" t="str">
        <f>TEXT(orders[[#This Row],[Order Date]],"mmmm")</f>
        <v>January</v>
      </c>
      <c r="P444" t="str">
        <f>IF(orders[[#This Row],[Customer Gender]]="M","Male", IF(orders[[#This Row],[Customer Gender]]="F","Female", IF(orders[[#This Row],[Customer Gender]]= "O", "Other","Unknown")))</f>
        <v>Other</v>
      </c>
    </row>
    <row r="445" spans="1:16"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s="12" t="str">
        <f>TEXT(orders[[#This Row],[Order Date]],"mmmm")</f>
        <v>January</v>
      </c>
      <c r="P445" t="str">
        <f>IF(orders[[#This Row],[Customer Gender]]="M","Male", IF(orders[[#This Row],[Customer Gender]]="F","Female", IF(orders[[#This Row],[Customer Gender]]= "O", "Other","Unknown")))</f>
        <v>Male</v>
      </c>
    </row>
    <row r="446" spans="1:16"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s="12" t="str">
        <f>TEXT(orders[[#This Row],[Order Date]],"mmmm")</f>
        <v>January</v>
      </c>
      <c r="P446" t="str">
        <f>IF(orders[[#This Row],[Customer Gender]]="M","Male", IF(orders[[#This Row],[Customer Gender]]="F","Female", IF(orders[[#This Row],[Customer Gender]]= "O", "Other","Unknown")))</f>
        <v>Female</v>
      </c>
    </row>
    <row r="447" spans="1:16"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s="12" t="str">
        <f>TEXT(orders[[#This Row],[Order Date]],"mmmm")</f>
        <v>January</v>
      </c>
      <c r="P447" t="str">
        <f>IF(orders[[#This Row],[Customer Gender]]="M","Male", IF(orders[[#This Row],[Customer Gender]]="F","Female", IF(orders[[#This Row],[Customer Gender]]= "O", "Other","Unknown")))</f>
        <v>Female</v>
      </c>
    </row>
    <row r="448" spans="1:16"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s="12" t="str">
        <f>TEXT(orders[[#This Row],[Order Date]],"mmmm")</f>
        <v>January</v>
      </c>
      <c r="P448" t="str">
        <f>IF(orders[[#This Row],[Customer Gender]]="M","Male", IF(orders[[#This Row],[Customer Gender]]="F","Female", IF(orders[[#This Row],[Customer Gender]]= "O", "Other","Unknown")))</f>
        <v>Female</v>
      </c>
    </row>
    <row r="449" spans="1:16"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s="12" t="str">
        <f>TEXT(orders[[#This Row],[Order Date]],"mmmm")</f>
        <v>January</v>
      </c>
      <c r="P449" t="str">
        <f>IF(orders[[#This Row],[Customer Gender]]="M","Male", IF(orders[[#This Row],[Customer Gender]]="F","Female", IF(orders[[#This Row],[Customer Gender]]= "O", "Other","Unknown")))</f>
        <v>Male</v>
      </c>
    </row>
    <row r="450" spans="1:16"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s="12" t="str">
        <f>TEXT(orders[[#This Row],[Order Date]],"mmmm")</f>
        <v>January</v>
      </c>
      <c r="P450" t="str">
        <f>IF(orders[[#This Row],[Customer Gender]]="M","Male", IF(orders[[#This Row],[Customer Gender]]="F","Female", IF(orders[[#This Row],[Customer Gender]]= "O", "Other","Unknown")))</f>
        <v>Female</v>
      </c>
    </row>
    <row r="451" spans="1:16"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s="12" t="str">
        <f>TEXT(orders[[#This Row],[Order Date]],"mmmm")</f>
        <v>January</v>
      </c>
      <c r="P451" t="str">
        <f>IF(orders[[#This Row],[Customer Gender]]="M","Male", IF(orders[[#This Row],[Customer Gender]]="F","Female", IF(orders[[#This Row],[Customer Gender]]= "O", "Other","Unknown")))</f>
        <v>Female</v>
      </c>
    </row>
    <row r="452" spans="1:16" hidden="1"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s="12" t="str">
        <f>TEXT(orders[[#This Row],[Order Date]],"mmmm")</f>
        <v>January</v>
      </c>
      <c r="P452" t="str">
        <f>IF(orders[[#This Row],[Customer Gender]]="M","Male", IF(orders[[#This Row],[Customer Gender]]="F","Female", IF(orders[[#This Row],[Customer Gender]]= "O", "Other","Unknown")))</f>
        <v>Unknown</v>
      </c>
    </row>
    <row r="453" spans="1:16"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s="12" t="str">
        <f>TEXT(orders[[#This Row],[Order Date]],"mmmm")</f>
        <v>January</v>
      </c>
      <c r="P453" t="str">
        <f>IF(orders[[#This Row],[Customer Gender]]="M","Male", IF(orders[[#This Row],[Customer Gender]]="F","Female", IF(orders[[#This Row],[Customer Gender]]= "O", "Other","Unknown")))</f>
        <v>Female</v>
      </c>
    </row>
    <row r="454" spans="1:16"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s="12" t="str">
        <f>TEXT(orders[[#This Row],[Order Date]],"mmmm")</f>
        <v>January</v>
      </c>
      <c r="P454" t="str">
        <f>IF(orders[[#This Row],[Customer Gender]]="M","Male", IF(orders[[#This Row],[Customer Gender]]="F","Female", IF(orders[[#This Row],[Customer Gender]]= "O", "Other","Unknown")))</f>
        <v>Female</v>
      </c>
    </row>
    <row r="455" spans="1:16"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s="12" t="str">
        <f>TEXT(orders[[#This Row],[Order Date]],"mmmm")</f>
        <v>January</v>
      </c>
      <c r="P455" t="str">
        <f>IF(orders[[#This Row],[Customer Gender]]="M","Male", IF(orders[[#This Row],[Customer Gender]]="F","Female", IF(orders[[#This Row],[Customer Gender]]= "O", "Other","Unknown")))</f>
        <v>Female</v>
      </c>
    </row>
    <row r="456" spans="1:16"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s="12" t="str">
        <f>TEXT(orders[[#This Row],[Order Date]],"mmmm")</f>
        <v>January</v>
      </c>
      <c r="P456" t="str">
        <f>IF(orders[[#This Row],[Customer Gender]]="M","Male", IF(orders[[#This Row],[Customer Gender]]="F","Female", IF(orders[[#This Row],[Customer Gender]]= "O", "Other","Unknown")))</f>
        <v>Female</v>
      </c>
    </row>
    <row r="457" spans="1:16"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s="12" t="str">
        <f>TEXT(orders[[#This Row],[Order Date]],"mmmm")</f>
        <v>January</v>
      </c>
      <c r="P457" t="str">
        <f>IF(orders[[#This Row],[Customer Gender]]="M","Male", IF(orders[[#This Row],[Customer Gender]]="F","Female", IF(orders[[#This Row],[Customer Gender]]= "O", "Other","Unknown")))</f>
        <v>Female</v>
      </c>
    </row>
    <row r="458" spans="1:16"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s="12" t="str">
        <f>TEXT(orders[[#This Row],[Order Date]],"mmmm")</f>
        <v>January</v>
      </c>
      <c r="P458" t="str">
        <f>IF(orders[[#This Row],[Customer Gender]]="M","Male", IF(orders[[#This Row],[Customer Gender]]="F","Female", IF(orders[[#This Row],[Customer Gender]]= "O", "Other","Unknown")))</f>
        <v>Female</v>
      </c>
    </row>
    <row r="459" spans="1:16"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s="12" t="str">
        <f>TEXT(orders[[#This Row],[Order Date]],"mmmm")</f>
        <v>January</v>
      </c>
      <c r="P459" t="str">
        <f>IF(orders[[#This Row],[Customer Gender]]="M","Male", IF(orders[[#This Row],[Customer Gender]]="F","Female", IF(orders[[#This Row],[Customer Gender]]= "O", "Other","Unknown")))</f>
        <v>Female</v>
      </c>
    </row>
    <row r="460" spans="1:16"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s="12" t="str">
        <f>TEXT(orders[[#This Row],[Order Date]],"mmmm")</f>
        <v>January</v>
      </c>
      <c r="P460" t="str">
        <f>IF(orders[[#This Row],[Customer Gender]]="M","Male", IF(orders[[#This Row],[Customer Gender]]="F","Female", IF(orders[[#This Row],[Customer Gender]]= "O", "Other","Unknown")))</f>
        <v>Female</v>
      </c>
    </row>
    <row r="461" spans="1:16"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s="12" t="str">
        <f>TEXT(orders[[#This Row],[Order Date]],"mmmm")</f>
        <v>January</v>
      </c>
      <c r="P461" t="str">
        <f>IF(orders[[#This Row],[Customer Gender]]="M","Male", IF(orders[[#This Row],[Customer Gender]]="F","Female", IF(orders[[#This Row],[Customer Gender]]= "O", "Other","Unknown")))</f>
        <v>Male</v>
      </c>
    </row>
    <row r="462" spans="1:16"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s="12" t="str">
        <f>TEXT(orders[[#This Row],[Order Date]],"mmmm")</f>
        <v>January</v>
      </c>
      <c r="P462" t="str">
        <f>IF(orders[[#This Row],[Customer Gender]]="M","Male", IF(orders[[#This Row],[Customer Gender]]="F","Female", IF(orders[[#This Row],[Customer Gender]]= "O", "Other","Unknown")))</f>
        <v>Female</v>
      </c>
    </row>
    <row r="463" spans="1:16"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s="12" t="str">
        <f>TEXT(orders[[#This Row],[Order Date]],"mmmm")</f>
        <v>January</v>
      </c>
      <c r="P463" t="str">
        <f>IF(orders[[#This Row],[Customer Gender]]="M","Male", IF(orders[[#This Row],[Customer Gender]]="F","Female", IF(orders[[#This Row],[Customer Gender]]= "O", "Other","Unknown")))</f>
        <v>Male</v>
      </c>
    </row>
    <row r="464" spans="1:16"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s="12" t="str">
        <f>TEXT(orders[[#This Row],[Order Date]],"mmmm")</f>
        <v>January</v>
      </c>
      <c r="P464" t="str">
        <f>IF(orders[[#This Row],[Customer Gender]]="M","Male", IF(orders[[#This Row],[Customer Gender]]="F","Female", IF(orders[[#This Row],[Customer Gender]]= "O", "Other","Unknown")))</f>
        <v>Male</v>
      </c>
    </row>
    <row r="465" spans="1:16"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s="12" t="str">
        <f>TEXT(orders[[#This Row],[Order Date]],"mmmm")</f>
        <v>January</v>
      </c>
      <c r="P465" t="str">
        <f>IF(orders[[#This Row],[Customer Gender]]="M","Male", IF(orders[[#This Row],[Customer Gender]]="F","Female", IF(orders[[#This Row],[Customer Gender]]= "O", "Other","Unknown")))</f>
        <v>Male</v>
      </c>
    </row>
    <row r="466" spans="1:16" hidden="1"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s="12" t="str">
        <f>TEXT(orders[[#This Row],[Order Date]],"mmmm")</f>
        <v>January</v>
      </c>
      <c r="P466" t="str">
        <f>IF(orders[[#This Row],[Customer Gender]]="M","Male", IF(orders[[#This Row],[Customer Gender]]="F","Female", IF(orders[[#This Row],[Customer Gender]]= "O", "Other","Unknown")))</f>
        <v>Unknown</v>
      </c>
    </row>
    <row r="467" spans="1:16"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s="12" t="str">
        <f>TEXT(orders[[#This Row],[Order Date]],"mmmm")</f>
        <v>January</v>
      </c>
      <c r="P467" t="str">
        <f>IF(orders[[#This Row],[Customer Gender]]="M","Male", IF(orders[[#This Row],[Customer Gender]]="F","Female", IF(orders[[#This Row],[Customer Gender]]= "O", "Other","Unknown")))</f>
        <v>Male</v>
      </c>
    </row>
    <row r="468" spans="1:16"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s="12" t="str">
        <f>TEXT(orders[[#This Row],[Order Date]],"mmmm")</f>
        <v>January</v>
      </c>
      <c r="P468" t="str">
        <f>IF(orders[[#This Row],[Customer Gender]]="M","Male", IF(orders[[#This Row],[Customer Gender]]="F","Female", IF(orders[[#This Row],[Customer Gender]]= "O", "Other","Unknown")))</f>
        <v>Female</v>
      </c>
    </row>
    <row r="469" spans="1:16"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s="12" t="str">
        <f>TEXT(orders[[#This Row],[Order Date]],"mmmm")</f>
        <v>January</v>
      </c>
      <c r="P469" t="str">
        <f>IF(orders[[#This Row],[Customer Gender]]="M","Male", IF(orders[[#This Row],[Customer Gender]]="F","Female", IF(orders[[#This Row],[Customer Gender]]= "O", "Other","Unknown")))</f>
        <v>Female</v>
      </c>
    </row>
    <row r="470" spans="1:16"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s="12" t="str">
        <f>TEXT(orders[[#This Row],[Order Date]],"mmmm")</f>
        <v>January</v>
      </c>
      <c r="P470" t="str">
        <f>IF(orders[[#This Row],[Customer Gender]]="M","Male", IF(orders[[#This Row],[Customer Gender]]="F","Female", IF(orders[[#This Row],[Customer Gender]]= "O", "Other","Unknown")))</f>
        <v>Male</v>
      </c>
    </row>
    <row r="471" spans="1:16"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s="12" t="str">
        <f>TEXT(orders[[#This Row],[Order Date]],"mmmm")</f>
        <v>January</v>
      </c>
      <c r="P471" t="str">
        <f>IF(orders[[#This Row],[Customer Gender]]="M","Male", IF(orders[[#This Row],[Customer Gender]]="F","Female", IF(orders[[#This Row],[Customer Gender]]= "O", "Other","Unknown")))</f>
        <v>Male</v>
      </c>
    </row>
    <row r="472" spans="1:16"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s="12" t="str">
        <f>TEXT(orders[[#This Row],[Order Date]],"mmmm")</f>
        <v>January</v>
      </c>
      <c r="P472" t="str">
        <f>IF(orders[[#This Row],[Customer Gender]]="M","Male", IF(orders[[#This Row],[Customer Gender]]="F","Female", IF(orders[[#This Row],[Customer Gender]]= "O", "Other","Unknown")))</f>
        <v>Female</v>
      </c>
    </row>
    <row r="473" spans="1:16"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s="12" t="str">
        <f>TEXT(orders[[#This Row],[Order Date]],"mmmm")</f>
        <v>January</v>
      </c>
      <c r="P473" t="str">
        <f>IF(orders[[#This Row],[Customer Gender]]="M","Male", IF(orders[[#This Row],[Customer Gender]]="F","Female", IF(orders[[#This Row],[Customer Gender]]= "O", "Other","Unknown")))</f>
        <v>Other</v>
      </c>
    </row>
    <row r="474" spans="1:16"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s="12" t="str">
        <f>TEXT(orders[[#This Row],[Order Date]],"mmmm")</f>
        <v>January</v>
      </c>
      <c r="P474" t="str">
        <f>IF(orders[[#This Row],[Customer Gender]]="M","Male", IF(orders[[#This Row],[Customer Gender]]="F","Female", IF(orders[[#This Row],[Customer Gender]]= "O", "Other","Unknown")))</f>
        <v>Male</v>
      </c>
    </row>
    <row r="475" spans="1:16" hidden="1"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s="12" t="str">
        <f>TEXT(orders[[#This Row],[Order Date]],"mmmm")</f>
        <v>January</v>
      </c>
      <c r="P475" t="str">
        <f>IF(orders[[#This Row],[Customer Gender]]="M","Male", IF(orders[[#This Row],[Customer Gender]]="F","Female", IF(orders[[#This Row],[Customer Gender]]= "O", "Other","Unknown")))</f>
        <v>Unknown</v>
      </c>
    </row>
    <row r="476" spans="1:16"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s="12" t="str">
        <f>TEXT(orders[[#This Row],[Order Date]],"mmmm")</f>
        <v>January</v>
      </c>
      <c r="P476" t="str">
        <f>IF(orders[[#This Row],[Customer Gender]]="M","Male", IF(orders[[#This Row],[Customer Gender]]="F","Female", IF(orders[[#This Row],[Customer Gender]]= "O", "Other","Unknown")))</f>
        <v>Female</v>
      </c>
    </row>
    <row r="477" spans="1:16"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s="12" t="str">
        <f>TEXT(orders[[#This Row],[Order Date]],"mmmm")</f>
        <v>January</v>
      </c>
      <c r="P477" t="str">
        <f>IF(orders[[#This Row],[Customer Gender]]="M","Male", IF(orders[[#This Row],[Customer Gender]]="F","Female", IF(orders[[#This Row],[Customer Gender]]= "O", "Other","Unknown")))</f>
        <v>Male</v>
      </c>
    </row>
    <row r="478" spans="1:16"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s="12" t="str">
        <f>TEXT(orders[[#This Row],[Order Date]],"mmmm")</f>
        <v>January</v>
      </c>
      <c r="P478" t="str">
        <f>IF(orders[[#This Row],[Customer Gender]]="M","Male", IF(orders[[#This Row],[Customer Gender]]="F","Female", IF(orders[[#This Row],[Customer Gender]]= "O", "Other","Unknown")))</f>
        <v>Female</v>
      </c>
    </row>
    <row r="479" spans="1:16"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s="12" t="str">
        <f>TEXT(orders[[#This Row],[Order Date]],"mmmm")</f>
        <v>January</v>
      </c>
      <c r="P479" t="str">
        <f>IF(orders[[#This Row],[Customer Gender]]="M","Male", IF(orders[[#This Row],[Customer Gender]]="F","Female", IF(orders[[#This Row],[Customer Gender]]= "O", "Other","Unknown")))</f>
        <v>Female</v>
      </c>
    </row>
    <row r="480" spans="1:16"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s="12" t="str">
        <f>TEXT(orders[[#This Row],[Order Date]],"mmmm")</f>
        <v>January</v>
      </c>
      <c r="P480" t="str">
        <f>IF(orders[[#This Row],[Customer Gender]]="M","Male", IF(orders[[#This Row],[Customer Gender]]="F","Female", IF(orders[[#This Row],[Customer Gender]]= "O", "Other","Unknown")))</f>
        <v>Female</v>
      </c>
    </row>
    <row r="481" spans="1:16"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s="12" t="str">
        <f>TEXT(orders[[#This Row],[Order Date]],"mmmm")</f>
        <v>January</v>
      </c>
      <c r="P481" t="str">
        <f>IF(orders[[#This Row],[Customer Gender]]="M","Male", IF(orders[[#This Row],[Customer Gender]]="F","Female", IF(orders[[#This Row],[Customer Gender]]= "O", "Other","Unknown")))</f>
        <v>Male</v>
      </c>
    </row>
    <row r="482" spans="1:16"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s="12" t="str">
        <f>TEXT(orders[[#This Row],[Order Date]],"mmmm")</f>
        <v>January</v>
      </c>
      <c r="P482" t="str">
        <f>IF(orders[[#This Row],[Customer Gender]]="M","Male", IF(orders[[#This Row],[Customer Gender]]="F","Female", IF(orders[[#This Row],[Customer Gender]]= "O", "Other","Unknown")))</f>
        <v>Male</v>
      </c>
    </row>
    <row r="483" spans="1:16"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s="12" t="str">
        <f>TEXT(orders[[#This Row],[Order Date]],"mmmm")</f>
        <v>January</v>
      </c>
      <c r="P483" t="str">
        <f>IF(orders[[#This Row],[Customer Gender]]="M","Male", IF(orders[[#This Row],[Customer Gender]]="F","Female", IF(orders[[#This Row],[Customer Gender]]= "O", "Other","Unknown")))</f>
        <v>Male</v>
      </c>
    </row>
    <row r="484" spans="1:16"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s="12" t="str">
        <f>TEXT(orders[[#This Row],[Order Date]],"mmmm")</f>
        <v>January</v>
      </c>
      <c r="P484" t="str">
        <f>IF(orders[[#This Row],[Customer Gender]]="M","Male", IF(orders[[#This Row],[Customer Gender]]="F","Female", IF(orders[[#This Row],[Customer Gender]]= "O", "Other","Unknown")))</f>
        <v>Female</v>
      </c>
    </row>
    <row r="485" spans="1:16"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s="12" t="str">
        <f>TEXT(orders[[#This Row],[Order Date]],"mmmm")</f>
        <v>January</v>
      </c>
      <c r="P485" t="str">
        <f>IF(orders[[#This Row],[Customer Gender]]="M","Male", IF(orders[[#This Row],[Customer Gender]]="F","Female", IF(orders[[#This Row],[Customer Gender]]= "O", "Other","Unknown")))</f>
        <v>Male</v>
      </c>
    </row>
    <row r="486" spans="1:16"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s="12" t="str">
        <f>TEXT(orders[[#This Row],[Order Date]],"mmmm")</f>
        <v>January</v>
      </c>
      <c r="P486" t="str">
        <f>IF(orders[[#This Row],[Customer Gender]]="M","Male", IF(orders[[#This Row],[Customer Gender]]="F","Female", IF(orders[[#This Row],[Customer Gender]]= "O", "Other","Unknown")))</f>
        <v>Female</v>
      </c>
    </row>
    <row r="487" spans="1:16"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s="12" t="str">
        <f>TEXT(orders[[#This Row],[Order Date]],"mmmm")</f>
        <v>January</v>
      </c>
      <c r="P487" t="str">
        <f>IF(orders[[#This Row],[Customer Gender]]="M","Male", IF(orders[[#This Row],[Customer Gender]]="F","Female", IF(orders[[#This Row],[Customer Gender]]= "O", "Other","Unknown")))</f>
        <v>Female</v>
      </c>
    </row>
    <row r="488" spans="1:16"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s="12" t="str">
        <f>TEXT(orders[[#This Row],[Order Date]],"mmmm")</f>
        <v>January</v>
      </c>
      <c r="P488" t="str">
        <f>IF(orders[[#This Row],[Customer Gender]]="M","Male", IF(orders[[#This Row],[Customer Gender]]="F","Female", IF(orders[[#This Row],[Customer Gender]]= "O", "Other","Unknown")))</f>
        <v>Male</v>
      </c>
    </row>
    <row r="489" spans="1:16"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s="12" t="str">
        <f>TEXT(orders[[#This Row],[Order Date]],"mmmm")</f>
        <v>January</v>
      </c>
      <c r="P489" t="str">
        <f>IF(orders[[#This Row],[Customer Gender]]="M","Male", IF(orders[[#This Row],[Customer Gender]]="F","Female", IF(orders[[#This Row],[Customer Gender]]= "O", "Other","Unknown")))</f>
        <v>Male</v>
      </c>
    </row>
    <row r="490" spans="1:16" hidden="1"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s="12" t="str">
        <f>TEXT(orders[[#This Row],[Order Date]],"mmmm")</f>
        <v>January</v>
      </c>
      <c r="P490" t="str">
        <f>IF(orders[[#This Row],[Customer Gender]]="M","Male", IF(orders[[#This Row],[Customer Gender]]="F","Female", IF(orders[[#This Row],[Customer Gender]]= "O", "Other","Unknown")))</f>
        <v>Unknown</v>
      </c>
    </row>
    <row r="491" spans="1:16"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s="12" t="str">
        <f>TEXT(orders[[#This Row],[Order Date]],"mmmm")</f>
        <v>January</v>
      </c>
      <c r="P491" t="str">
        <f>IF(orders[[#This Row],[Customer Gender]]="M","Male", IF(orders[[#This Row],[Customer Gender]]="F","Female", IF(orders[[#This Row],[Customer Gender]]= "O", "Other","Unknown")))</f>
        <v>Female</v>
      </c>
    </row>
    <row r="492" spans="1:16"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s="12" t="str">
        <f>TEXT(orders[[#This Row],[Order Date]],"mmmm")</f>
        <v>January</v>
      </c>
      <c r="P492" t="str">
        <f>IF(orders[[#This Row],[Customer Gender]]="M","Male", IF(orders[[#This Row],[Customer Gender]]="F","Female", IF(orders[[#This Row],[Customer Gender]]= "O", "Other","Unknown")))</f>
        <v>Female</v>
      </c>
    </row>
    <row r="493" spans="1:16"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s="12" t="str">
        <f>TEXT(orders[[#This Row],[Order Date]],"mmmm")</f>
        <v>January</v>
      </c>
      <c r="P493" t="str">
        <f>IF(orders[[#This Row],[Customer Gender]]="M","Male", IF(orders[[#This Row],[Customer Gender]]="F","Female", IF(orders[[#This Row],[Customer Gender]]= "O", "Other","Unknown")))</f>
        <v>Female</v>
      </c>
    </row>
    <row r="494" spans="1:16"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s="12" t="str">
        <f>TEXT(orders[[#This Row],[Order Date]],"mmmm")</f>
        <v>January</v>
      </c>
      <c r="P494" t="str">
        <f>IF(orders[[#This Row],[Customer Gender]]="M","Male", IF(orders[[#This Row],[Customer Gender]]="F","Female", IF(orders[[#This Row],[Customer Gender]]= "O", "Other","Unknown")))</f>
        <v>Female</v>
      </c>
    </row>
    <row r="495" spans="1:16"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s="12" t="str">
        <f>TEXT(orders[[#This Row],[Order Date]],"mmmm")</f>
        <v>January</v>
      </c>
      <c r="P495" t="str">
        <f>IF(orders[[#This Row],[Customer Gender]]="M","Male", IF(orders[[#This Row],[Customer Gender]]="F","Female", IF(orders[[#This Row],[Customer Gender]]= "O", "Other","Unknown")))</f>
        <v>Female</v>
      </c>
    </row>
    <row r="496" spans="1:16"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s="12" t="str">
        <f>TEXT(orders[[#This Row],[Order Date]],"mmmm")</f>
        <v>January</v>
      </c>
      <c r="P496" t="str">
        <f>IF(orders[[#This Row],[Customer Gender]]="M","Male", IF(orders[[#This Row],[Customer Gender]]="F","Female", IF(orders[[#This Row],[Customer Gender]]= "O", "Other","Unknown")))</f>
        <v>Female</v>
      </c>
    </row>
    <row r="497" spans="1:16"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s="12" t="str">
        <f>TEXT(orders[[#This Row],[Order Date]],"mmmm")</f>
        <v>January</v>
      </c>
      <c r="P497" t="str">
        <f>IF(orders[[#This Row],[Customer Gender]]="M","Male", IF(orders[[#This Row],[Customer Gender]]="F","Female", IF(orders[[#This Row],[Customer Gender]]= "O", "Other","Unknown")))</f>
        <v>Female</v>
      </c>
    </row>
    <row r="498" spans="1:16"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s="12" t="str">
        <f>TEXT(orders[[#This Row],[Order Date]],"mmmm")</f>
        <v>January</v>
      </c>
      <c r="P498" t="str">
        <f>IF(orders[[#This Row],[Customer Gender]]="M","Male", IF(orders[[#This Row],[Customer Gender]]="F","Female", IF(orders[[#This Row],[Customer Gender]]= "O", "Other","Unknown")))</f>
        <v>Male</v>
      </c>
    </row>
    <row r="499" spans="1:16"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s="12" t="str">
        <f>TEXT(orders[[#This Row],[Order Date]],"mmmm")</f>
        <v>January</v>
      </c>
      <c r="P499" t="str">
        <f>IF(orders[[#This Row],[Customer Gender]]="M","Male", IF(orders[[#This Row],[Customer Gender]]="F","Female", IF(orders[[#This Row],[Customer Gender]]= "O", "Other","Unknown")))</f>
        <v>Female</v>
      </c>
    </row>
    <row r="500" spans="1:16"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s="12" t="str">
        <f>TEXT(orders[[#This Row],[Order Date]],"mmmm")</f>
        <v>January</v>
      </c>
      <c r="P500" t="str">
        <f>IF(orders[[#This Row],[Customer Gender]]="M","Male", IF(orders[[#This Row],[Customer Gender]]="F","Female", IF(orders[[#This Row],[Customer Gender]]= "O", "Other","Unknown")))</f>
        <v>Male</v>
      </c>
    </row>
    <row r="501" spans="1:16"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s="12" t="str">
        <f>TEXT(orders[[#This Row],[Order Date]],"mmmm")</f>
        <v>January</v>
      </c>
      <c r="P501" t="str">
        <f>IF(orders[[#This Row],[Customer Gender]]="M","Male", IF(orders[[#This Row],[Customer Gender]]="F","Female", IF(orders[[#This Row],[Customer Gender]]= "O", "Other","Unknown")))</f>
        <v>Other</v>
      </c>
    </row>
    <row r="502" spans="1:16" hidden="1"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s="12" t="str">
        <f>TEXT(orders[[#This Row],[Order Date]],"mmmm")</f>
        <v>January</v>
      </c>
      <c r="P502" t="str">
        <f>IF(orders[[#This Row],[Customer Gender]]="M","Male", IF(orders[[#This Row],[Customer Gender]]="F","Female", IF(orders[[#This Row],[Customer Gender]]= "O", "Other","Unknown")))</f>
        <v>Unknown</v>
      </c>
    </row>
    <row r="503" spans="1:16"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s="12" t="str">
        <f>TEXT(orders[[#This Row],[Order Date]],"mmmm")</f>
        <v>January</v>
      </c>
      <c r="P503" t="str">
        <f>IF(orders[[#This Row],[Customer Gender]]="M","Male", IF(orders[[#This Row],[Customer Gender]]="F","Female", IF(orders[[#This Row],[Customer Gender]]= "O", "Other","Unknown")))</f>
        <v>Male</v>
      </c>
    </row>
    <row r="504" spans="1:16"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s="12" t="str">
        <f>TEXT(orders[[#This Row],[Order Date]],"mmmm")</f>
        <v>January</v>
      </c>
      <c r="P504" t="str">
        <f>IF(orders[[#This Row],[Customer Gender]]="M","Male", IF(orders[[#This Row],[Customer Gender]]="F","Female", IF(orders[[#This Row],[Customer Gender]]= "O", "Other","Unknown")))</f>
        <v>Female</v>
      </c>
    </row>
    <row r="505" spans="1:16"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s="12" t="str">
        <f>TEXT(orders[[#This Row],[Order Date]],"mmmm")</f>
        <v>January</v>
      </c>
      <c r="P505" t="str">
        <f>IF(orders[[#This Row],[Customer Gender]]="M","Male", IF(orders[[#This Row],[Customer Gender]]="F","Female", IF(orders[[#This Row],[Customer Gender]]= "O", "Other","Unknown")))</f>
        <v>Female</v>
      </c>
    </row>
    <row r="506" spans="1:16"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s="12" t="str">
        <f>TEXT(orders[[#This Row],[Order Date]],"mmmm")</f>
        <v>January</v>
      </c>
      <c r="P506" t="str">
        <f>IF(orders[[#This Row],[Customer Gender]]="M","Male", IF(orders[[#This Row],[Customer Gender]]="F","Female", IF(orders[[#This Row],[Customer Gender]]= "O", "Other","Unknown")))</f>
        <v>Female</v>
      </c>
    </row>
    <row r="507" spans="1:16"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s="12" t="str">
        <f>TEXT(orders[[#This Row],[Order Date]],"mmmm")</f>
        <v>January</v>
      </c>
      <c r="P507" t="str">
        <f>IF(orders[[#This Row],[Customer Gender]]="M","Male", IF(orders[[#This Row],[Customer Gender]]="F","Female", IF(orders[[#This Row],[Customer Gender]]= "O", "Other","Unknown")))</f>
        <v>Female</v>
      </c>
    </row>
    <row r="508" spans="1:16"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s="12" t="str">
        <f>TEXT(orders[[#This Row],[Order Date]],"mmmm")</f>
        <v>January</v>
      </c>
      <c r="P508" t="str">
        <f>IF(orders[[#This Row],[Customer Gender]]="M","Male", IF(orders[[#This Row],[Customer Gender]]="F","Female", IF(orders[[#This Row],[Customer Gender]]= "O", "Other","Unknown")))</f>
        <v>Female</v>
      </c>
    </row>
    <row r="509" spans="1:16"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s="12" t="str">
        <f>TEXT(orders[[#This Row],[Order Date]],"mmmm")</f>
        <v>January</v>
      </c>
      <c r="P509" t="str">
        <f>IF(orders[[#This Row],[Customer Gender]]="M","Male", IF(orders[[#This Row],[Customer Gender]]="F","Female", IF(orders[[#This Row],[Customer Gender]]= "O", "Other","Unknown")))</f>
        <v>Male</v>
      </c>
    </row>
    <row r="510" spans="1:16"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s="12" t="str">
        <f>TEXT(orders[[#This Row],[Order Date]],"mmmm")</f>
        <v>January</v>
      </c>
      <c r="P510" t="str">
        <f>IF(orders[[#This Row],[Customer Gender]]="M","Male", IF(orders[[#This Row],[Customer Gender]]="F","Female", IF(orders[[#This Row],[Customer Gender]]= "O", "Other","Unknown")))</f>
        <v>Male</v>
      </c>
    </row>
    <row r="511" spans="1:16"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s="12" t="str">
        <f>TEXT(orders[[#This Row],[Order Date]],"mmmm")</f>
        <v>January</v>
      </c>
      <c r="P511" t="str">
        <f>IF(orders[[#This Row],[Customer Gender]]="M","Male", IF(orders[[#This Row],[Customer Gender]]="F","Female", IF(orders[[#This Row],[Customer Gender]]= "O", "Other","Unknown")))</f>
        <v>Female</v>
      </c>
    </row>
    <row r="512" spans="1:16"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s="12" t="str">
        <f>TEXT(orders[[#This Row],[Order Date]],"mmmm")</f>
        <v>January</v>
      </c>
      <c r="P512" t="str">
        <f>IF(orders[[#This Row],[Customer Gender]]="M","Male", IF(orders[[#This Row],[Customer Gender]]="F","Female", IF(orders[[#This Row],[Customer Gender]]= "O", "Other","Unknown")))</f>
        <v>Female</v>
      </c>
    </row>
    <row r="513" spans="1:16" hidden="1"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s="12" t="str">
        <f>TEXT(orders[[#This Row],[Order Date]],"mmmm")</f>
        <v>January</v>
      </c>
      <c r="P513" t="str">
        <f>IF(orders[[#This Row],[Customer Gender]]="M","Male", IF(orders[[#This Row],[Customer Gender]]="F","Female", IF(orders[[#This Row],[Customer Gender]]= "O", "Other","Unknown")))</f>
        <v>Unknown</v>
      </c>
    </row>
    <row r="514" spans="1:16"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s="12" t="str">
        <f>TEXT(orders[[#This Row],[Order Date]],"mmmm")</f>
        <v>January</v>
      </c>
      <c r="P514" t="str">
        <f>IF(orders[[#This Row],[Customer Gender]]="M","Male", IF(orders[[#This Row],[Customer Gender]]="F","Female", IF(orders[[#This Row],[Customer Gender]]= "O", "Other","Unknown")))</f>
        <v>Female</v>
      </c>
    </row>
    <row r="515" spans="1:16"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s="12" t="str">
        <f>TEXT(orders[[#This Row],[Order Date]],"mmmm")</f>
        <v>January</v>
      </c>
      <c r="P515" t="str">
        <f>IF(orders[[#This Row],[Customer Gender]]="M","Male", IF(orders[[#This Row],[Customer Gender]]="F","Female", IF(orders[[#This Row],[Customer Gender]]= "O", "Other","Unknown")))</f>
        <v>Male</v>
      </c>
    </row>
    <row r="516" spans="1:16"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s="12" t="str">
        <f>TEXT(orders[[#This Row],[Order Date]],"mmmm")</f>
        <v>January</v>
      </c>
      <c r="P516" t="str">
        <f>IF(orders[[#This Row],[Customer Gender]]="M","Male", IF(orders[[#This Row],[Customer Gender]]="F","Female", IF(orders[[#This Row],[Customer Gender]]= "O", "Other","Unknown")))</f>
        <v>Male</v>
      </c>
    </row>
    <row r="517" spans="1:16" hidden="1"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s="12" t="str">
        <f>TEXT(orders[[#This Row],[Order Date]],"mmmm")</f>
        <v>January</v>
      </c>
      <c r="P517" t="str">
        <f>IF(orders[[#This Row],[Customer Gender]]="M","Male", IF(orders[[#This Row],[Customer Gender]]="F","Female", IF(orders[[#This Row],[Customer Gender]]= "O", "Other","Unknown")))</f>
        <v>Unknown</v>
      </c>
    </row>
    <row r="518" spans="1:16"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s="12" t="str">
        <f>TEXT(orders[[#This Row],[Order Date]],"mmmm")</f>
        <v>January</v>
      </c>
      <c r="P518" t="str">
        <f>IF(orders[[#This Row],[Customer Gender]]="M","Male", IF(orders[[#This Row],[Customer Gender]]="F","Female", IF(orders[[#This Row],[Customer Gender]]= "O", "Other","Unknown")))</f>
        <v>Female</v>
      </c>
    </row>
    <row r="519" spans="1:16"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s="12" t="str">
        <f>TEXT(orders[[#This Row],[Order Date]],"mmmm")</f>
        <v>January</v>
      </c>
      <c r="P519" t="str">
        <f>IF(orders[[#This Row],[Customer Gender]]="M","Male", IF(orders[[#This Row],[Customer Gender]]="F","Female", IF(orders[[#This Row],[Customer Gender]]= "O", "Other","Unknown")))</f>
        <v>Female</v>
      </c>
    </row>
    <row r="520" spans="1:16"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s="12" t="str">
        <f>TEXT(orders[[#This Row],[Order Date]],"mmmm")</f>
        <v>January</v>
      </c>
      <c r="P520" t="str">
        <f>IF(orders[[#This Row],[Customer Gender]]="M","Male", IF(orders[[#This Row],[Customer Gender]]="F","Female", IF(orders[[#This Row],[Customer Gender]]= "O", "Other","Unknown")))</f>
        <v>Female</v>
      </c>
    </row>
    <row r="521" spans="1:16"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s="12" t="str">
        <f>TEXT(orders[[#This Row],[Order Date]],"mmmm")</f>
        <v>January</v>
      </c>
      <c r="P521" t="str">
        <f>IF(orders[[#This Row],[Customer Gender]]="M","Male", IF(orders[[#This Row],[Customer Gender]]="F","Female", IF(orders[[#This Row],[Customer Gender]]= "O", "Other","Unknown")))</f>
        <v>Female</v>
      </c>
    </row>
    <row r="522" spans="1:16"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s="12" t="str">
        <f>TEXT(orders[[#This Row],[Order Date]],"mmmm")</f>
        <v>January</v>
      </c>
      <c r="P522" t="str">
        <f>IF(orders[[#This Row],[Customer Gender]]="M","Male", IF(orders[[#This Row],[Customer Gender]]="F","Female", IF(orders[[#This Row],[Customer Gender]]= "O", "Other","Unknown")))</f>
        <v>Male</v>
      </c>
    </row>
    <row r="523" spans="1:16"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s="12" t="str">
        <f>TEXT(orders[[#This Row],[Order Date]],"mmmm")</f>
        <v>January</v>
      </c>
      <c r="P523" t="str">
        <f>IF(orders[[#This Row],[Customer Gender]]="M","Male", IF(orders[[#This Row],[Customer Gender]]="F","Female", IF(orders[[#This Row],[Customer Gender]]= "O", "Other","Unknown")))</f>
        <v>Female</v>
      </c>
    </row>
    <row r="524" spans="1:16" hidden="1"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s="12" t="str">
        <f>TEXT(orders[[#This Row],[Order Date]],"mmmm")</f>
        <v>January</v>
      </c>
      <c r="P524" t="str">
        <f>IF(orders[[#This Row],[Customer Gender]]="M","Male", IF(orders[[#This Row],[Customer Gender]]="F","Female", IF(orders[[#This Row],[Customer Gender]]= "O", "Other","Unknown")))</f>
        <v>Unknown</v>
      </c>
    </row>
    <row r="525" spans="1:16"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s="12" t="str">
        <f>TEXT(orders[[#This Row],[Order Date]],"mmmm")</f>
        <v>January</v>
      </c>
      <c r="P525" t="str">
        <f>IF(orders[[#This Row],[Customer Gender]]="M","Male", IF(orders[[#This Row],[Customer Gender]]="F","Female", IF(orders[[#This Row],[Customer Gender]]= "O", "Other","Unknown")))</f>
        <v>Female</v>
      </c>
    </row>
    <row r="526" spans="1:16"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s="12" t="str">
        <f>TEXT(orders[[#This Row],[Order Date]],"mmmm")</f>
        <v>January</v>
      </c>
      <c r="P526" t="str">
        <f>IF(orders[[#This Row],[Customer Gender]]="M","Male", IF(orders[[#This Row],[Customer Gender]]="F","Female", IF(orders[[#This Row],[Customer Gender]]= "O", "Other","Unknown")))</f>
        <v>Female</v>
      </c>
    </row>
    <row r="527" spans="1:16"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s="12" t="str">
        <f>TEXT(orders[[#This Row],[Order Date]],"mmmm")</f>
        <v>January</v>
      </c>
      <c r="P527" t="str">
        <f>IF(orders[[#This Row],[Customer Gender]]="M","Male", IF(orders[[#This Row],[Customer Gender]]="F","Female", IF(orders[[#This Row],[Customer Gender]]= "O", "Other","Unknown")))</f>
        <v>Male</v>
      </c>
    </row>
    <row r="528" spans="1:16"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s="12" t="str">
        <f>TEXT(orders[[#This Row],[Order Date]],"mmmm")</f>
        <v>January</v>
      </c>
      <c r="P528" t="str">
        <f>IF(orders[[#This Row],[Customer Gender]]="M","Male", IF(orders[[#This Row],[Customer Gender]]="F","Female", IF(orders[[#This Row],[Customer Gender]]= "O", "Other","Unknown")))</f>
        <v>Male</v>
      </c>
    </row>
    <row r="529" spans="1:16"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s="12" t="str">
        <f>TEXT(orders[[#This Row],[Order Date]],"mmmm")</f>
        <v>January</v>
      </c>
      <c r="P529" t="str">
        <f>IF(orders[[#This Row],[Customer Gender]]="M","Male", IF(orders[[#This Row],[Customer Gender]]="F","Female", IF(orders[[#This Row],[Customer Gender]]= "O", "Other","Unknown")))</f>
        <v>Female</v>
      </c>
    </row>
    <row r="530" spans="1:16"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s="12" t="str">
        <f>TEXT(orders[[#This Row],[Order Date]],"mmmm")</f>
        <v>January</v>
      </c>
      <c r="P530" t="str">
        <f>IF(orders[[#This Row],[Customer Gender]]="M","Male", IF(orders[[#This Row],[Customer Gender]]="F","Female", IF(orders[[#This Row],[Customer Gender]]= "O", "Other","Unknown")))</f>
        <v>Female</v>
      </c>
    </row>
    <row r="531" spans="1:16"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s="12" t="str">
        <f>TEXT(orders[[#This Row],[Order Date]],"mmmm")</f>
        <v>January</v>
      </c>
      <c r="P531" t="str">
        <f>IF(orders[[#This Row],[Customer Gender]]="M","Male", IF(orders[[#This Row],[Customer Gender]]="F","Female", IF(orders[[#This Row],[Customer Gender]]= "O", "Other","Unknown")))</f>
        <v>Female</v>
      </c>
    </row>
    <row r="532" spans="1:16"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s="12" t="str">
        <f>TEXT(orders[[#This Row],[Order Date]],"mmmm")</f>
        <v>January</v>
      </c>
      <c r="P532" t="str">
        <f>IF(orders[[#This Row],[Customer Gender]]="M","Male", IF(orders[[#This Row],[Customer Gender]]="F","Female", IF(orders[[#This Row],[Customer Gender]]= "O", "Other","Unknown")))</f>
        <v>Female</v>
      </c>
    </row>
    <row r="533" spans="1:16"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s="12" t="str">
        <f>TEXT(orders[[#This Row],[Order Date]],"mmmm")</f>
        <v>January</v>
      </c>
      <c r="P533" t="str">
        <f>IF(orders[[#This Row],[Customer Gender]]="M","Male", IF(orders[[#This Row],[Customer Gender]]="F","Female", IF(orders[[#This Row],[Customer Gender]]= "O", "Other","Unknown")))</f>
        <v>Female</v>
      </c>
    </row>
    <row r="534" spans="1:16"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s="12" t="str">
        <f>TEXT(orders[[#This Row],[Order Date]],"mmmm")</f>
        <v>January</v>
      </c>
      <c r="P534" t="str">
        <f>IF(orders[[#This Row],[Customer Gender]]="M","Male", IF(orders[[#This Row],[Customer Gender]]="F","Female", IF(orders[[#This Row],[Customer Gender]]= "O", "Other","Unknown")))</f>
        <v>Female</v>
      </c>
    </row>
    <row r="535" spans="1:16"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s="12" t="str">
        <f>TEXT(orders[[#This Row],[Order Date]],"mmmm")</f>
        <v>January</v>
      </c>
      <c r="P535" t="str">
        <f>IF(orders[[#This Row],[Customer Gender]]="M","Male", IF(orders[[#This Row],[Customer Gender]]="F","Female", IF(orders[[#This Row],[Customer Gender]]= "O", "Other","Unknown")))</f>
        <v>Female</v>
      </c>
    </row>
    <row r="536" spans="1:16"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s="12" t="str">
        <f>TEXT(orders[[#This Row],[Order Date]],"mmmm")</f>
        <v>January</v>
      </c>
      <c r="P536" t="str">
        <f>IF(orders[[#This Row],[Customer Gender]]="M","Male", IF(orders[[#This Row],[Customer Gender]]="F","Female", IF(orders[[#This Row],[Customer Gender]]= "O", "Other","Unknown")))</f>
        <v>Female</v>
      </c>
    </row>
    <row r="537" spans="1:16"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s="12" t="str">
        <f>TEXT(orders[[#This Row],[Order Date]],"mmmm")</f>
        <v>January</v>
      </c>
      <c r="P537" t="str">
        <f>IF(orders[[#This Row],[Customer Gender]]="M","Male", IF(orders[[#This Row],[Customer Gender]]="F","Female", IF(orders[[#This Row],[Customer Gender]]= "O", "Other","Unknown")))</f>
        <v>Female</v>
      </c>
    </row>
    <row r="538" spans="1:16"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s="12" t="str">
        <f>TEXT(orders[[#This Row],[Order Date]],"mmmm")</f>
        <v>January</v>
      </c>
      <c r="P538" t="str">
        <f>IF(orders[[#This Row],[Customer Gender]]="M","Male", IF(orders[[#This Row],[Customer Gender]]="F","Female", IF(orders[[#This Row],[Customer Gender]]= "O", "Other","Unknown")))</f>
        <v>Male</v>
      </c>
    </row>
    <row r="539" spans="1:16"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s="12" t="str">
        <f>TEXT(orders[[#This Row],[Order Date]],"mmmm")</f>
        <v>January</v>
      </c>
      <c r="P539" t="str">
        <f>IF(orders[[#This Row],[Customer Gender]]="M","Male", IF(orders[[#This Row],[Customer Gender]]="F","Female", IF(orders[[#This Row],[Customer Gender]]= "O", "Other","Unknown")))</f>
        <v>Female</v>
      </c>
    </row>
    <row r="540" spans="1:16"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s="12" t="str">
        <f>TEXT(orders[[#This Row],[Order Date]],"mmmm")</f>
        <v>January</v>
      </c>
      <c r="P540" t="str">
        <f>IF(orders[[#This Row],[Customer Gender]]="M","Male", IF(orders[[#This Row],[Customer Gender]]="F","Female", IF(orders[[#This Row],[Customer Gender]]= "O", "Other","Unknown")))</f>
        <v>Male</v>
      </c>
    </row>
    <row r="541" spans="1:16"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s="12" t="str">
        <f>TEXT(orders[[#This Row],[Order Date]],"mmmm")</f>
        <v>January</v>
      </c>
      <c r="P541" t="str">
        <f>IF(orders[[#This Row],[Customer Gender]]="M","Male", IF(orders[[#This Row],[Customer Gender]]="F","Female", IF(orders[[#This Row],[Customer Gender]]= "O", "Other","Unknown")))</f>
        <v>Female</v>
      </c>
    </row>
    <row r="542" spans="1:16"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s="12" t="str">
        <f>TEXT(orders[[#This Row],[Order Date]],"mmmm")</f>
        <v>January</v>
      </c>
      <c r="P542" t="str">
        <f>IF(orders[[#This Row],[Customer Gender]]="M","Male", IF(orders[[#This Row],[Customer Gender]]="F","Female", IF(orders[[#This Row],[Customer Gender]]= "O", "Other","Unknown")))</f>
        <v>Male</v>
      </c>
    </row>
    <row r="543" spans="1:16"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s="12" t="str">
        <f>TEXT(orders[[#This Row],[Order Date]],"mmmm")</f>
        <v>January</v>
      </c>
      <c r="P543" t="str">
        <f>IF(orders[[#This Row],[Customer Gender]]="M","Male", IF(orders[[#This Row],[Customer Gender]]="F","Female", IF(orders[[#This Row],[Customer Gender]]= "O", "Other","Unknown")))</f>
        <v>Male</v>
      </c>
    </row>
    <row r="544" spans="1:16"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s="12" t="str">
        <f>TEXT(orders[[#This Row],[Order Date]],"mmmm")</f>
        <v>January</v>
      </c>
      <c r="P544" t="str">
        <f>IF(orders[[#This Row],[Customer Gender]]="M","Male", IF(orders[[#This Row],[Customer Gender]]="F","Female", IF(orders[[#This Row],[Customer Gender]]= "O", "Other","Unknown")))</f>
        <v>Female</v>
      </c>
    </row>
    <row r="545" spans="1:16"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s="12" t="str">
        <f>TEXT(orders[[#This Row],[Order Date]],"mmmm")</f>
        <v>January</v>
      </c>
      <c r="P545" t="str">
        <f>IF(orders[[#This Row],[Customer Gender]]="M","Male", IF(orders[[#This Row],[Customer Gender]]="F","Female", IF(orders[[#This Row],[Customer Gender]]= "O", "Other","Unknown")))</f>
        <v>Female</v>
      </c>
    </row>
    <row r="546" spans="1:16"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s="12" t="str">
        <f>TEXT(orders[[#This Row],[Order Date]],"mmmm")</f>
        <v>January</v>
      </c>
      <c r="P546" t="str">
        <f>IF(orders[[#This Row],[Customer Gender]]="M","Male", IF(orders[[#This Row],[Customer Gender]]="F","Female", IF(orders[[#This Row],[Customer Gender]]= "O", "Other","Unknown")))</f>
        <v>Female</v>
      </c>
    </row>
    <row r="547" spans="1:16"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s="12" t="str">
        <f>TEXT(orders[[#This Row],[Order Date]],"mmmm")</f>
        <v>January</v>
      </c>
      <c r="P547" t="str">
        <f>IF(orders[[#This Row],[Customer Gender]]="M","Male", IF(orders[[#This Row],[Customer Gender]]="F","Female", IF(orders[[#This Row],[Customer Gender]]= "O", "Other","Unknown")))</f>
        <v>Female</v>
      </c>
    </row>
    <row r="548" spans="1:16" hidden="1"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s="12" t="str">
        <f>TEXT(orders[[#This Row],[Order Date]],"mmmm")</f>
        <v>January</v>
      </c>
      <c r="P548" t="str">
        <f>IF(orders[[#This Row],[Customer Gender]]="M","Male", IF(orders[[#This Row],[Customer Gender]]="F","Female", IF(orders[[#This Row],[Customer Gender]]= "O", "Other","Unknown")))</f>
        <v>Unknown</v>
      </c>
    </row>
    <row r="549" spans="1:16"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s="12" t="str">
        <f>TEXT(orders[[#This Row],[Order Date]],"mmmm")</f>
        <v>January</v>
      </c>
      <c r="P549" t="str">
        <f>IF(orders[[#This Row],[Customer Gender]]="M","Male", IF(orders[[#This Row],[Customer Gender]]="F","Female", IF(orders[[#This Row],[Customer Gender]]= "O", "Other","Unknown")))</f>
        <v>Male</v>
      </c>
    </row>
    <row r="550" spans="1:16"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s="12" t="str">
        <f>TEXT(orders[[#This Row],[Order Date]],"mmmm")</f>
        <v>January</v>
      </c>
      <c r="P550" t="str">
        <f>IF(orders[[#This Row],[Customer Gender]]="M","Male", IF(orders[[#This Row],[Customer Gender]]="F","Female", IF(orders[[#This Row],[Customer Gender]]= "O", "Other","Unknown")))</f>
        <v>Female</v>
      </c>
    </row>
    <row r="551" spans="1:16"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s="12" t="str">
        <f>TEXT(orders[[#This Row],[Order Date]],"mmmm")</f>
        <v>January</v>
      </c>
      <c r="P551" t="str">
        <f>IF(orders[[#This Row],[Customer Gender]]="M","Male", IF(orders[[#This Row],[Customer Gender]]="F","Female", IF(orders[[#This Row],[Customer Gender]]= "O", "Other","Unknown")))</f>
        <v>Other</v>
      </c>
    </row>
    <row r="552" spans="1:16"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s="12" t="str">
        <f>TEXT(orders[[#This Row],[Order Date]],"mmmm")</f>
        <v>January</v>
      </c>
      <c r="P552" t="str">
        <f>IF(orders[[#This Row],[Customer Gender]]="M","Male", IF(orders[[#This Row],[Customer Gender]]="F","Female", IF(orders[[#This Row],[Customer Gender]]= "O", "Other","Unknown")))</f>
        <v>Male</v>
      </c>
    </row>
    <row r="553" spans="1:16"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s="12" t="str">
        <f>TEXT(orders[[#This Row],[Order Date]],"mmmm")</f>
        <v>January</v>
      </c>
      <c r="P553" t="str">
        <f>IF(orders[[#This Row],[Customer Gender]]="M","Male", IF(orders[[#This Row],[Customer Gender]]="F","Female", IF(orders[[#This Row],[Customer Gender]]= "O", "Other","Unknown")))</f>
        <v>Female</v>
      </c>
    </row>
    <row r="554" spans="1:16"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s="12" t="str">
        <f>TEXT(orders[[#This Row],[Order Date]],"mmmm")</f>
        <v>January</v>
      </c>
      <c r="P554" t="str">
        <f>IF(orders[[#This Row],[Customer Gender]]="M","Male", IF(orders[[#This Row],[Customer Gender]]="F","Female", IF(orders[[#This Row],[Customer Gender]]= "O", "Other","Unknown")))</f>
        <v>Female</v>
      </c>
    </row>
    <row r="555" spans="1:16"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s="12" t="str">
        <f>TEXT(orders[[#This Row],[Order Date]],"mmmm")</f>
        <v>January</v>
      </c>
      <c r="P555" t="str">
        <f>IF(orders[[#This Row],[Customer Gender]]="M","Male", IF(orders[[#This Row],[Customer Gender]]="F","Female", IF(orders[[#This Row],[Customer Gender]]= "O", "Other","Unknown")))</f>
        <v>Female</v>
      </c>
    </row>
    <row r="556" spans="1:16"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s="12" t="str">
        <f>TEXT(orders[[#This Row],[Order Date]],"mmmm")</f>
        <v>January</v>
      </c>
      <c r="P556" t="str">
        <f>IF(orders[[#This Row],[Customer Gender]]="M","Male", IF(orders[[#This Row],[Customer Gender]]="F","Female", IF(orders[[#This Row],[Customer Gender]]= "O", "Other","Unknown")))</f>
        <v>Female</v>
      </c>
    </row>
    <row r="557" spans="1:16"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s="12" t="str">
        <f>TEXT(orders[[#This Row],[Order Date]],"mmmm")</f>
        <v>January</v>
      </c>
      <c r="P557" t="str">
        <f>IF(orders[[#This Row],[Customer Gender]]="M","Male", IF(orders[[#This Row],[Customer Gender]]="F","Female", IF(orders[[#This Row],[Customer Gender]]= "O", "Other","Unknown")))</f>
        <v>Female</v>
      </c>
    </row>
    <row r="558" spans="1:16"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s="12" t="str">
        <f>TEXT(orders[[#This Row],[Order Date]],"mmmm")</f>
        <v>January</v>
      </c>
      <c r="P558" t="str">
        <f>IF(orders[[#This Row],[Customer Gender]]="M","Male", IF(orders[[#This Row],[Customer Gender]]="F","Female", IF(orders[[#This Row],[Customer Gender]]= "O", "Other","Unknown")))</f>
        <v>Female</v>
      </c>
    </row>
    <row r="559" spans="1:16"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s="12" t="str">
        <f>TEXT(orders[[#This Row],[Order Date]],"mmmm")</f>
        <v>January</v>
      </c>
      <c r="P559" t="str">
        <f>IF(orders[[#This Row],[Customer Gender]]="M","Male", IF(orders[[#This Row],[Customer Gender]]="F","Female", IF(orders[[#This Row],[Customer Gender]]= "O", "Other","Unknown")))</f>
        <v>Female</v>
      </c>
    </row>
    <row r="560" spans="1:16"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s="12" t="str">
        <f>TEXT(orders[[#This Row],[Order Date]],"mmmm")</f>
        <v>January</v>
      </c>
      <c r="P560" t="str">
        <f>IF(orders[[#This Row],[Customer Gender]]="M","Male", IF(orders[[#This Row],[Customer Gender]]="F","Female", IF(orders[[#This Row],[Customer Gender]]= "O", "Other","Unknown")))</f>
        <v>Male</v>
      </c>
    </row>
    <row r="561" spans="1:16"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s="12" t="str">
        <f>TEXT(orders[[#This Row],[Order Date]],"mmmm")</f>
        <v>January</v>
      </c>
      <c r="P561" t="str">
        <f>IF(orders[[#This Row],[Customer Gender]]="M","Male", IF(orders[[#This Row],[Customer Gender]]="F","Female", IF(orders[[#This Row],[Customer Gender]]= "O", "Other","Unknown")))</f>
        <v>Male</v>
      </c>
    </row>
    <row r="562" spans="1:16"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s="12" t="str">
        <f>TEXT(orders[[#This Row],[Order Date]],"mmmm")</f>
        <v>January</v>
      </c>
      <c r="P562" t="str">
        <f>IF(orders[[#This Row],[Customer Gender]]="M","Male", IF(orders[[#This Row],[Customer Gender]]="F","Female", IF(orders[[#This Row],[Customer Gender]]= "O", "Other","Unknown")))</f>
        <v>Female</v>
      </c>
    </row>
    <row r="563" spans="1:16"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s="12" t="str">
        <f>TEXT(orders[[#This Row],[Order Date]],"mmmm")</f>
        <v>January</v>
      </c>
      <c r="P563" t="str">
        <f>IF(orders[[#This Row],[Customer Gender]]="M","Male", IF(orders[[#This Row],[Customer Gender]]="F","Female", IF(orders[[#This Row],[Customer Gender]]= "O", "Other","Unknown")))</f>
        <v>Male</v>
      </c>
    </row>
    <row r="564" spans="1:16"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s="12" t="str">
        <f>TEXT(orders[[#This Row],[Order Date]],"mmmm")</f>
        <v>January</v>
      </c>
      <c r="P564" t="str">
        <f>IF(orders[[#This Row],[Customer Gender]]="M","Male", IF(orders[[#This Row],[Customer Gender]]="F","Female", IF(orders[[#This Row],[Customer Gender]]= "O", "Other","Unknown")))</f>
        <v>Male</v>
      </c>
    </row>
    <row r="565" spans="1:16"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s="12" t="str">
        <f>TEXT(orders[[#This Row],[Order Date]],"mmmm")</f>
        <v>January</v>
      </c>
      <c r="P565" t="str">
        <f>IF(orders[[#This Row],[Customer Gender]]="M","Male", IF(orders[[#This Row],[Customer Gender]]="F","Female", IF(orders[[#This Row],[Customer Gender]]= "O", "Other","Unknown")))</f>
        <v>Male</v>
      </c>
    </row>
    <row r="566" spans="1:16"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s="12" t="str">
        <f>TEXT(orders[[#This Row],[Order Date]],"mmmm")</f>
        <v>January</v>
      </c>
      <c r="P566" t="str">
        <f>IF(orders[[#This Row],[Customer Gender]]="M","Male", IF(orders[[#This Row],[Customer Gender]]="F","Female", IF(orders[[#This Row],[Customer Gender]]= "O", "Other","Unknown")))</f>
        <v>Female</v>
      </c>
    </row>
    <row r="567" spans="1:16"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s="12" t="str">
        <f>TEXT(orders[[#This Row],[Order Date]],"mmmm")</f>
        <v>January</v>
      </c>
      <c r="P567" t="str">
        <f>IF(orders[[#This Row],[Customer Gender]]="M","Male", IF(orders[[#This Row],[Customer Gender]]="F","Female", IF(orders[[#This Row],[Customer Gender]]= "O", "Other","Unknown")))</f>
        <v>Male</v>
      </c>
    </row>
    <row r="568" spans="1:16"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s="12" t="str">
        <f>TEXT(orders[[#This Row],[Order Date]],"mmmm")</f>
        <v>January</v>
      </c>
      <c r="P568" t="str">
        <f>IF(orders[[#This Row],[Customer Gender]]="M","Male", IF(orders[[#This Row],[Customer Gender]]="F","Female", IF(orders[[#This Row],[Customer Gender]]= "O", "Other","Unknown")))</f>
        <v>Female</v>
      </c>
    </row>
    <row r="569" spans="1:16"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s="12" t="str">
        <f>TEXT(orders[[#This Row],[Order Date]],"mmmm")</f>
        <v>January</v>
      </c>
      <c r="P569" t="str">
        <f>IF(orders[[#This Row],[Customer Gender]]="M","Male", IF(orders[[#This Row],[Customer Gender]]="F","Female", IF(orders[[#This Row],[Customer Gender]]= "O", "Other","Unknown")))</f>
        <v>Female</v>
      </c>
    </row>
    <row r="570" spans="1:16"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s="12" t="str">
        <f>TEXT(orders[[#This Row],[Order Date]],"mmmm")</f>
        <v>January</v>
      </c>
      <c r="P570" t="str">
        <f>IF(orders[[#This Row],[Customer Gender]]="M","Male", IF(orders[[#This Row],[Customer Gender]]="F","Female", IF(orders[[#This Row],[Customer Gender]]= "O", "Other","Unknown")))</f>
        <v>Female</v>
      </c>
    </row>
    <row r="571" spans="1:16"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s="12" t="str">
        <f>TEXT(orders[[#This Row],[Order Date]],"mmmm")</f>
        <v>January</v>
      </c>
      <c r="P571" t="str">
        <f>IF(orders[[#This Row],[Customer Gender]]="M","Male", IF(orders[[#This Row],[Customer Gender]]="F","Female", IF(orders[[#This Row],[Customer Gender]]= "O", "Other","Unknown")))</f>
        <v>Male</v>
      </c>
    </row>
    <row r="572" spans="1:16"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s="12" t="str">
        <f>TEXT(orders[[#This Row],[Order Date]],"mmmm")</f>
        <v>January</v>
      </c>
      <c r="P572" t="str">
        <f>IF(orders[[#This Row],[Customer Gender]]="M","Male", IF(orders[[#This Row],[Customer Gender]]="F","Female", IF(orders[[#This Row],[Customer Gender]]= "O", "Other","Unknown")))</f>
        <v>Male</v>
      </c>
    </row>
    <row r="573" spans="1:16"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s="12" t="str">
        <f>TEXT(orders[[#This Row],[Order Date]],"mmmm")</f>
        <v>January</v>
      </c>
      <c r="P573" t="str">
        <f>IF(orders[[#This Row],[Customer Gender]]="M","Male", IF(orders[[#This Row],[Customer Gender]]="F","Female", IF(orders[[#This Row],[Customer Gender]]= "O", "Other","Unknown")))</f>
        <v>Female</v>
      </c>
    </row>
    <row r="574" spans="1:16"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s="12" t="str">
        <f>TEXT(orders[[#This Row],[Order Date]],"mmmm")</f>
        <v>January</v>
      </c>
      <c r="P574" t="str">
        <f>IF(orders[[#This Row],[Customer Gender]]="M","Male", IF(orders[[#This Row],[Customer Gender]]="F","Female", IF(orders[[#This Row],[Customer Gender]]= "O", "Other","Unknown")))</f>
        <v>Male</v>
      </c>
    </row>
    <row r="575" spans="1:16"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s="12" t="str">
        <f>TEXT(orders[[#This Row],[Order Date]],"mmmm")</f>
        <v>January</v>
      </c>
      <c r="P575" t="str">
        <f>IF(orders[[#This Row],[Customer Gender]]="M","Male", IF(orders[[#This Row],[Customer Gender]]="F","Female", IF(orders[[#This Row],[Customer Gender]]= "O", "Other","Unknown")))</f>
        <v>Female</v>
      </c>
    </row>
    <row r="576" spans="1:16"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s="12" t="str">
        <f>TEXT(orders[[#This Row],[Order Date]],"mmmm")</f>
        <v>January</v>
      </c>
      <c r="P576" t="str">
        <f>IF(orders[[#This Row],[Customer Gender]]="M","Male", IF(orders[[#This Row],[Customer Gender]]="F","Female", IF(orders[[#This Row],[Customer Gender]]= "O", "Other","Unknown")))</f>
        <v>Female</v>
      </c>
    </row>
    <row r="577" spans="1:16"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s="12" t="str">
        <f>TEXT(orders[[#This Row],[Order Date]],"mmmm")</f>
        <v>January</v>
      </c>
      <c r="P577" t="str">
        <f>IF(orders[[#This Row],[Customer Gender]]="M","Male", IF(orders[[#This Row],[Customer Gender]]="F","Female", IF(orders[[#This Row],[Customer Gender]]= "O", "Other","Unknown")))</f>
        <v>Male</v>
      </c>
    </row>
    <row r="578" spans="1:16"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s="12" t="str">
        <f>TEXT(orders[[#This Row],[Order Date]],"mmmm")</f>
        <v>January</v>
      </c>
      <c r="P578" t="str">
        <f>IF(orders[[#This Row],[Customer Gender]]="M","Male", IF(orders[[#This Row],[Customer Gender]]="F","Female", IF(orders[[#This Row],[Customer Gender]]= "O", "Other","Unknown")))</f>
        <v>Male</v>
      </c>
    </row>
    <row r="579" spans="1:16"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s="12" t="str">
        <f>TEXT(orders[[#This Row],[Order Date]],"mmmm")</f>
        <v>January</v>
      </c>
      <c r="P579" t="str">
        <f>IF(orders[[#This Row],[Customer Gender]]="M","Male", IF(orders[[#This Row],[Customer Gender]]="F","Female", IF(orders[[#This Row],[Customer Gender]]= "O", "Other","Unknown")))</f>
        <v>Female</v>
      </c>
    </row>
    <row r="580" spans="1:16"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s="12" t="str">
        <f>TEXT(orders[[#This Row],[Order Date]],"mmmm")</f>
        <v>January</v>
      </c>
      <c r="P580" t="str">
        <f>IF(orders[[#This Row],[Customer Gender]]="M","Male", IF(orders[[#This Row],[Customer Gender]]="F","Female", IF(orders[[#This Row],[Customer Gender]]= "O", "Other","Unknown")))</f>
        <v>Female</v>
      </c>
    </row>
    <row r="581" spans="1:16"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s="12" t="str">
        <f>TEXT(orders[[#This Row],[Order Date]],"mmmm")</f>
        <v>January</v>
      </c>
      <c r="P581" t="str">
        <f>IF(orders[[#This Row],[Customer Gender]]="M","Male", IF(orders[[#This Row],[Customer Gender]]="F","Female", IF(orders[[#This Row],[Customer Gender]]= "O", "Other","Unknown")))</f>
        <v>Female</v>
      </c>
    </row>
    <row r="582" spans="1:16"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s="12" t="str">
        <f>TEXT(orders[[#This Row],[Order Date]],"mmmm")</f>
        <v>January</v>
      </c>
      <c r="P582" t="str">
        <f>IF(orders[[#This Row],[Customer Gender]]="M","Male", IF(orders[[#This Row],[Customer Gender]]="F","Female", IF(orders[[#This Row],[Customer Gender]]= "O", "Other","Unknown")))</f>
        <v>Female</v>
      </c>
    </row>
    <row r="583" spans="1:16"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s="12" t="str">
        <f>TEXT(orders[[#This Row],[Order Date]],"mmmm")</f>
        <v>January</v>
      </c>
      <c r="P583" t="str">
        <f>IF(orders[[#This Row],[Customer Gender]]="M","Male", IF(orders[[#This Row],[Customer Gender]]="F","Female", IF(orders[[#This Row],[Customer Gender]]= "O", "Other","Unknown")))</f>
        <v>Female</v>
      </c>
    </row>
    <row r="584" spans="1:16"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s="12" t="str">
        <f>TEXT(orders[[#This Row],[Order Date]],"mmmm")</f>
        <v>January</v>
      </c>
      <c r="P584" t="str">
        <f>IF(orders[[#This Row],[Customer Gender]]="M","Male", IF(orders[[#This Row],[Customer Gender]]="F","Female", IF(orders[[#This Row],[Customer Gender]]= "O", "Other","Unknown")))</f>
        <v>Female</v>
      </c>
    </row>
    <row r="585" spans="1:16"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s="12" t="str">
        <f>TEXT(orders[[#This Row],[Order Date]],"mmmm")</f>
        <v>January</v>
      </c>
      <c r="P585" t="str">
        <f>IF(orders[[#This Row],[Customer Gender]]="M","Male", IF(orders[[#This Row],[Customer Gender]]="F","Female", IF(orders[[#This Row],[Customer Gender]]= "O", "Other","Unknown")))</f>
        <v>Male</v>
      </c>
    </row>
    <row r="586" spans="1:16"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s="12" t="str">
        <f>TEXT(orders[[#This Row],[Order Date]],"mmmm")</f>
        <v>January</v>
      </c>
      <c r="P586" t="str">
        <f>IF(orders[[#This Row],[Customer Gender]]="M","Male", IF(orders[[#This Row],[Customer Gender]]="F","Female", IF(orders[[#This Row],[Customer Gender]]= "O", "Other","Unknown")))</f>
        <v>Female</v>
      </c>
    </row>
    <row r="587" spans="1:16"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s="12" t="str">
        <f>TEXT(orders[[#This Row],[Order Date]],"mmmm")</f>
        <v>January</v>
      </c>
      <c r="P587" t="str">
        <f>IF(orders[[#This Row],[Customer Gender]]="M","Male", IF(orders[[#This Row],[Customer Gender]]="F","Female", IF(orders[[#This Row],[Customer Gender]]= "O", "Other","Unknown")))</f>
        <v>Female</v>
      </c>
    </row>
    <row r="588" spans="1:16"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s="12" t="str">
        <f>TEXT(orders[[#This Row],[Order Date]],"mmmm")</f>
        <v>January</v>
      </c>
      <c r="P588" t="str">
        <f>IF(orders[[#This Row],[Customer Gender]]="M","Male", IF(orders[[#This Row],[Customer Gender]]="F","Female", IF(orders[[#This Row],[Customer Gender]]= "O", "Other","Unknown")))</f>
        <v>Female</v>
      </c>
    </row>
    <row r="589" spans="1:16"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s="12" t="str">
        <f>TEXT(orders[[#This Row],[Order Date]],"mmmm")</f>
        <v>January</v>
      </c>
      <c r="P589" t="str">
        <f>IF(orders[[#This Row],[Customer Gender]]="M","Male", IF(orders[[#This Row],[Customer Gender]]="F","Female", IF(orders[[#This Row],[Customer Gender]]= "O", "Other","Unknown")))</f>
        <v>Male</v>
      </c>
    </row>
    <row r="590" spans="1:16"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s="12" t="str">
        <f>TEXT(orders[[#This Row],[Order Date]],"mmmm")</f>
        <v>January</v>
      </c>
      <c r="P590" t="str">
        <f>IF(orders[[#This Row],[Customer Gender]]="M","Male", IF(orders[[#This Row],[Customer Gender]]="F","Female", IF(orders[[#This Row],[Customer Gender]]= "O", "Other","Unknown")))</f>
        <v>Female</v>
      </c>
    </row>
    <row r="591" spans="1:16"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s="12" t="str">
        <f>TEXT(orders[[#This Row],[Order Date]],"mmmm")</f>
        <v>January</v>
      </c>
      <c r="P591" t="str">
        <f>IF(orders[[#This Row],[Customer Gender]]="M","Male", IF(orders[[#This Row],[Customer Gender]]="F","Female", IF(orders[[#This Row],[Customer Gender]]= "O", "Other","Unknown")))</f>
        <v>Female</v>
      </c>
    </row>
    <row r="592" spans="1:16"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s="12" t="str">
        <f>TEXT(orders[[#This Row],[Order Date]],"mmmm")</f>
        <v>January</v>
      </c>
      <c r="P592" t="str">
        <f>IF(orders[[#This Row],[Customer Gender]]="M","Male", IF(orders[[#This Row],[Customer Gender]]="F","Female", IF(orders[[#This Row],[Customer Gender]]= "O", "Other","Unknown")))</f>
        <v>Male</v>
      </c>
    </row>
    <row r="593" spans="1:16"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s="12" t="str">
        <f>TEXT(orders[[#This Row],[Order Date]],"mmmm")</f>
        <v>January</v>
      </c>
      <c r="P593" t="str">
        <f>IF(orders[[#This Row],[Customer Gender]]="M","Male", IF(orders[[#This Row],[Customer Gender]]="F","Female", IF(orders[[#This Row],[Customer Gender]]= "O", "Other","Unknown")))</f>
        <v>Female</v>
      </c>
    </row>
    <row r="594" spans="1:16"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s="12" t="str">
        <f>TEXT(orders[[#This Row],[Order Date]],"mmmm")</f>
        <v>January</v>
      </c>
      <c r="P594" t="str">
        <f>IF(orders[[#This Row],[Customer Gender]]="M","Male", IF(orders[[#This Row],[Customer Gender]]="F","Female", IF(orders[[#This Row],[Customer Gender]]= "O", "Other","Unknown")))</f>
        <v>Female</v>
      </c>
    </row>
    <row r="595" spans="1:16"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s="12" t="str">
        <f>TEXT(orders[[#This Row],[Order Date]],"mmmm")</f>
        <v>January</v>
      </c>
      <c r="P595" t="str">
        <f>IF(orders[[#This Row],[Customer Gender]]="M","Male", IF(orders[[#This Row],[Customer Gender]]="F","Female", IF(orders[[#This Row],[Customer Gender]]= "O", "Other","Unknown")))</f>
        <v>Female</v>
      </c>
    </row>
    <row r="596" spans="1:16"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s="12" t="str">
        <f>TEXT(orders[[#This Row],[Order Date]],"mmmm")</f>
        <v>January</v>
      </c>
      <c r="P596" t="str">
        <f>IF(orders[[#This Row],[Customer Gender]]="M","Male", IF(orders[[#This Row],[Customer Gender]]="F","Female", IF(orders[[#This Row],[Customer Gender]]= "O", "Other","Unknown")))</f>
        <v>Male</v>
      </c>
    </row>
    <row r="597" spans="1:16"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s="12" t="str">
        <f>TEXT(orders[[#This Row],[Order Date]],"mmmm")</f>
        <v>January</v>
      </c>
      <c r="P597" t="str">
        <f>IF(orders[[#This Row],[Customer Gender]]="M","Male", IF(orders[[#This Row],[Customer Gender]]="F","Female", IF(orders[[#This Row],[Customer Gender]]= "O", "Other","Unknown")))</f>
        <v>Male</v>
      </c>
    </row>
    <row r="598" spans="1:16"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s="12" t="str">
        <f>TEXT(orders[[#This Row],[Order Date]],"mmmm")</f>
        <v>January</v>
      </c>
      <c r="P598" t="str">
        <f>IF(orders[[#This Row],[Customer Gender]]="M","Male", IF(orders[[#This Row],[Customer Gender]]="F","Female", IF(orders[[#This Row],[Customer Gender]]= "O", "Other","Unknown")))</f>
        <v>Female</v>
      </c>
    </row>
    <row r="599" spans="1:16"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s="12" t="str">
        <f>TEXT(orders[[#This Row],[Order Date]],"mmmm")</f>
        <v>January</v>
      </c>
      <c r="P599" t="str">
        <f>IF(orders[[#This Row],[Customer Gender]]="M","Male", IF(orders[[#This Row],[Customer Gender]]="F","Female", IF(orders[[#This Row],[Customer Gender]]= "O", "Other","Unknown")))</f>
        <v>Female</v>
      </c>
    </row>
    <row r="600" spans="1:16"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s="12" t="str">
        <f>TEXT(orders[[#This Row],[Order Date]],"mmmm")</f>
        <v>January</v>
      </c>
      <c r="P600" t="str">
        <f>IF(orders[[#This Row],[Customer Gender]]="M","Male", IF(orders[[#This Row],[Customer Gender]]="F","Female", IF(orders[[#This Row],[Customer Gender]]= "O", "Other","Unknown")))</f>
        <v>Male</v>
      </c>
    </row>
    <row r="601" spans="1:16"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s="12" t="str">
        <f>TEXT(orders[[#This Row],[Order Date]],"mmmm")</f>
        <v>January</v>
      </c>
      <c r="P601" t="str">
        <f>IF(orders[[#This Row],[Customer Gender]]="M","Male", IF(orders[[#This Row],[Customer Gender]]="F","Female", IF(orders[[#This Row],[Customer Gender]]= "O", "Other","Unknown")))</f>
        <v>Female</v>
      </c>
    </row>
    <row r="602" spans="1:16"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s="12" t="str">
        <f>TEXT(orders[[#This Row],[Order Date]],"mmmm")</f>
        <v>January</v>
      </c>
      <c r="P602" t="str">
        <f>IF(orders[[#This Row],[Customer Gender]]="M","Male", IF(orders[[#This Row],[Customer Gender]]="F","Female", IF(orders[[#This Row],[Customer Gender]]= "O", "Other","Unknown")))</f>
        <v>Male</v>
      </c>
    </row>
    <row r="603" spans="1:16"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s="12" t="str">
        <f>TEXT(orders[[#This Row],[Order Date]],"mmmm")</f>
        <v>January</v>
      </c>
      <c r="P603" t="str">
        <f>IF(orders[[#This Row],[Customer Gender]]="M","Male", IF(orders[[#This Row],[Customer Gender]]="F","Female", IF(orders[[#This Row],[Customer Gender]]= "O", "Other","Unknown")))</f>
        <v>Female</v>
      </c>
    </row>
    <row r="604" spans="1:16"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s="12" t="str">
        <f>TEXT(orders[[#This Row],[Order Date]],"mmmm")</f>
        <v>January</v>
      </c>
      <c r="P604" t="str">
        <f>IF(orders[[#This Row],[Customer Gender]]="M","Male", IF(orders[[#This Row],[Customer Gender]]="F","Female", IF(orders[[#This Row],[Customer Gender]]= "O", "Other","Unknown")))</f>
        <v>Female</v>
      </c>
    </row>
    <row r="605" spans="1:16"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s="12" t="str">
        <f>TEXT(orders[[#This Row],[Order Date]],"mmmm")</f>
        <v>January</v>
      </c>
      <c r="P605" t="str">
        <f>IF(orders[[#This Row],[Customer Gender]]="M","Male", IF(orders[[#This Row],[Customer Gender]]="F","Female", IF(orders[[#This Row],[Customer Gender]]= "O", "Other","Unknown")))</f>
        <v>Male</v>
      </c>
    </row>
    <row r="606" spans="1:16"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s="12" t="str">
        <f>TEXT(orders[[#This Row],[Order Date]],"mmmm")</f>
        <v>January</v>
      </c>
      <c r="P606" t="str">
        <f>IF(orders[[#This Row],[Customer Gender]]="M","Male", IF(orders[[#This Row],[Customer Gender]]="F","Female", IF(orders[[#This Row],[Customer Gender]]= "O", "Other","Unknown")))</f>
        <v>Male</v>
      </c>
    </row>
    <row r="607" spans="1:16"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s="12" t="str">
        <f>TEXT(orders[[#This Row],[Order Date]],"mmmm")</f>
        <v>January</v>
      </c>
      <c r="P607" t="str">
        <f>IF(orders[[#This Row],[Customer Gender]]="M","Male", IF(orders[[#This Row],[Customer Gender]]="F","Female", IF(orders[[#This Row],[Customer Gender]]= "O", "Other","Unknown")))</f>
        <v>Female</v>
      </c>
    </row>
    <row r="608" spans="1:16"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s="12" t="str">
        <f>TEXT(orders[[#This Row],[Order Date]],"mmmm")</f>
        <v>January</v>
      </c>
      <c r="P608" t="str">
        <f>IF(orders[[#This Row],[Customer Gender]]="M","Male", IF(orders[[#This Row],[Customer Gender]]="F","Female", IF(orders[[#This Row],[Customer Gender]]= "O", "Other","Unknown")))</f>
        <v>Female</v>
      </c>
    </row>
    <row r="609" spans="1:16"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s="12" t="str">
        <f>TEXT(orders[[#This Row],[Order Date]],"mmmm")</f>
        <v>January</v>
      </c>
      <c r="P609" t="str">
        <f>IF(orders[[#This Row],[Customer Gender]]="M","Male", IF(orders[[#This Row],[Customer Gender]]="F","Female", IF(orders[[#This Row],[Customer Gender]]= "O", "Other","Unknown")))</f>
        <v>Male</v>
      </c>
    </row>
    <row r="610" spans="1:16"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s="12" t="str">
        <f>TEXT(orders[[#This Row],[Order Date]],"mmmm")</f>
        <v>January</v>
      </c>
      <c r="P610" t="str">
        <f>IF(orders[[#This Row],[Customer Gender]]="M","Male", IF(orders[[#This Row],[Customer Gender]]="F","Female", IF(orders[[#This Row],[Customer Gender]]= "O", "Other","Unknown")))</f>
        <v>Female</v>
      </c>
    </row>
    <row r="611" spans="1:16"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s="12" t="str">
        <f>TEXT(orders[[#This Row],[Order Date]],"mmmm")</f>
        <v>January</v>
      </c>
      <c r="P611" t="str">
        <f>IF(orders[[#This Row],[Customer Gender]]="M","Male", IF(orders[[#This Row],[Customer Gender]]="F","Female", IF(orders[[#This Row],[Customer Gender]]= "O", "Other","Unknown")))</f>
        <v>Female</v>
      </c>
    </row>
    <row r="612" spans="1:16"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s="12" t="str">
        <f>TEXT(orders[[#This Row],[Order Date]],"mmmm")</f>
        <v>January</v>
      </c>
      <c r="P612" t="str">
        <f>IF(orders[[#This Row],[Customer Gender]]="M","Male", IF(orders[[#This Row],[Customer Gender]]="F","Female", IF(orders[[#This Row],[Customer Gender]]= "O", "Other","Unknown")))</f>
        <v>Female</v>
      </c>
    </row>
    <row r="613" spans="1:16"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s="12" t="str">
        <f>TEXT(orders[[#This Row],[Order Date]],"mmmm")</f>
        <v>January</v>
      </c>
      <c r="P613" t="str">
        <f>IF(orders[[#This Row],[Customer Gender]]="M","Male", IF(orders[[#This Row],[Customer Gender]]="F","Female", IF(orders[[#This Row],[Customer Gender]]= "O", "Other","Unknown")))</f>
        <v>Female</v>
      </c>
    </row>
    <row r="614" spans="1:16"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s="12" t="str">
        <f>TEXT(orders[[#This Row],[Order Date]],"mmmm")</f>
        <v>January</v>
      </c>
      <c r="P614" t="str">
        <f>IF(orders[[#This Row],[Customer Gender]]="M","Male", IF(orders[[#This Row],[Customer Gender]]="F","Female", IF(orders[[#This Row],[Customer Gender]]= "O", "Other","Unknown")))</f>
        <v>Female</v>
      </c>
    </row>
    <row r="615" spans="1:16"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s="12" t="str">
        <f>TEXT(orders[[#This Row],[Order Date]],"mmmm")</f>
        <v>January</v>
      </c>
      <c r="P615" t="str">
        <f>IF(orders[[#This Row],[Customer Gender]]="M","Male", IF(orders[[#This Row],[Customer Gender]]="F","Female", IF(orders[[#This Row],[Customer Gender]]= "O", "Other","Unknown")))</f>
        <v>Female</v>
      </c>
    </row>
    <row r="616" spans="1:16"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s="12" t="str">
        <f>TEXT(orders[[#This Row],[Order Date]],"mmmm")</f>
        <v>January</v>
      </c>
      <c r="P616" t="str">
        <f>IF(orders[[#This Row],[Customer Gender]]="M","Male", IF(orders[[#This Row],[Customer Gender]]="F","Female", IF(orders[[#This Row],[Customer Gender]]= "O", "Other","Unknown")))</f>
        <v>Male</v>
      </c>
    </row>
    <row r="617" spans="1:16"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s="12" t="str">
        <f>TEXT(orders[[#This Row],[Order Date]],"mmmm")</f>
        <v>January</v>
      </c>
      <c r="P617" t="str">
        <f>IF(orders[[#This Row],[Customer Gender]]="M","Male", IF(orders[[#This Row],[Customer Gender]]="F","Female", IF(orders[[#This Row],[Customer Gender]]= "O", "Other","Unknown")))</f>
        <v>Male</v>
      </c>
    </row>
    <row r="618" spans="1:16"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s="12" t="str">
        <f>TEXT(orders[[#This Row],[Order Date]],"mmmm")</f>
        <v>January</v>
      </c>
      <c r="P618" t="str">
        <f>IF(orders[[#This Row],[Customer Gender]]="M","Male", IF(orders[[#This Row],[Customer Gender]]="F","Female", IF(orders[[#This Row],[Customer Gender]]= "O", "Other","Unknown")))</f>
        <v>Male</v>
      </c>
    </row>
    <row r="619" spans="1:16"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s="12" t="str">
        <f>TEXT(orders[[#This Row],[Order Date]],"mmmm")</f>
        <v>January</v>
      </c>
      <c r="P619" t="str">
        <f>IF(orders[[#This Row],[Customer Gender]]="M","Male", IF(orders[[#This Row],[Customer Gender]]="F","Female", IF(orders[[#This Row],[Customer Gender]]= "O", "Other","Unknown")))</f>
        <v>Female</v>
      </c>
    </row>
    <row r="620" spans="1:16"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s="12" t="str">
        <f>TEXT(orders[[#This Row],[Order Date]],"mmmm")</f>
        <v>January</v>
      </c>
      <c r="P620" t="str">
        <f>IF(orders[[#This Row],[Customer Gender]]="M","Male", IF(orders[[#This Row],[Customer Gender]]="F","Female", IF(orders[[#This Row],[Customer Gender]]= "O", "Other","Unknown")))</f>
        <v>Male</v>
      </c>
    </row>
    <row r="621" spans="1:16"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s="12" t="str">
        <f>TEXT(orders[[#This Row],[Order Date]],"mmmm")</f>
        <v>January</v>
      </c>
      <c r="P621" t="str">
        <f>IF(orders[[#This Row],[Customer Gender]]="M","Male", IF(orders[[#This Row],[Customer Gender]]="F","Female", IF(orders[[#This Row],[Customer Gender]]= "O", "Other","Unknown")))</f>
        <v>Male</v>
      </c>
    </row>
    <row r="622" spans="1:16"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s="12" t="str">
        <f>TEXT(orders[[#This Row],[Order Date]],"mmmm")</f>
        <v>January</v>
      </c>
      <c r="P622" t="str">
        <f>IF(orders[[#This Row],[Customer Gender]]="M","Male", IF(orders[[#This Row],[Customer Gender]]="F","Female", IF(orders[[#This Row],[Customer Gender]]= "O", "Other","Unknown")))</f>
        <v>Female</v>
      </c>
    </row>
    <row r="623" spans="1:16"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s="12" t="str">
        <f>TEXT(orders[[#This Row],[Order Date]],"mmmm")</f>
        <v>January</v>
      </c>
      <c r="P623" t="str">
        <f>IF(orders[[#This Row],[Customer Gender]]="M","Male", IF(orders[[#This Row],[Customer Gender]]="F","Female", IF(orders[[#This Row],[Customer Gender]]= "O", "Other","Unknown")))</f>
        <v>Male</v>
      </c>
    </row>
    <row r="624" spans="1:16"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s="12" t="str">
        <f>TEXT(orders[[#This Row],[Order Date]],"mmmm")</f>
        <v>January</v>
      </c>
      <c r="P624" t="str">
        <f>IF(orders[[#This Row],[Customer Gender]]="M","Male", IF(orders[[#This Row],[Customer Gender]]="F","Female", IF(orders[[#This Row],[Customer Gender]]= "O", "Other","Unknown")))</f>
        <v>Female</v>
      </c>
    </row>
    <row r="625" spans="1:16" hidden="1"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s="12" t="str">
        <f>TEXT(orders[[#This Row],[Order Date]],"mmmm")</f>
        <v>January</v>
      </c>
      <c r="P625" t="str">
        <f>IF(orders[[#This Row],[Customer Gender]]="M","Male", IF(orders[[#This Row],[Customer Gender]]="F","Female", IF(orders[[#This Row],[Customer Gender]]= "O", "Other","Unknown")))</f>
        <v>Unknown</v>
      </c>
    </row>
    <row r="626" spans="1:16"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s="12" t="str">
        <f>TEXT(orders[[#This Row],[Order Date]],"mmmm")</f>
        <v>January</v>
      </c>
      <c r="P626" t="str">
        <f>IF(orders[[#This Row],[Customer Gender]]="M","Male", IF(orders[[#This Row],[Customer Gender]]="F","Female", IF(orders[[#This Row],[Customer Gender]]= "O", "Other","Unknown")))</f>
        <v>Female</v>
      </c>
    </row>
    <row r="627" spans="1:16"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s="12" t="str">
        <f>TEXT(orders[[#This Row],[Order Date]],"mmmm")</f>
        <v>January</v>
      </c>
      <c r="P627" t="str">
        <f>IF(orders[[#This Row],[Customer Gender]]="M","Male", IF(orders[[#This Row],[Customer Gender]]="F","Female", IF(orders[[#This Row],[Customer Gender]]= "O", "Other","Unknown")))</f>
        <v>Female</v>
      </c>
    </row>
    <row r="628" spans="1:16"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s="12" t="str">
        <f>TEXT(orders[[#This Row],[Order Date]],"mmmm")</f>
        <v>January</v>
      </c>
      <c r="P628" t="str">
        <f>IF(orders[[#This Row],[Customer Gender]]="M","Male", IF(orders[[#This Row],[Customer Gender]]="F","Female", IF(orders[[#This Row],[Customer Gender]]= "O", "Other","Unknown")))</f>
        <v>Female</v>
      </c>
    </row>
    <row r="629" spans="1:16"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s="12" t="str">
        <f>TEXT(orders[[#This Row],[Order Date]],"mmmm")</f>
        <v>January</v>
      </c>
      <c r="P629" t="str">
        <f>IF(orders[[#This Row],[Customer Gender]]="M","Male", IF(orders[[#This Row],[Customer Gender]]="F","Female", IF(orders[[#This Row],[Customer Gender]]= "O", "Other","Unknown")))</f>
        <v>Female</v>
      </c>
    </row>
    <row r="630" spans="1:16"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s="12" t="str">
        <f>TEXT(orders[[#This Row],[Order Date]],"mmmm")</f>
        <v>January</v>
      </c>
      <c r="P630" t="str">
        <f>IF(orders[[#This Row],[Customer Gender]]="M","Male", IF(orders[[#This Row],[Customer Gender]]="F","Female", IF(orders[[#This Row],[Customer Gender]]= "O", "Other","Unknown")))</f>
        <v>Female</v>
      </c>
    </row>
    <row r="631" spans="1:16"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s="12" t="str">
        <f>TEXT(orders[[#This Row],[Order Date]],"mmmm")</f>
        <v>January</v>
      </c>
      <c r="P631" t="str">
        <f>IF(orders[[#This Row],[Customer Gender]]="M","Male", IF(orders[[#This Row],[Customer Gender]]="F","Female", IF(orders[[#This Row],[Customer Gender]]= "O", "Other","Unknown")))</f>
        <v>Male</v>
      </c>
    </row>
    <row r="632" spans="1:16"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s="12" t="str">
        <f>TEXT(orders[[#This Row],[Order Date]],"mmmm")</f>
        <v>January</v>
      </c>
      <c r="P632" t="str">
        <f>IF(orders[[#This Row],[Customer Gender]]="M","Male", IF(orders[[#This Row],[Customer Gender]]="F","Female", IF(orders[[#This Row],[Customer Gender]]= "O", "Other","Unknown")))</f>
        <v>Female</v>
      </c>
    </row>
    <row r="633" spans="1:16"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s="12" t="str">
        <f>TEXT(orders[[#This Row],[Order Date]],"mmmm")</f>
        <v>January</v>
      </c>
      <c r="P633" t="str">
        <f>IF(orders[[#This Row],[Customer Gender]]="M","Male", IF(orders[[#This Row],[Customer Gender]]="F","Female", IF(orders[[#This Row],[Customer Gender]]= "O", "Other","Unknown")))</f>
        <v>Male</v>
      </c>
    </row>
    <row r="634" spans="1:16"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s="12" t="str">
        <f>TEXT(orders[[#This Row],[Order Date]],"mmmm")</f>
        <v>January</v>
      </c>
      <c r="P634" t="str">
        <f>IF(orders[[#This Row],[Customer Gender]]="M","Male", IF(orders[[#This Row],[Customer Gender]]="F","Female", IF(orders[[#This Row],[Customer Gender]]= "O", "Other","Unknown")))</f>
        <v>Male</v>
      </c>
    </row>
    <row r="635" spans="1:16"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s="12" t="str">
        <f>TEXT(orders[[#This Row],[Order Date]],"mmmm")</f>
        <v>January</v>
      </c>
      <c r="P635" t="str">
        <f>IF(orders[[#This Row],[Customer Gender]]="M","Male", IF(orders[[#This Row],[Customer Gender]]="F","Female", IF(orders[[#This Row],[Customer Gender]]= "O", "Other","Unknown")))</f>
        <v>Female</v>
      </c>
    </row>
    <row r="636" spans="1:16"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s="12" t="str">
        <f>TEXT(orders[[#This Row],[Order Date]],"mmmm")</f>
        <v>January</v>
      </c>
      <c r="P636" t="str">
        <f>IF(orders[[#This Row],[Customer Gender]]="M","Male", IF(orders[[#This Row],[Customer Gender]]="F","Female", IF(orders[[#This Row],[Customer Gender]]= "O", "Other","Unknown")))</f>
        <v>Female</v>
      </c>
    </row>
    <row r="637" spans="1:16"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s="12" t="str">
        <f>TEXT(orders[[#This Row],[Order Date]],"mmmm")</f>
        <v>January</v>
      </c>
      <c r="P637" t="str">
        <f>IF(orders[[#This Row],[Customer Gender]]="M","Male", IF(orders[[#This Row],[Customer Gender]]="F","Female", IF(orders[[#This Row],[Customer Gender]]= "O", "Other","Unknown")))</f>
        <v>Male</v>
      </c>
    </row>
    <row r="638" spans="1:16"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s="12" t="str">
        <f>TEXT(orders[[#This Row],[Order Date]],"mmmm")</f>
        <v>January</v>
      </c>
      <c r="P638" t="str">
        <f>IF(orders[[#This Row],[Customer Gender]]="M","Male", IF(orders[[#This Row],[Customer Gender]]="F","Female", IF(orders[[#This Row],[Customer Gender]]= "O", "Other","Unknown")))</f>
        <v>Male</v>
      </c>
    </row>
    <row r="639" spans="1:16"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s="12" t="str">
        <f>TEXT(orders[[#This Row],[Order Date]],"mmmm")</f>
        <v>January</v>
      </c>
      <c r="P639" t="str">
        <f>IF(orders[[#This Row],[Customer Gender]]="M","Male", IF(orders[[#This Row],[Customer Gender]]="F","Female", IF(orders[[#This Row],[Customer Gender]]= "O", "Other","Unknown")))</f>
        <v>Female</v>
      </c>
    </row>
    <row r="640" spans="1:16"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s="12" t="str">
        <f>TEXT(orders[[#This Row],[Order Date]],"mmmm")</f>
        <v>January</v>
      </c>
      <c r="P640" t="str">
        <f>IF(orders[[#This Row],[Customer Gender]]="M","Male", IF(orders[[#This Row],[Customer Gender]]="F","Female", IF(orders[[#This Row],[Customer Gender]]= "O", "Other","Unknown")))</f>
        <v>Female</v>
      </c>
    </row>
    <row r="641" spans="1:16"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s="12" t="str">
        <f>TEXT(orders[[#This Row],[Order Date]],"mmmm")</f>
        <v>January</v>
      </c>
      <c r="P641" t="str">
        <f>IF(orders[[#This Row],[Customer Gender]]="M","Male", IF(orders[[#This Row],[Customer Gender]]="F","Female", IF(orders[[#This Row],[Customer Gender]]= "O", "Other","Unknown")))</f>
        <v>Female</v>
      </c>
    </row>
    <row r="642" spans="1:16"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s="12" t="str">
        <f>TEXT(orders[[#This Row],[Order Date]],"mmmm")</f>
        <v>January</v>
      </c>
      <c r="P642" t="str">
        <f>IF(orders[[#This Row],[Customer Gender]]="M","Male", IF(orders[[#This Row],[Customer Gender]]="F","Female", IF(orders[[#This Row],[Customer Gender]]= "O", "Other","Unknown")))</f>
        <v>Male</v>
      </c>
    </row>
    <row r="643" spans="1:16"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s="12" t="str">
        <f>TEXT(orders[[#This Row],[Order Date]],"mmmm")</f>
        <v>January</v>
      </c>
      <c r="P643" t="str">
        <f>IF(orders[[#This Row],[Customer Gender]]="M","Male", IF(orders[[#This Row],[Customer Gender]]="F","Female", IF(orders[[#This Row],[Customer Gender]]= "O", "Other","Unknown")))</f>
        <v>Female</v>
      </c>
    </row>
    <row r="644" spans="1:16"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s="12" t="str">
        <f>TEXT(orders[[#This Row],[Order Date]],"mmmm")</f>
        <v>January</v>
      </c>
      <c r="P644" t="str">
        <f>IF(orders[[#This Row],[Customer Gender]]="M","Male", IF(orders[[#This Row],[Customer Gender]]="F","Female", IF(orders[[#This Row],[Customer Gender]]= "O", "Other","Unknown")))</f>
        <v>Male</v>
      </c>
    </row>
    <row r="645" spans="1:16"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s="12" t="str">
        <f>TEXT(orders[[#This Row],[Order Date]],"mmmm")</f>
        <v>January</v>
      </c>
      <c r="P645" t="str">
        <f>IF(orders[[#This Row],[Customer Gender]]="M","Male", IF(orders[[#This Row],[Customer Gender]]="F","Female", IF(orders[[#This Row],[Customer Gender]]= "O", "Other","Unknown")))</f>
        <v>Female</v>
      </c>
    </row>
    <row r="646" spans="1:16"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s="12" t="str">
        <f>TEXT(orders[[#This Row],[Order Date]],"mmmm")</f>
        <v>January</v>
      </c>
      <c r="P646" t="str">
        <f>IF(orders[[#This Row],[Customer Gender]]="M","Male", IF(orders[[#This Row],[Customer Gender]]="F","Female", IF(orders[[#This Row],[Customer Gender]]= "O", "Other","Unknown")))</f>
        <v>Female</v>
      </c>
    </row>
    <row r="647" spans="1:16"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s="12" t="str">
        <f>TEXT(orders[[#This Row],[Order Date]],"mmmm")</f>
        <v>January</v>
      </c>
      <c r="P647" t="str">
        <f>IF(orders[[#This Row],[Customer Gender]]="M","Male", IF(orders[[#This Row],[Customer Gender]]="F","Female", IF(orders[[#This Row],[Customer Gender]]= "O", "Other","Unknown")))</f>
        <v>Female</v>
      </c>
    </row>
    <row r="648" spans="1:16" hidden="1"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s="12" t="str">
        <f>TEXT(orders[[#This Row],[Order Date]],"mmmm")</f>
        <v>January</v>
      </c>
      <c r="P648" t="str">
        <f>IF(orders[[#This Row],[Customer Gender]]="M","Male", IF(orders[[#This Row],[Customer Gender]]="F","Female", IF(orders[[#This Row],[Customer Gender]]= "O", "Other","Unknown")))</f>
        <v>Unknown</v>
      </c>
    </row>
    <row r="649" spans="1:16"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s="12" t="str">
        <f>TEXT(orders[[#This Row],[Order Date]],"mmmm")</f>
        <v>January</v>
      </c>
      <c r="P649" t="str">
        <f>IF(orders[[#This Row],[Customer Gender]]="M","Male", IF(orders[[#This Row],[Customer Gender]]="F","Female", IF(orders[[#This Row],[Customer Gender]]= "O", "Other","Unknown")))</f>
        <v>Female</v>
      </c>
    </row>
    <row r="650" spans="1:16"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s="12" t="str">
        <f>TEXT(orders[[#This Row],[Order Date]],"mmmm")</f>
        <v>January</v>
      </c>
      <c r="P650" t="str">
        <f>IF(orders[[#This Row],[Customer Gender]]="M","Male", IF(orders[[#This Row],[Customer Gender]]="F","Female", IF(orders[[#This Row],[Customer Gender]]= "O", "Other","Unknown")))</f>
        <v>Female</v>
      </c>
    </row>
    <row r="651" spans="1:16"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s="12" t="str">
        <f>TEXT(orders[[#This Row],[Order Date]],"mmmm")</f>
        <v>January</v>
      </c>
      <c r="P651" t="str">
        <f>IF(orders[[#This Row],[Customer Gender]]="M","Male", IF(orders[[#This Row],[Customer Gender]]="F","Female", IF(orders[[#This Row],[Customer Gender]]= "O", "Other","Unknown")))</f>
        <v>Male</v>
      </c>
    </row>
    <row r="652" spans="1:16"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s="12" t="str">
        <f>TEXT(orders[[#This Row],[Order Date]],"mmmm")</f>
        <v>January</v>
      </c>
      <c r="P652" t="str">
        <f>IF(orders[[#This Row],[Customer Gender]]="M","Male", IF(orders[[#This Row],[Customer Gender]]="F","Female", IF(orders[[#This Row],[Customer Gender]]= "O", "Other","Unknown")))</f>
        <v>Female</v>
      </c>
    </row>
    <row r="653" spans="1:16"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s="12" t="str">
        <f>TEXT(orders[[#This Row],[Order Date]],"mmmm")</f>
        <v>January</v>
      </c>
      <c r="P653" t="str">
        <f>IF(orders[[#This Row],[Customer Gender]]="M","Male", IF(orders[[#This Row],[Customer Gender]]="F","Female", IF(orders[[#This Row],[Customer Gender]]= "O", "Other","Unknown")))</f>
        <v>Female</v>
      </c>
    </row>
    <row r="654" spans="1:16"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s="12" t="str">
        <f>TEXT(orders[[#This Row],[Order Date]],"mmmm")</f>
        <v>January</v>
      </c>
      <c r="P654" t="str">
        <f>IF(orders[[#This Row],[Customer Gender]]="M","Male", IF(orders[[#This Row],[Customer Gender]]="F","Female", IF(orders[[#This Row],[Customer Gender]]= "O", "Other","Unknown")))</f>
        <v>Male</v>
      </c>
    </row>
    <row r="655" spans="1:16"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s="12" t="str">
        <f>TEXT(orders[[#This Row],[Order Date]],"mmmm")</f>
        <v>January</v>
      </c>
      <c r="P655" t="str">
        <f>IF(orders[[#This Row],[Customer Gender]]="M","Male", IF(orders[[#This Row],[Customer Gender]]="F","Female", IF(orders[[#This Row],[Customer Gender]]= "O", "Other","Unknown")))</f>
        <v>Female</v>
      </c>
    </row>
    <row r="656" spans="1:16"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s="12" t="str">
        <f>TEXT(orders[[#This Row],[Order Date]],"mmmm")</f>
        <v>January</v>
      </c>
      <c r="P656" t="str">
        <f>IF(orders[[#This Row],[Customer Gender]]="M","Male", IF(orders[[#This Row],[Customer Gender]]="F","Female", IF(orders[[#This Row],[Customer Gender]]= "O", "Other","Unknown")))</f>
        <v>Male</v>
      </c>
    </row>
    <row r="657" spans="1:16"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s="12" t="str">
        <f>TEXT(orders[[#This Row],[Order Date]],"mmmm")</f>
        <v>January</v>
      </c>
      <c r="P657" t="str">
        <f>IF(orders[[#This Row],[Customer Gender]]="M","Male", IF(orders[[#This Row],[Customer Gender]]="F","Female", IF(orders[[#This Row],[Customer Gender]]= "O", "Other","Unknown")))</f>
        <v>Female</v>
      </c>
    </row>
    <row r="658" spans="1:16"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s="12" t="str">
        <f>TEXT(orders[[#This Row],[Order Date]],"mmmm")</f>
        <v>January</v>
      </c>
      <c r="P658" t="str">
        <f>IF(orders[[#This Row],[Customer Gender]]="M","Male", IF(orders[[#This Row],[Customer Gender]]="F","Female", IF(orders[[#This Row],[Customer Gender]]= "O", "Other","Unknown")))</f>
        <v>Male</v>
      </c>
    </row>
    <row r="659" spans="1:16"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s="12" t="str">
        <f>TEXT(orders[[#This Row],[Order Date]],"mmmm")</f>
        <v>January</v>
      </c>
      <c r="P659" t="str">
        <f>IF(orders[[#This Row],[Customer Gender]]="M","Male", IF(orders[[#This Row],[Customer Gender]]="F","Female", IF(orders[[#This Row],[Customer Gender]]= "O", "Other","Unknown")))</f>
        <v>Male</v>
      </c>
    </row>
    <row r="660" spans="1:16"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s="12" t="str">
        <f>TEXT(orders[[#This Row],[Order Date]],"mmmm")</f>
        <v>January</v>
      </c>
      <c r="P660" t="str">
        <f>IF(orders[[#This Row],[Customer Gender]]="M","Male", IF(orders[[#This Row],[Customer Gender]]="F","Female", IF(orders[[#This Row],[Customer Gender]]= "O", "Other","Unknown")))</f>
        <v>Female</v>
      </c>
    </row>
    <row r="661" spans="1:16"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s="12" t="str">
        <f>TEXT(orders[[#This Row],[Order Date]],"mmmm")</f>
        <v>January</v>
      </c>
      <c r="P661" t="str">
        <f>IF(orders[[#This Row],[Customer Gender]]="M","Male", IF(orders[[#This Row],[Customer Gender]]="F","Female", IF(orders[[#This Row],[Customer Gender]]= "O", "Other","Unknown")))</f>
        <v>Female</v>
      </c>
    </row>
    <row r="662" spans="1:16"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s="12" t="str">
        <f>TEXT(orders[[#This Row],[Order Date]],"mmmm")</f>
        <v>January</v>
      </c>
      <c r="P662" t="str">
        <f>IF(orders[[#This Row],[Customer Gender]]="M","Male", IF(orders[[#This Row],[Customer Gender]]="F","Female", IF(orders[[#This Row],[Customer Gender]]= "O", "Other","Unknown")))</f>
        <v>Female</v>
      </c>
    </row>
    <row r="663" spans="1:16"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s="12" t="str">
        <f>TEXT(orders[[#This Row],[Order Date]],"mmmm")</f>
        <v>January</v>
      </c>
      <c r="P663" t="str">
        <f>IF(orders[[#This Row],[Customer Gender]]="M","Male", IF(orders[[#This Row],[Customer Gender]]="F","Female", IF(orders[[#This Row],[Customer Gender]]= "O", "Other","Unknown")))</f>
        <v>Male</v>
      </c>
    </row>
    <row r="664" spans="1:16"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s="12" t="str">
        <f>TEXT(orders[[#This Row],[Order Date]],"mmmm")</f>
        <v>January</v>
      </c>
      <c r="P664" t="str">
        <f>IF(orders[[#This Row],[Customer Gender]]="M","Male", IF(orders[[#This Row],[Customer Gender]]="F","Female", IF(orders[[#This Row],[Customer Gender]]= "O", "Other","Unknown")))</f>
        <v>Female</v>
      </c>
    </row>
    <row r="665" spans="1:16"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s="12" t="str">
        <f>TEXT(orders[[#This Row],[Order Date]],"mmmm")</f>
        <v>January</v>
      </c>
      <c r="P665" t="str">
        <f>IF(orders[[#This Row],[Customer Gender]]="M","Male", IF(orders[[#This Row],[Customer Gender]]="F","Female", IF(orders[[#This Row],[Customer Gender]]= "O", "Other","Unknown")))</f>
        <v>Male</v>
      </c>
    </row>
    <row r="666" spans="1:16"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s="12" t="str">
        <f>TEXT(orders[[#This Row],[Order Date]],"mmmm")</f>
        <v>January</v>
      </c>
      <c r="P666" t="str">
        <f>IF(orders[[#This Row],[Customer Gender]]="M","Male", IF(orders[[#This Row],[Customer Gender]]="F","Female", IF(orders[[#This Row],[Customer Gender]]= "O", "Other","Unknown")))</f>
        <v>Male</v>
      </c>
    </row>
    <row r="667" spans="1:16"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s="12" t="str">
        <f>TEXT(orders[[#This Row],[Order Date]],"mmmm")</f>
        <v>January</v>
      </c>
      <c r="P667" t="str">
        <f>IF(orders[[#This Row],[Customer Gender]]="M","Male", IF(orders[[#This Row],[Customer Gender]]="F","Female", IF(orders[[#This Row],[Customer Gender]]= "O", "Other","Unknown")))</f>
        <v>Female</v>
      </c>
    </row>
    <row r="668" spans="1:16"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s="12" t="str">
        <f>TEXT(orders[[#This Row],[Order Date]],"mmmm")</f>
        <v>January</v>
      </c>
      <c r="P668" t="str">
        <f>IF(orders[[#This Row],[Customer Gender]]="M","Male", IF(orders[[#This Row],[Customer Gender]]="F","Female", IF(orders[[#This Row],[Customer Gender]]= "O", "Other","Unknown")))</f>
        <v>Male</v>
      </c>
    </row>
    <row r="669" spans="1:16"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s="12" t="str">
        <f>TEXT(orders[[#This Row],[Order Date]],"mmmm")</f>
        <v>January</v>
      </c>
      <c r="P669" t="str">
        <f>IF(orders[[#This Row],[Customer Gender]]="M","Male", IF(orders[[#This Row],[Customer Gender]]="F","Female", IF(orders[[#This Row],[Customer Gender]]= "O", "Other","Unknown")))</f>
        <v>Female</v>
      </c>
    </row>
    <row r="670" spans="1:16"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s="12" t="str">
        <f>TEXT(orders[[#This Row],[Order Date]],"mmmm")</f>
        <v>January</v>
      </c>
      <c r="P670" t="str">
        <f>IF(orders[[#This Row],[Customer Gender]]="M","Male", IF(orders[[#This Row],[Customer Gender]]="F","Female", IF(orders[[#This Row],[Customer Gender]]= "O", "Other","Unknown")))</f>
        <v>Female</v>
      </c>
    </row>
    <row r="671" spans="1:16"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s="12" t="str">
        <f>TEXT(orders[[#This Row],[Order Date]],"mmmm")</f>
        <v>January</v>
      </c>
      <c r="P671" t="str">
        <f>IF(orders[[#This Row],[Customer Gender]]="M","Male", IF(orders[[#This Row],[Customer Gender]]="F","Female", IF(orders[[#This Row],[Customer Gender]]= "O", "Other","Unknown")))</f>
        <v>Female</v>
      </c>
    </row>
    <row r="672" spans="1:16"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s="12" t="str">
        <f>TEXT(orders[[#This Row],[Order Date]],"mmmm")</f>
        <v>January</v>
      </c>
      <c r="P672" t="str">
        <f>IF(orders[[#This Row],[Customer Gender]]="M","Male", IF(orders[[#This Row],[Customer Gender]]="F","Female", IF(orders[[#This Row],[Customer Gender]]= "O", "Other","Unknown")))</f>
        <v>Female</v>
      </c>
    </row>
    <row r="673" spans="1:16"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s="12" t="str">
        <f>TEXT(orders[[#This Row],[Order Date]],"mmmm")</f>
        <v>January</v>
      </c>
      <c r="P673" t="str">
        <f>IF(orders[[#This Row],[Customer Gender]]="M","Male", IF(orders[[#This Row],[Customer Gender]]="F","Female", IF(orders[[#This Row],[Customer Gender]]= "O", "Other","Unknown")))</f>
        <v>Female</v>
      </c>
    </row>
    <row r="674" spans="1:16"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s="12" t="str">
        <f>TEXT(orders[[#This Row],[Order Date]],"mmmm")</f>
        <v>January</v>
      </c>
      <c r="P674" t="str">
        <f>IF(orders[[#This Row],[Customer Gender]]="M","Male", IF(orders[[#This Row],[Customer Gender]]="F","Female", IF(orders[[#This Row],[Customer Gender]]= "O", "Other","Unknown")))</f>
        <v>Female</v>
      </c>
    </row>
    <row r="675" spans="1:16" hidden="1"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s="12" t="str">
        <f>TEXT(orders[[#This Row],[Order Date]],"mmmm")</f>
        <v>January</v>
      </c>
      <c r="P675" t="str">
        <f>IF(orders[[#This Row],[Customer Gender]]="M","Male", IF(orders[[#This Row],[Customer Gender]]="F","Female", IF(orders[[#This Row],[Customer Gender]]= "O", "Other","Unknown")))</f>
        <v>Unknown</v>
      </c>
    </row>
    <row r="676" spans="1:16"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s="12" t="str">
        <f>TEXT(orders[[#This Row],[Order Date]],"mmmm")</f>
        <v>January</v>
      </c>
      <c r="P676" t="str">
        <f>IF(orders[[#This Row],[Customer Gender]]="M","Male", IF(orders[[#This Row],[Customer Gender]]="F","Female", IF(orders[[#This Row],[Customer Gender]]= "O", "Other","Unknown")))</f>
        <v>Female</v>
      </c>
    </row>
    <row r="677" spans="1:16"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s="12" t="str">
        <f>TEXT(orders[[#This Row],[Order Date]],"mmmm")</f>
        <v>January</v>
      </c>
      <c r="P677" t="str">
        <f>IF(orders[[#This Row],[Customer Gender]]="M","Male", IF(orders[[#This Row],[Customer Gender]]="F","Female", IF(orders[[#This Row],[Customer Gender]]= "O", "Other","Unknown")))</f>
        <v>Female</v>
      </c>
    </row>
    <row r="678" spans="1:16"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s="12" t="str">
        <f>TEXT(orders[[#This Row],[Order Date]],"mmmm")</f>
        <v>January</v>
      </c>
      <c r="P678" t="str">
        <f>IF(orders[[#This Row],[Customer Gender]]="M","Male", IF(orders[[#This Row],[Customer Gender]]="F","Female", IF(orders[[#This Row],[Customer Gender]]= "O", "Other","Unknown")))</f>
        <v>Male</v>
      </c>
    </row>
    <row r="679" spans="1:16"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s="12" t="str">
        <f>TEXT(orders[[#This Row],[Order Date]],"mmmm")</f>
        <v>January</v>
      </c>
      <c r="P679" t="str">
        <f>IF(orders[[#This Row],[Customer Gender]]="M","Male", IF(orders[[#This Row],[Customer Gender]]="F","Female", IF(orders[[#This Row],[Customer Gender]]= "O", "Other","Unknown")))</f>
        <v>Female</v>
      </c>
    </row>
    <row r="680" spans="1:16"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s="12" t="str">
        <f>TEXT(orders[[#This Row],[Order Date]],"mmmm")</f>
        <v>January</v>
      </c>
      <c r="P680" t="str">
        <f>IF(orders[[#This Row],[Customer Gender]]="M","Male", IF(orders[[#This Row],[Customer Gender]]="F","Female", IF(orders[[#This Row],[Customer Gender]]= "O", "Other","Unknown")))</f>
        <v>Female</v>
      </c>
    </row>
    <row r="681" spans="1:16"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s="12" t="str">
        <f>TEXT(orders[[#This Row],[Order Date]],"mmmm")</f>
        <v>January</v>
      </c>
      <c r="P681" t="str">
        <f>IF(orders[[#This Row],[Customer Gender]]="M","Male", IF(orders[[#This Row],[Customer Gender]]="F","Female", IF(orders[[#This Row],[Customer Gender]]= "O", "Other","Unknown")))</f>
        <v>Female</v>
      </c>
    </row>
    <row r="682" spans="1:16"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s="12" t="str">
        <f>TEXT(orders[[#This Row],[Order Date]],"mmmm")</f>
        <v>January</v>
      </c>
      <c r="P682" t="str">
        <f>IF(orders[[#This Row],[Customer Gender]]="M","Male", IF(orders[[#This Row],[Customer Gender]]="F","Female", IF(orders[[#This Row],[Customer Gender]]= "O", "Other","Unknown")))</f>
        <v>Female</v>
      </c>
    </row>
    <row r="683" spans="1:16"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s="12" t="str">
        <f>TEXT(orders[[#This Row],[Order Date]],"mmmm")</f>
        <v>January</v>
      </c>
      <c r="P683" t="str">
        <f>IF(orders[[#This Row],[Customer Gender]]="M","Male", IF(orders[[#This Row],[Customer Gender]]="F","Female", IF(orders[[#This Row],[Customer Gender]]= "O", "Other","Unknown")))</f>
        <v>Female</v>
      </c>
    </row>
    <row r="684" spans="1:16"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s="12" t="str">
        <f>TEXT(orders[[#This Row],[Order Date]],"mmmm")</f>
        <v>January</v>
      </c>
      <c r="P684" t="str">
        <f>IF(orders[[#This Row],[Customer Gender]]="M","Male", IF(orders[[#This Row],[Customer Gender]]="F","Female", IF(orders[[#This Row],[Customer Gender]]= "O", "Other","Unknown")))</f>
        <v>Male</v>
      </c>
    </row>
    <row r="685" spans="1:16"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s="12" t="str">
        <f>TEXT(orders[[#This Row],[Order Date]],"mmmm")</f>
        <v>January</v>
      </c>
      <c r="P685" t="str">
        <f>IF(orders[[#This Row],[Customer Gender]]="M","Male", IF(orders[[#This Row],[Customer Gender]]="F","Female", IF(orders[[#This Row],[Customer Gender]]= "O", "Other","Unknown")))</f>
        <v>Male</v>
      </c>
    </row>
    <row r="686" spans="1:16"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s="12" t="str">
        <f>TEXT(orders[[#This Row],[Order Date]],"mmmm")</f>
        <v>January</v>
      </c>
      <c r="P686" t="str">
        <f>IF(orders[[#This Row],[Customer Gender]]="M","Male", IF(orders[[#This Row],[Customer Gender]]="F","Female", IF(orders[[#This Row],[Customer Gender]]= "O", "Other","Unknown")))</f>
        <v>Male</v>
      </c>
    </row>
    <row r="687" spans="1:16"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s="12" t="str">
        <f>TEXT(orders[[#This Row],[Order Date]],"mmmm")</f>
        <v>January</v>
      </c>
      <c r="P687" t="str">
        <f>IF(orders[[#This Row],[Customer Gender]]="M","Male", IF(orders[[#This Row],[Customer Gender]]="F","Female", IF(orders[[#This Row],[Customer Gender]]= "O", "Other","Unknown")))</f>
        <v>Female</v>
      </c>
    </row>
    <row r="688" spans="1:16"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s="12" t="str">
        <f>TEXT(orders[[#This Row],[Order Date]],"mmmm")</f>
        <v>January</v>
      </c>
      <c r="P688" t="str">
        <f>IF(orders[[#This Row],[Customer Gender]]="M","Male", IF(orders[[#This Row],[Customer Gender]]="F","Female", IF(orders[[#This Row],[Customer Gender]]= "O", "Other","Unknown")))</f>
        <v>Female</v>
      </c>
    </row>
    <row r="689" spans="1:16"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s="12" t="str">
        <f>TEXT(orders[[#This Row],[Order Date]],"mmmm")</f>
        <v>January</v>
      </c>
      <c r="P689" t="str">
        <f>IF(orders[[#This Row],[Customer Gender]]="M","Male", IF(orders[[#This Row],[Customer Gender]]="F","Female", IF(orders[[#This Row],[Customer Gender]]= "O", "Other","Unknown")))</f>
        <v>Female</v>
      </c>
    </row>
    <row r="690" spans="1:16"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s="12" t="str">
        <f>TEXT(orders[[#This Row],[Order Date]],"mmmm")</f>
        <v>January</v>
      </c>
      <c r="P690" t="str">
        <f>IF(orders[[#This Row],[Customer Gender]]="M","Male", IF(orders[[#This Row],[Customer Gender]]="F","Female", IF(orders[[#This Row],[Customer Gender]]= "O", "Other","Unknown")))</f>
        <v>Female</v>
      </c>
    </row>
    <row r="691" spans="1:16" hidden="1"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s="12" t="str">
        <f>TEXT(orders[[#This Row],[Order Date]],"mmmm")</f>
        <v>January</v>
      </c>
      <c r="P691" t="str">
        <f>IF(orders[[#This Row],[Customer Gender]]="M","Male", IF(orders[[#This Row],[Customer Gender]]="F","Female", IF(orders[[#This Row],[Customer Gender]]= "O", "Other","Unknown")))</f>
        <v>Unknown</v>
      </c>
    </row>
    <row r="692" spans="1:16"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s="12" t="str">
        <f>TEXT(orders[[#This Row],[Order Date]],"mmmm")</f>
        <v>January</v>
      </c>
      <c r="P692" t="str">
        <f>IF(orders[[#This Row],[Customer Gender]]="M","Male", IF(orders[[#This Row],[Customer Gender]]="F","Female", IF(orders[[#This Row],[Customer Gender]]= "O", "Other","Unknown")))</f>
        <v>Male</v>
      </c>
    </row>
    <row r="693" spans="1:16"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s="12" t="str">
        <f>TEXT(orders[[#This Row],[Order Date]],"mmmm")</f>
        <v>January</v>
      </c>
      <c r="P693" t="str">
        <f>IF(orders[[#This Row],[Customer Gender]]="M","Male", IF(orders[[#This Row],[Customer Gender]]="F","Female", IF(orders[[#This Row],[Customer Gender]]= "O", "Other","Unknown")))</f>
        <v>Female</v>
      </c>
    </row>
    <row r="694" spans="1:16"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s="12" t="str">
        <f>TEXT(orders[[#This Row],[Order Date]],"mmmm")</f>
        <v>January</v>
      </c>
      <c r="P694" t="str">
        <f>IF(orders[[#This Row],[Customer Gender]]="M","Male", IF(orders[[#This Row],[Customer Gender]]="F","Female", IF(orders[[#This Row],[Customer Gender]]= "O", "Other","Unknown")))</f>
        <v>Male</v>
      </c>
    </row>
    <row r="695" spans="1:16"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s="12" t="str">
        <f>TEXT(orders[[#This Row],[Order Date]],"mmmm")</f>
        <v>January</v>
      </c>
      <c r="P695" t="str">
        <f>IF(orders[[#This Row],[Customer Gender]]="M","Male", IF(orders[[#This Row],[Customer Gender]]="F","Female", IF(orders[[#This Row],[Customer Gender]]= "O", "Other","Unknown")))</f>
        <v>Male</v>
      </c>
    </row>
    <row r="696" spans="1:16"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s="12" t="str">
        <f>TEXT(orders[[#This Row],[Order Date]],"mmmm")</f>
        <v>January</v>
      </c>
      <c r="P696" t="str">
        <f>IF(orders[[#This Row],[Customer Gender]]="M","Male", IF(orders[[#This Row],[Customer Gender]]="F","Female", IF(orders[[#This Row],[Customer Gender]]= "O", "Other","Unknown")))</f>
        <v>Male</v>
      </c>
    </row>
    <row r="697" spans="1:16"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s="12" t="str">
        <f>TEXT(orders[[#This Row],[Order Date]],"mmmm")</f>
        <v>January</v>
      </c>
      <c r="P697" t="str">
        <f>IF(orders[[#This Row],[Customer Gender]]="M","Male", IF(orders[[#This Row],[Customer Gender]]="F","Female", IF(orders[[#This Row],[Customer Gender]]= "O", "Other","Unknown")))</f>
        <v>Female</v>
      </c>
    </row>
    <row r="698" spans="1:16"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s="12" t="str">
        <f>TEXT(orders[[#This Row],[Order Date]],"mmmm")</f>
        <v>January</v>
      </c>
      <c r="P698" t="str">
        <f>IF(orders[[#This Row],[Customer Gender]]="M","Male", IF(orders[[#This Row],[Customer Gender]]="F","Female", IF(orders[[#This Row],[Customer Gender]]= "O", "Other","Unknown")))</f>
        <v>Female</v>
      </c>
    </row>
    <row r="699" spans="1:16"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s="12" t="str">
        <f>TEXT(orders[[#This Row],[Order Date]],"mmmm")</f>
        <v>January</v>
      </c>
      <c r="P699" t="str">
        <f>IF(orders[[#This Row],[Customer Gender]]="M","Male", IF(orders[[#This Row],[Customer Gender]]="F","Female", IF(orders[[#This Row],[Customer Gender]]= "O", "Other","Unknown")))</f>
        <v>Male</v>
      </c>
    </row>
    <row r="700" spans="1:16" hidden="1"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s="12" t="str">
        <f>TEXT(orders[[#This Row],[Order Date]],"mmmm")</f>
        <v>January</v>
      </c>
      <c r="P700" t="str">
        <f>IF(orders[[#This Row],[Customer Gender]]="M","Male", IF(orders[[#This Row],[Customer Gender]]="F","Female", IF(orders[[#This Row],[Customer Gender]]= "O", "Other","Unknown")))</f>
        <v>Unknown</v>
      </c>
    </row>
    <row r="701" spans="1:16"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s="12" t="str">
        <f>TEXT(orders[[#This Row],[Order Date]],"mmmm")</f>
        <v>January</v>
      </c>
      <c r="P701" t="str">
        <f>IF(orders[[#This Row],[Customer Gender]]="M","Male", IF(orders[[#This Row],[Customer Gender]]="F","Female", IF(orders[[#This Row],[Customer Gender]]= "O", "Other","Unknown")))</f>
        <v>Male</v>
      </c>
    </row>
    <row r="702" spans="1:16"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s="12" t="str">
        <f>TEXT(orders[[#This Row],[Order Date]],"mmmm")</f>
        <v>January</v>
      </c>
      <c r="P702" t="str">
        <f>IF(orders[[#This Row],[Customer Gender]]="M","Male", IF(orders[[#This Row],[Customer Gender]]="F","Female", IF(orders[[#This Row],[Customer Gender]]= "O", "Other","Unknown")))</f>
        <v>Female</v>
      </c>
    </row>
    <row r="703" spans="1:16"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s="12" t="str">
        <f>TEXT(orders[[#This Row],[Order Date]],"mmmm")</f>
        <v>January</v>
      </c>
      <c r="P703" t="str">
        <f>IF(orders[[#This Row],[Customer Gender]]="M","Male", IF(orders[[#This Row],[Customer Gender]]="F","Female", IF(orders[[#This Row],[Customer Gender]]= "O", "Other","Unknown")))</f>
        <v>Male</v>
      </c>
    </row>
    <row r="704" spans="1:16"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s="12" t="str">
        <f>TEXT(orders[[#This Row],[Order Date]],"mmmm")</f>
        <v>January</v>
      </c>
      <c r="P704" t="str">
        <f>IF(orders[[#This Row],[Customer Gender]]="M","Male", IF(orders[[#This Row],[Customer Gender]]="F","Female", IF(orders[[#This Row],[Customer Gender]]= "O", "Other","Unknown")))</f>
        <v>Male</v>
      </c>
    </row>
    <row r="705" spans="1:16"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s="12" t="str">
        <f>TEXT(orders[[#This Row],[Order Date]],"mmmm")</f>
        <v>January</v>
      </c>
      <c r="P705" t="str">
        <f>IF(orders[[#This Row],[Customer Gender]]="M","Male", IF(orders[[#This Row],[Customer Gender]]="F","Female", IF(orders[[#This Row],[Customer Gender]]= "O", "Other","Unknown")))</f>
        <v>Male</v>
      </c>
    </row>
    <row r="706" spans="1:16"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s="12" t="str">
        <f>TEXT(orders[[#This Row],[Order Date]],"mmmm")</f>
        <v>January</v>
      </c>
      <c r="P706" t="str">
        <f>IF(orders[[#This Row],[Customer Gender]]="M","Male", IF(orders[[#This Row],[Customer Gender]]="F","Female", IF(orders[[#This Row],[Customer Gender]]= "O", "Other","Unknown")))</f>
        <v>Male</v>
      </c>
    </row>
    <row r="707" spans="1:16"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s="12" t="str">
        <f>TEXT(orders[[#This Row],[Order Date]],"mmmm")</f>
        <v>January</v>
      </c>
      <c r="P707" t="str">
        <f>IF(orders[[#This Row],[Customer Gender]]="M","Male", IF(orders[[#This Row],[Customer Gender]]="F","Female", IF(orders[[#This Row],[Customer Gender]]= "O", "Other","Unknown")))</f>
        <v>Female</v>
      </c>
    </row>
    <row r="708" spans="1:16"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s="12" t="str">
        <f>TEXT(orders[[#This Row],[Order Date]],"mmmm")</f>
        <v>January</v>
      </c>
      <c r="P708" t="str">
        <f>IF(orders[[#This Row],[Customer Gender]]="M","Male", IF(orders[[#This Row],[Customer Gender]]="F","Female", IF(orders[[#This Row],[Customer Gender]]= "O", "Other","Unknown")))</f>
        <v>Male</v>
      </c>
    </row>
    <row r="709" spans="1:16"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s="12" t="str">
        <f>TEXT(orders[[#This Row],[Order Date]],"mmmm")</f>
        <v>January</v>
      </c>
      <c r="P709" t="str">
        <f>IF(orders[[#This Row],[Customer Gender]]="M","Male", IF(orders[[#This Row],[Customer Gender]]="F","Female", IF(orders[[#This Row],[Customer Gender]]= "O", "Other","Unknown")))</f>
        <v>Male</v>
      </c>
    </row>
    <row r="710" spans="1:16"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s="12" t="str">
        <f>TEXT(orders[[#This Row],[Order Date]],"mmmm")</f>
        <v>January</v>
      </c>
      <c r="P710" t="str">
        <f>IF(orders[[#This Row],[Customer Gender]]="M","Male", IF(orders[[#This Row],[Customer Gender]]="F","Female", IF(orders[[#This Row],[Customer Gender]]= "O", "Other","Unknown")))</f>
        <v>Male</v>
      </c>
    </row>
    <row r="711" spans="1:16"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s="12" t="str">
        <f>TEXT(orders[[#This Row],[Order Date]],"mmmm")</f>
        <v>January</v>
      </c>
      <c r="P711" t="str">
        <f>IF(orders[[#This Row],[Customer Gender]]="M","Male", IF(orders[[#This Row],[Customer Gender]]="F","Female", IF(orders[[#This Row],[Customer Gender]]= "O", "Other","Unknown")))</f>
        <v>Male</v>
      </c>
    </row>
    <row r="712" spans="1:16" hidden="1"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s="12" t="str">
        <f>TEXT(orders[[#This Row],[Order Date]],"mmmm")</f>
        <v>January</v>
      </c>
      <c r="P712" t="str">
        <f>IF(orders[[#This Row],[Customer Gender]]="M","Male", IF(orders[[#This Row],[Customer Gender]]="F","Female", IF(orders[[#This Row],[Customer Gender]]= "O", "Other","Unknown")))</f>
        <v>Unknown</v>
      </c>
    </row>
    <row r="713" spans="1:16"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s="12" t="str">
        <f>TEXT(orders[[#This Row],[Order Date]],"mmmm")</f>
        <v>January</v>
      </c>
      <c r="P713" t="str">
        <f>IF(orders[[#This Row],[Customer Gender]]="M","Male", IF(orders[[#This Row],[Customer Gender]]="F","Female", IF(orders[[#This Row],[Customer Gender]]= "O", "Other","Unknown")))</f>
        <v>Female</v>
      </c>
    </row>
    <row r="714" spans="1:16"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s="12" t="str">
        <f>TEXT(orders[[#This Row],[Order Date]],"mmmm")</f>
        <v>January</v>
      </c>
      <c r="P714" t="str">
        <f>IF(orders[[#This Row],[Customer Gender]]="M","Male", IF(orders[[#This Row],[Customer Gender]]="F","Female", IF(orders[[#This Row],[Customer Gender]]= "O", "Other","Unknown")))</f>
        <v>Male</v>
      </c>
    </row>
    <row r="715" spans="1:16"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s="12" t="str">
        <f>TEXT(orders[[#This Row],[Order Date]],"mmmm")</f>
        <v>January</v>
      </c>
      <c r="P715" t="str">
        <f>IF(orders[[#This Row],[Customer Gender]]="M","Male", IF(orders[[#This Row],[Customer Gender]]="F","Female", IF(orders[[#This Row],[Customer Gender]]= "O", "Other","Unknown")))</f>
        <v>Female</v>
      </c>
    </row>
    <row r="716" spans="1:16"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s="12" t="str">
        <f>TEXT(orders[[#This Row],[Order Date]],"mmmm")</f>
        <v>January</v>
      </c>
      <c r="P716" t="str">
        <f>IF(orders[[#This Row],[Customer Gender]]="M","Male", IF(orders[[#This Row],[Customer Gender]]="F","Female", IF(orders[[#This Row],[Customer Gender]]= "O", "Other","Unknown")))</f>
        <v>Male</v>
      </c>
    </row>
    <row r="717" spans="1:16"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s="12" t="str">
        <f>TEXT(orders[[#This Row],[Order Date]],"mmmm")</f>
        <v>January</v>
      </c>
      <c r="P717" t="str">
        <f>IF(orders[[#This Row],[Customer Gender]]="M","Male", IF(orders[[#This Row],[Customer Gender]]="F","Female", IF(orders[[#This Row],[Customer Gender]]= "O", "Other","Unknown")))</f>
        <v>Male</v>
      </c>
    </row>
    <row r="718" spans="1:16"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s="12" t="str">
        <f>TEXT(orders[[#This Row],[Order Date]],"mmmm")</f>
        <v>January</v>
      </c>
      <c r="P718" t="str">
        <f>IF(orders[[#This Row],[Customer Gender]]="M","Male", IF(orders[[#This Row],[Customer Gender]]="F","Female", IF(orders[[#This Row],[Customer Gender]]= "O", "Other","Unknown")))</f>
        <v>Female</v>
      </c>
    </row>
    <row r="719" spans="1:16"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s="12" t="str">
        <f>TEXT(orders[[#This Row],[Order Date]],"mmmm")</f>
        <v>January</v>
      </c>
      <c r="P719" t="str">
        <f>IF(orders[[#This Row],[Customer Gender]]="M","Male", IF(orders[[#This Row],[Customer Gender]]="F","Female", IF(orders[[#This Row],[Customer Gender]]= "O", "Other","Unknown")))</f>
        <v>Male</v>
      </c>
    </row>
    <row r="720" spans="1:16"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s="12" t="str">
        <f>TEXT(orders[[#This Row],[Order Date]],"mmmm")</f>
        <v>January</v>
      </c>
      <c r="P720" t="str">
        <f>IF(orders[[#This Row],[Customer Gender]]="M","Male", IF(orders[[#This Row],[Customer Gender]]="F","Female", IF(orders[[#This Row],[Customer Gender]]= "O", "Other","Unknown")))</f>
        <v>Female</v>
      </c>
    </row>
    <row r="721" spans="1:16"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s="12" t="str">
        <f>TEXT(orders[[#This Row],[Order Date]],"mmmm")</f>
        <v>January</v>
      </c>
      <c r="P721" t="str">
        <f>IF(orders[[#This Row],[Customer Gender]]="M","Male", IF(orders[[#This Row],[Customer Gender]]="F","Female", IF(orders[[#This Row],[Customer Gender]]= "O", "Other","Unknown")))</f>
        <v>Male</v>
      </c>
    </row>
    <row r="722" spans="1:16"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s="12" t="str">
        <f>TEXT(orders[[#This Row],[Order Date]],"mmmm")</f>
        <v>January</v>
      </c>
      <c r="P722" t="str">
        <f>IF(orders[[#This Row],[Customer Gender]]="M","Male", IF(orders[[#This Row],[Customer Gender]]="F","Female", IF(orders[[#This Row],[Customer Gender]]= "O", "Other","Unknown")))</f>
        <v>Male</v>
      </c>
    </row>
    <row r="723" spans="1:16"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s="12" t="str">
        <f>TEXT(orders[[#This Row],[Order Date]],"mmmm")</f>
        <v>January</v>
      </c>
      <c r="P723" t="str">
        <f>IF(orders[[#This Row],[Customer Gender]]="M","Male", IF(orders[[#This Row],[Customer Gender]]="F","Female", IF(orders[[#This Row],[Customer Gender]]= "O", "Other","Unknown")))</f>
        <v>Female</v>
      </c>
    </row>
    <row r="724" spans="1:16"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s="12" t="str">
        <f>TEXT(orders[[#This Row],[Order Date]],"mmmm")</f>
        <v>January</v>
      </c>
      <c r="P724" t="str">
        <f>IF(orders[[#This Row],[Customer Gender]]="M","Male", IF(orders[[#This Row],[Customer Gender]]="F","Female", IF(orders[[#This Row],[Customer Gender]]= "O", "Other","Unknown")))</f>
        <v>Male</v>
      </c>
    </row>
    <row r="725" spans="1:16"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s="12" t="str">
        <f>TEXT(orders[[#This Row],[Order Date]],"mmmm")</f>
        <v>January</v>
      </c>
      <c r="P725" t="str">
        <f>IF(orders[[#This Row],[Customer Gender]]="M","Male", IF(orders[[#This Row],[Customer Gender]]="F","Female", IF(orders[[#This Row],[Customer Gender]]= "O", "Other","Unknown")))</f>
        <v>Male</v>
      </c>
    </row>
    <row r="726" spans="1:16"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s="12" t="str">
        <f>TEXT(orders[[#This Row],[Order Date]],"mmmm")</f>
        <v>January</v>
      </c>
      <c r="P726" t="str">
        <f>IF(orders[[#This Row],[Customer Gender]]="M","Male", IF(orders[[#This Row],[Customer Gender]]="F","Female", IF(orders[[#This Row],[Customer Gender]]= "O", "Other","Unknown")))</f>
        <v>Male</v>
      </c>
    </row>
    <row r="727" spans="1:16"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s="12" t="str">
        <f>TEXT(orders[[#This Row],[Order Date]],"mmmm")</f>
        <v>January</v>
      </c>
      <c r="P727" t="str">
        <f>IF(orders[[#This Row],[Customer Gender]]="M","Male", IF(orders[[#This Row],[Customer Gender]]="F","Female", IF(orders[[#This Row],[Customer Gender]]= "O", "Other","Unknown")))</f>
        <v>Female</v>
      </c>
    </row>
    <row r="728" spans="1:16"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s="12" t="str">
        <f>TEXT(orders[[#This Row],[Order Date]],"mmmm")</f>
        <v>January</v>
      </c>
      <c r="P728" t="str">
        <f>IF(orders[[#This Row],[Customer Gender]]="M","Male", IF(orders[[#This Row],[Customer Gender]]="F","Female", IF(orders[[#This Row],[Customer Gender]]= "O", "Other","Unknown")))</f>
        <v>Other</v>
      </c>
    </row>
    <row r="729" spans="1:16"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s="12" t="str">
        <f>TEXT(orders[[#This Row],[Order Date]],"mmmm")</f>
        <v>January</v>
      </c>
      <c r="P729" t="str">
        <f>IF(orders[[#This Row],[Customer Gender]]="M","Male", IF(orders[[#This Row],[Customer Gender]]="F","Female", IF(orders[[#This Row],[Customer Gender]]= "O", "Other","Unknown")))</f>
        <v>Female</v>
      </c>
    </row>
    <row r="730" spans="1:16"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s="12" t="str">
        <f>TEXT(orders[[#This Row],[Order Date]],"mmmm")</f>
        <v>January</v>
      </c>
      <c r="P730" t="str">
        <f>IF(orders[[#This Row],[Customer Gender]]="M","Male", IF(orders[[#This Row],[Customer Gender]]="F","Female", IF(orders[[#This Row],[Customer Gender]]= "O", "Other","Unknown")))</f>
        <v>Female</v>
      </c>
    </row>
    <row r="731" spans="1:16"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s="12" t="str">
        <f>TEXT(orders[[#This Row],[Order Date]],"mmmm")</f>
        <v>January</v>
      </c>
      <c r="P731" t="str">
        <f>IF(orders[[#This Row],[Customer Gender]]="M","Male", IF(orders[[#This Row],[Customer Gender]]="F","Female", IF(orders[[#This Row],[Customer Gender]]= "O", "Other","Unknown")))</f>
        <v>Female</v>
      </c>
    </row>
    <row r="732" spans="1:16"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s="12" t="str">
        <f>TEXT(orders[[#This Row],[Order Date]],"mmmm")</f>
        <v>February</v>
      </c>
      <c r="P732" t="str">
        <f>IF(orders[[#This Row],[Customer Gender]]="M","Male", IF(orders[[#This Row],[Customer Gender]]="F","Female", IF(orders[[#This Row],[Customer Gender]]= "O", "Other","Unknown")))</f>
        <v>Female</v>
      </c>
    </row>
    <row r="733" spans="1:16"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s="12" t="str">
        <f>TEXT(orders[[#This Row],[Order Date]],"mmmm")</f>
        <v>February</v>
      </c>
      <c r="P733" t="str">
        <f>IF(orders[[#This Row],[Customer Gender]]="M","Male", IF(orders[[#This Row],[Customer Gender]]="F","Female", IF(orders[[#This Row],[Customer Gender]]= "O", "Other","Unknown")))</f>
        <v>Other</v>
      </c>
    </row>
    <row r="734" spans="1:16"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s="12" t="str">
        <f>TEXT(orders[[#This Row],[Order Date]],"mmmm")</f>
        <v>February</v>
      </c>
      <c r="P734" t="str">
        <f>IF(orders[[#This Row],[Customer Gender]]="M","Male", IF(orders[[#This Row],[Customer Gender]]="F","Female", IF(orders[[#This Row],[Customer Gender]]= "O", "Other","Unknown")))</f>
        <v>Female</v>
      </c>
    </row>
    <row r="735" spans="1:16"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s="12" t="str">
        <f>TEXT(orders[[#This Row],[Order Date]],"mmmm")</f>
        <v>February</v>
      </c>
      <c r="P735" t="str">
        <f>IF(orders[[#This Row],[Customer Gender]]="M","Male", IF(orders[[#This Row],[Customer Gender]]="F","Female", IF(orders[[#This Row],[Customer Gender]]= "O", "Other","Unknown")))</f>
        <v>Female</v>
      </c>
    </row>
    <row r="736" spans="1:16"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s="12" t="str">
        <f>TEXT(orders[[#This Row],[Order Date]],"mmmm")</f>
        <v>February</v>
      </c>
      <c r="P736" t="str">
        <f>IF(orders[[#This Row],[Customer Gender]]="M","Male", IF(orders[[#This Row],[Customer Gender]]="F","Female", IF(orders[[#This Row],[Customer Gender]]= "O", "Other","Unknown")))</f>
        <v>Female</v>
      </c>
    </row>
    <row r="737" spans="1:16" hidden="1"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s="12" t="str">
        <f>TEXT(orders[[#This Row],[Order Date]],"mmmm")</f>
        <v>February</v>
      </c>
      <c r="P737" t="str">
        <f>IF(orders[[#This Row],[Customer Gender]]="M","Male", IF(orders[[#This Row],[Customer Gender]]="F","Female", IF(orders[[#This Row],[Customer Gender]]= "O", "Other","Unknown")))</f>
        <v>Unknown</v>
      </c>
    </row>
    <row r="738" spans="1:16"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s="12" t="str">
        <f>TEXT(orders[[#This Row],[Order Date]],"mmmm")</f>
        <v>February</v>
      </c>
      <c r="P738" t="str">
        <f>IF(orders[[#This Row],[Customer Gender]]="M","Male", IF(orders[[#This Row],[Customer Gender]]="F","Female", IF(orders[[#This Row],[Customer Gender]]= "O", "Other","Unknown")))</f>
        <v>Female</v>
      </c>
    </row>
    <row r="739" spans="1:16" hidden="1"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s="12" t="str">
        <f>TEXT(orders[[#This Row],[Order Date]],"mmmm")</f>
        <v>February</v>
      </c>
      <c r="P739" t="str">
        <f>IF(orders[[#This Row],[Customer Gender]]="M","Male", IF(orders[[#This Row],[Customer Gender]]="F","Female", IF(orders[[#This Row],[Customer Gender]]= "O", "Other","Unknown")))</f>
        <v>Unknown</v>
      </c>
    </row>
    <row r="740" spans="1:16"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s="12" t="str">
        <f>TEXT(orders[[#This Row],[Order Date]],"mmmm")</f>
        <v>February</v>
      </c>
      <c r="P740" t="str">
        <f>IF(orders[[#This Row],[Customer Gender]]="M","Male", IF(orders[[#This Row],[Customer Gender]]="F","Female", IF(orders[[#This Row],[Customer Gender]]= "O", "Other","Unknown")))</f>
        <v>Female</v>
      </c>
    </row>
    <row r="741" spans="1:16"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s="12" t="str">
        <f>TEXT(orders[[#This Row],[Order Date]],"mmmm")</f>
        <v>February</v>
      </c>
      <c r="P741" t="str">
        <f>IF(orders[[#This Row],[Customer Gender]]="M","Male", IF(orders[[#This Row],[Customer Gender]]="F","Female", IF(orders[[#This Row],[Customer Gender]]= "O", "Other","Unknown")))</f>
        <v>Female</v>
      </c>
    </row>
    <row r="742" spans="1:16"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s="12" t="str">
        <f>TEXT(orders[[#This Row],[Order Date]],"mmmm")</f>
        <v>February</v>
      </c>
      <c r="P742" t="str">
        <f>IF(orders[[#This Row],[Customer Gender]]="M","Male", IF(orders[[#This Row],[Customer Gender]]="F","Female", IF(orders[[#This Row],[Customer Gender]]= "O", "Other","Unknown")))</f>
        <v>Female</v>
      </c>
    </row>
    <row r="743" spans="1:16"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s="12" t="str">
        <f>TEXT(orders[[#This Row],[Order Date]],"mmmm")</f>
        <v>February</v>
      </c>
      <c r="P743" t="str">
        <f>IF(orders[[#This Row],[Customer Gender]]="M","Male", IF(orders[[#This Row],[Customer Gender]]="F","Female", IF(orders[[#This Row],[Customer Gender]]= "O", "Other","Unknown")))</f>
        <v>Male</v>
      </c>
    </row>
    <row r="744" spans="1:16"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s="12" t="str">
        <f>TEXT(orders[[#This Row],[Order Date]],"mmmm")</f>
        <v>February</v>
      </c>
      <c r="P744" t="str">
        <f>IF(orders[[#This Row],[Customer Gender]]="M","Male", IF(orders[[#This Row],[Customer Gender]]="F","Female", IF(orders[[#This Row],[Customer Gender]]= "O", "Other","Unknown")))</f>
        <v>Female</v>
      </c>
    </row>
    <row r="745" spans="1:16" hidden="1"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s="12" t="str">
        <f>TEXT(orders[[#This Row],[Order Date]],"mmmm")</f>
        <v>February</v>
      </c>
      <c r="P745" t="str">
        <f>IF(orders[[#This Row],[Customer Gender]]="M","Male", IF(orders[[#This Row],[Customer Gender]]="F","Female", IF(orders[[#This Row],[Customer Gender]]= "O", "Other","Unknown")))</f>
        <v>Unknown</v>
      </c>
    </row>
    <row r="746" spans="1:16"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s="12" t="str">
        <f>TEXT(orders[[#This Row],[Order Date]],"mmmm")</f>
        <v>February</v>
      </c>
      <c r="P746" t="str">
        <f>IF(orders[[#This Row],[Customer Gender]]="M","Male", IF(orders[[#This Row],[Customer Gender]]="F","Female", IF(orders[[#This Row],[Customer Gender]]= "O", "Other","Unknown")))</f>
        <v>Female</v>
      </c>
    </row>
    <row r="747" spans="1:16"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s="12" t="str">
        <f>TEXT(orders[[#This Row],[Order Date]],"mmmm")</f>
        <v>February</v>
      </c>
      <c r="P747" t="str">
        <f>IF(orders[[#This Row],[Customer Gender]]="M","Male", IF(orders[[#This Row],[Customer Gender]]="F","Female", IF(orders[[#This Row],[Customer Gender]]= "O", "Other","Unknown")))</f>
        <v>Female</v>
      </c>
    </row>
    <row r="748" spans="1:16"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s="12" t="str">
        <f>TEXT(orders[[#This Row],[Order Date]],"mmmm")</f>
        <v>February</v>
      </c>
      <c r="P748" t="str">
        <f>IF(orders[[#This Row],[Customer Gender]]="M","Male", IF(orders[[#This Row],[Customer Gender]]="F","Female", IF(orders[[#This Row],[Customer Gender]]= "O", "Other","Unknown")))</f>
        <v>Male</v>
      </c>
    </row>
    <row r="749" spans="1:16"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s="12" t="str">
        <f>TEXT(orders[[#This Row],[Order Date]],"mmmm")</f>
        <v>February</v>
      </c>
      <c r="P749" t="str">
        <f>IF(orders[[#This Row],[Customer Gender]]="M","Male", IF(orders[[#This Row],[Customer Gender]]="F","Female", IF(orders[[#This Row],[Customer Gender]]= "O", "Other","Unknown")))</f>
        <v>Female</v>
      </c>
    </row>
    <row r="750" spans="1:16"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s="12" t="str">
        <f>TEXT(orders[[#This Row],[Order Date]],"mmmm")</f>
        <v>February</v>
      </c>
      <c r="P750" t="str">
        <f>IF(orders[[#This Row],[Customer Gender]]="M","Male", IF(orders[[#This Row],[Customer Gender]]="F","Female", IF(orders[[#This Row],[Customer Gender]]= "O", "Other","Unknown")))</f>
        <v>Male</v>
      </c>
    </row>
    <row r="751" spans="1:16" hidden="1"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s="12" t="str">
        <f>TEXT(orders[[#This Row],[Order Date]],"mmmm")</f>
        <v>February</v>
      </c>
      <c r="P751" t="str">
        <f>IF(orders[[#This Row],[Customer Gender]]="M","Male", IF(orders[[#This Row],[Customer Gender]]="F","Female", IF(orders[[#This Row],[Customer Gender]]= "O", "Other","Unknown")))</f>
        <v>Unknown</v>
      </c>
    </row>
    <row r="752" spans="1:16"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s="12" t="str">
        <f>TEXT(orders[[#This Row],[Order Date]],"mmmm")</f>
        <v>February</v>
      </c>
      <c r="P752" t="str">
        <f>IF(orders[[#This Row],[Customer Gender]]="M","Male", IF(orders[[#This Row],[Customer Gender]]="F","Female", IF(orders[[#This Row],[Customer Gender]]= "O", "Other","Unknown")))</f>
        <v>Male</v>
      </c>
    </row>
    <row r="753" spans="1:16"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s="12" t="str">
        <f>TEXT(orders[[#This Row],[Order Date]],"mmmm")</f>
        <v>February</v>
      </c>
      <c r="P753" t="str">
        <f>IF(orders[[#This Row],[Customer Gender]]="M","Male", IF(orders[[#This Row],[Customer Gender]]="F","Female", IF(orders[[#This Row],[Customer Gender]]= "O", "Other","Unknown")))</f>
        <v>Female</v>
      </c>
    </row>
    <row r="754" spans="1:16"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s="12" t="str">
        <f>TEXT(orders[[#This Row],[Order Date]],"mmmm")</f>
        <v>February</v>
      </c>
      <c r="P754" t="str">
        <f>IF(orders[[#This Row],[Customer Gender]]="M","Male", IF(orders[[#This Row],[Customer Gender]]="F","Female", IF(orders[[#This Row],[Customer Gender]]= "O", "Other","Unknown")))</f>
        <v>Male</v>
      </c>
    </row>
    <row r="755" spans="1:16"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s="12" t="str">
        <f>TEXT(orders[[#This Row],[Order Date]],"mmmm")</f>
        <v>February</v>
      </c>
      <c r="P755" t="str">
        <f>IF(orders[[#This Row],[Customer Gender]]="M","Male", IF(orders[[#This Row],[Customer Gender]]="F","Female", IF(orders[[#This Row],[Customer Gender]]= "O", "Other","Unknown")))</f>
        <v>Male</v>
      </c>
    </row>
    <row r="756" spans="1:16"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s="12" t="str">
        <f>TEXT(orders[[#This Row],[Order Date]],"mmmm")</f>
        <v>February</v>
      </c>
      <c r="P756" t="str">
        <f>IF(orders[[#This Row],[Customer Gender]]="M","Male", IF(orders[[#This Row],[Customer Gender]]="F","Female", IF(orders[[#This Row],[Customer Gender]]= "O", "Other","Unknown")))</f>
        <v>Female</v>
      </c>
    </row>
    <row r="757" spans="1:16"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s="12" t="str">
        <f>TEXT(orders[[#This Row],[Order Date]],"mmmm")</f>
        <v>February</v>
      </c>
      <c r="P757" t="str">
        <f>IF(orders[[#This Row],[Customer Gender]]="M","Male", IF(orders[[#This Row],[Customer Gender]]="F","Female", IF(orders[[#This Row],[Customer Gender]]= "O", "Other","Unknown")))</f>
        <v>Male</v>
      </c>
    </row>
    <row r="758" spans="1:16"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s="12" t="str">
        <f>TEXT(orders[[#This Row],[Order Date]],"mmmm")</f>
        <v>February</v>
      </c>
      <c r="P758" t="str">
        <f>IF(orders[[#This Row],[Customer Gender]]="M","Male", IF(orders[[#This Row],[Customer Gender]]="F","Female", IF(orders[[#This Row],[Customer Gender]]= "O", "Other","Unknown")))</f>
        <v>Female</v>
      </c>
    </row>
    <row r="759" spans="1:16"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s="12" t="str">
        <f>TEXT(orders[[#This Row],[Order Date]],"mmmm")</f>
        <v>February</v>
      </c>
      <c r="P759" t="str">
        <f>IF(orders[[#This Row],[Customer Gender]]="M","Male", IF(orders[[#This Row],[Customer Gender]]="F","Female", IF(orders[[#This Row],[Customer Gender]]= "O", "Other","Unknown")))</f>
        <v>Female</v>
      </c>
    </row>
    <row r="760" spans="1:16"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s="12" t="str">
        <f>TEXT(orders[[#This Row],[Order Date]],"mmmm")</f>
        <v>February</v>
      </c>
      <c r="P760" t="str">
        <f>IF(orders[[#This Row],[Customer Gender]]="M","Male", IF(orders[[#This Row],[Customer Gender]]="F","Female", IF(orders[[#This Row],[Customer Gender]]= "O", "Other","Unknown")))</f>
        <v>Female</v>
      </c>
    </row>
    <row r="761" spans="1:16"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s="12" t="str">
        <f>TEXT(orders[[#This Row],[Order Date]],"mmmm")</f>
        <v>February</v>
      </c>
      <c r="P761" t="str">
        <f>IF(orders[[#This Row],[Customer Gender]]="M","Male", IF(orders[[#This Row],[Customer Gender]]="F","Female", IF(orders[[#This Row],[Customer Gender]]= "O", "Other","Unknown")))</f>
        <v>Male</v>
      </c>
    </row>
    <row r="762" spans="1:16"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s="12" t="str">
        <f>TEXT(orders[[#This Row],[Order Date]],"mmmm")</f>
        <v>February</v>
      </c>
      <c r="P762" t="str">
        <f>IF(orders[[#This Row],[Customer Gender]]="M","Male", IF(orders[[#This Row],[Customer Gender]]="F","Female", IF(orders[[#This Row],[Customer Gender]]= "O", "Other","Unknown")))</f>
        <v>Female</v>
      </c>
    </row>
    <row r="763" spans="1:16"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s="12" t="str">
        <f>TEXT(orders[[#This Row],[Order Date]],"mmmm")</f>
        <v>February</v>
      </c>
      <c r="P763" t="str">
        <f>IF(orders[[#This Row],[Customer Gender]]="M","Male", IF(orders[[#This Row],[Customer Gender]]="F","Female", IF(orders[[#This Row],[Customer Gender]]= "O", "Other","Unknown")))</f>
        <v>Male</v>
      </c>
    </row>
    <row r="764" spans="1:16"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s="12" t="str">
        <f>TEXT(orders[[#This Row],[Order Date]],"mmmm")</f>
        <v>February</v>
      </c>
      <c r="P764" t="str">
        <f>IF(orders[[#This Row],[Customer Gender]]="M","Male", IF(orders[[#This Row],[Customer Gender]]="F","Female", IF(orders[[#This Row],[Customer Gender]]= "O", "Other","Unknown")))</f>
        <v>Male</v>
      </c>
    </row>
    <row r="765" spans="1:16"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s="12" t="str">
        <f>TEXT(orders[[#This Row],[Order Date]],"mmmm")</f>
        <v>February</v>
      </c>
      <c r="P765" t="str">
        <f>IF(orders[[#This Row],[Customer Gender]]="M","Male", IF(orders[[#This Row],[Customer Gender]]="F","Female", IF(orders[[#This Row],[Customer Gender]]= "O", "Other","Unknown")))</f>
        <v>Female</v>
      </c>
    </row>
    <row r="766" spans="1:16"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s="12" t="str">
        <f>TEXT(orders[[#This Row],[Order Date]],"mmmm")</f>
        <v>February</v>
      </c>
      <c r="P766" t="str">
        <f>IF(orders[[#This Row],[Customer Gender]]="M","Male", IF(orders[[#This Row],[Customer Gender]]="F","Female", IF(orders[[#This Row],[Customer Gender]]= "O", "Other","Unknown")))</f>
        <v>Female</v>
      </c>
    </row>
    <row r="767" spans="1:16"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s="12" t="str">
        <f>TEXT(orders[[#This Row],[Order Date]],"mmmm")</f>
        <v>February</v>
      </c>
      <c r="P767" t="str">
        <f>IF(orders[[#This Row],[Customer Gender]]="M","Male", IF(orders[[#This Row],[Customer Gender]]="F","Female", IF(orders[[#This Row],[Customer Gender]]= "O", "Other","Unknown")))</f>
        <v>Male</v>
      </c>
    </row>
    <row r="768" spans="1:16"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s="12" t="str">
        <f>TEXT(orders[[#This Row],[Order Date]],"mmmm")</f>
        <v>February</v>
      </c>
      <c r="P768" t="str">
        <f>IF(orders[[#This Row],[Customer Gender]]="M","Male", IF(orders[[#This Row],[Customer Gender]]="F","Female", IF(orders[[#This Row],[Customer Gender]]= "O", "Other","Unknown")))</f>
        <v>Male</v>
      </c>
    </row>
    <row r="769" spans="1:16"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s="12" t="str">
        <f>TEXT(orders[[#This Row],[Order Date]],"mmmm")</f>
        <v>February</v>
      </c>
      <c r="P769" t="str">
        <f>IF(orders[[#This Row],[Customer Gender]]="M","Male", IF(orders[[#This Row],[Customer Gender]]="F","Female", IF(orders[[#This Row],[Customer Gender]]= "O", "Other","Unknown")))</f>
        <v>Male</v>
      </c>
    </row>
    <row r="770" spans="1:16"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s="12" t="str">
        <f>TEXT(orders[[#This Row],[Order Date]],"mmmm")</f>
        <v>February</v>
      </c>
      <c r="P770" t="str">
        <f>IF(orders[[#This Row],[Customer Gender]]="M","Male", IF(orders[[#This Row],[Customer Gender]]="F","Female", IF(orders[[#This Row],[Customer Gender]]= "O", "Other","Unknown")))</f>
        <v>Female</v>
      </c>
    </row>
    <row r="771" spans="1:16"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s="12" t="str">
        <f>TEXT(orders[[#This Row],[Order Date]],"mmmm")</f>
        <v>February</v>
      </c>
      <c r="P771" t="str">
        <f>IF(orders[[#This Row],[Customer Gender]]="M","Male", IF(orders[[#This Row],[Customer Gender]]="F","Female", IF(orders[[#This Row],[Customer Gender]]= "O", "Other","Unknown")))</f>
        <v>Female</v>
      </c>
    </row>
    <row r="772" spans="1:16"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s="12" t="str">
        <f>TEXT(orders[[#This Row],[Order Date]],"mmmm")</f>
        <v>February</v>
      </c>
      <c r="P772" t="str">
        <f>IF(orders[[#This Row],[Customer Gender]]="M","Male", IF(orders[[#This Row],[Customer Gender]]="F","Female", IF(orders[[#This Row],[Customer Gender]]= "O", "Other","Unknown")))</f>
        <v>Female</v>
      </c>
    </row>
    <row r="773" spans="1:16"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s="12" t="str">
        <f>TEXT(orders[[#This Row],[Order Date]],"mmmm")</f>
        <v>February</v>
      </c>
      <c r="P773" t="str">
        <f>IF(orders[[#This Row],[Customer Gender]]="M","Male", IF(orders[[#This Row],[Customer Gender]]="F","Female", IF(orders[[#This Row],[Customer Gender]]= "O", "Other","Unknown")))</f>
        <v>Male</v>
      </c>
    </row>
    <row r="774" spans="1:16"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s="12" t="str">
        <f>TEXT(orders[[#This Row],[Order Date]],"mmmm")</f>
        <v>February</v>
      </c>
      <c r="P774" t="str">
        <f>IF(orders[[#This Row],[Customer Gender]]="M","Male", IF(orders[[#This Row],[Customer Gender]]="F","Female", IF(orders[[#This Row],[Customer Gender]]= "O", "Other","Unknown")))</f>
        <v>Male</v>
      </c>
    </row>
    <row r="775" spans="1:16"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s="12" t="str">
        <f>TEXT(orders[[#This Row],[Order Date]],"mmmm")</f>
        <v>February</v>
      </c>
      <c r="P775" t="str">
        <f>IF(orders[[#This Row],[Customer Gender]]="M","Male", IF(orders[[#This Row],[Customer Gender]]="F","Female", IF(orders[[#This Row],[Customer Gender]]= "O", "Other","Unknown")))</f>
        <v>Female</v>
      </c>
    </row>
    <row r="776" spans="1:16"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s="12" t="str">
        <f>TEXT(orders[[#This Row],[Order Date]],"mmmm")</f>
        <v>February</v>
      </c>
      <c r="P776" t="str">
        <f>IF(orders[[#This Row],[Customer Gender]]="M","Male", IF(orders[[#This Row],[Customer Gender]]="F","Female", IF(orders[[#This Row],[Customer Gender]]= "O", "Other","Unknown")))</f>
        <v>Male</v>
      </c>
    </row>
    <row r="777" spans="1:16"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s="12" t="str">
        <f>TEXT(orders[[#This Row],[Order Date]],"mmmm")</f>
        <v>February</v>
      </c>
      <c r="P777" t="str">
        <f>IF(orders[[#This Row],[Customer Gender]]="M","Male", IF(orders[[#This Row],[Customer Gender]]="F","Female", IF(orders[[#This Row],[Customer Gender]]= "O", "Other","Unknown")))</f>
        <v>Female</v>
      </c>
    </row>
    <row r="778" spans="1:16" hidden="1"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s="12" t="str">
        <f>TEXT(orders[[#This Row],[Order Date]],"mmmm")</f>
        <v>February</v>
      </c>
      <c r="P778" t="str">
        <f>IF(orders[[#This Row],[Customer Gender]]="M","Male", IF(orders[[#This Row],[Customer Gender]]="F","Female", IF(orders[[#This Row],[Customer Gender]]= "O", "Other","Unknown")))</f>
        <v>Unknown</v>
      </c>
    </row>
    <row r="779" spans="1:16"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s="12" t="str">
        <f>TEXT(orders[[#This Row],[Order Date]],"mmmm")</f>
        <v>February</v>
      </c>
      <c r="P779" t="str">
        <f>IF(orders[[#This Row],[Customer Gender]]="M","Male", IF(orders[[#This Row],[Customer Gender]]="F","Female", IF(orders[[#This Row],[Customer Gender]]= "O", "Other","Unknown")))</f>
        <v>Female</v>
      </c>
    </row>
    <row r="780" spans="1:16"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s="12" t="str">
        <f>TEXT(orders[[#This Row],[Order Date]],"mmmm")</f>
        <v>February</v>
      </c>
      <c r="P780" t="str">
        <f>IF(orders[[#This Row],[Customer Gender]]="M","Male", IF(orders[[#This Row],[Customer Gender]]="F","Female", IF(orders[[#This Row],[Customer Gender]]= "O", "Other","Unknown")))</f>
        <v>Other</v>
      </c>
    </row>
    <row r="781" spans="1:16"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s="12" t="str">
        <f>TEXT(orders[[#This Row],[Order Date]],"mmmm")</f>
        <v>February</v>
      </c>
      <c r="P781" t="str">
        <f>IF(orders[[#This Row],[Customer Gender]]="M","Male", IF(orders[[#This Row],[Customer Gender]]="F","Female", IF(orders[[#This Row],[Customer Gender]]= "O", "Other","Unknown")))</f>
        <v>Female</v>
      </c>
    </row>
    <row r="782" spans="1:16"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s="12" t="str">
        <f>TEXT(orders[[#This Row],[Order Date]],"mmmm")</f>
        <v>February</v>
      </c>
      <c r="P782" t="str">
        <f>IF(orders[[#This Row],[Customer Gender]]="M","Male", IF(orders[[#This Row],[Customer Gender]]="F","Female", IF(orders[[#This Row],[Customer Gender]]= "O", "Other","Unknown")))</f>
        <v>Female</v>
      </c>
    </row>
    <row r="783" spans="1:16"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s="12" t="str">
        <f>TEXT(orders[[#This Row],[Order Date]],"mmmm")</f>
        <v>February</v>
      </c>
      <c r="P783" t="str">
        <f>IF(orders[[#This Row],[Customer Gender]]="M","Male", IF(orders[[#This Row],[Customer Gender]]="F","Female", IF(orders[[#This Row],[Customer Gender]]= "O", "Other","Unknown")))</f>
        <v>Female</v>
      </c>
    </row>
    <row r="784" spans="1:16"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s="12" t="str">
        <f>TEXT(orders[[#This Row],[Order Date]],"mmmm")</f>
        <v>February</v>
      </c>
      <c r="P784" t="str">
        <f>IF(orders[[#This Row],[Customer Gender]]="M","Male", IF(orders[[#This Row],[Customer Gender]]="F","Female", IF(orders[[#This Row],[Customer Gender]]= "O", "Other","Unknown")))</f>
        <v>Male</v>
      </c>
    </row>
    <row r="785" spans="1:16"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s="12" t="str">
        <f>TEXT(orders[[#This Row],[Order Date]],"mmmm")</f>
        <v>February</v>
      </c>
      <c r="P785" t="str">
        <f>IF(orders[[#This Row],[Customer Gender]]="M","Male", IF(orders[[#This Row],[Customer Gender]]="F","Female", IF(orders[[#This Row],[Customer Gender]]= "O", "Other","Unknown")))</f>
        <v>Female</v>
      </c>
    </row>
    <row r="786" spans="1:16"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s="12" t="str">
        <f>TEXT(orders[[#This Row],[Order Date]],"mmmm")</f>
        <v>February</v>
      </c>
      <c r="P786" t="str">
        <f>IF(orders[[#This Row],[Customer Gender]]="M","Male", IF(orders[[#This Row],[Customer Gender]]="F","Female", IF(orders[[#This Row],[Customer Gender]]= "O", "Other","Unknown")))</f>
        <v>Female</v>
      </c>
    </row>
    <row r="787" spans="1:16"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s="12" t="str">
        <f>TEXT(orders[[#This Row],[Order Date]],"mmmm")</f>
        <v>February</v>
      </c>
      <c r="P787" t="str">
        <f>IF(orders[[#This Row],[Customer Gender]]="M","Male", IF(orders[[#This Row],[Customer Gender]]="F","Female", IF(orders[[#This Row],[Customer Gender]]= "O", "Other","Unknown")))</f>
        <v>Female</v>
      </c>
    </row>
    <row r="788" spans="1:16"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s="12" t="str">
        <f>TEXT(orders[[#This Row],[Order Date]],"mmmm")</f>
        <v>February</v>
      </c>
      <c r="P788" t="str">
        <f>IF(orders[[#This Row],[Customer Gender]]="M","Male", IF(orders[[#This Row],[Customer Gender]]="F","Female", IF(orders[[#This Row],[Customer Gender]]= "O", "Other","Unknown")))</f>
        <v>Female</v>
      </c>
    </row>
    <row r="789" spans="1:16"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s="12" t="str">
        <f>TEXT(orders[[#This Row],[Order Date]],"mmmm")</f>
        <v>February</v>
      </c>
      <c r="P789" t="str">
        <f>IF(orders[[#This Row],[Customer Gender]]="M","Male", IF(orders[[#This Row],[Customer Gender]]="F","Female", IF(orders[[#This Row],[Customer Gender]]= "O", "Other","Unknown")))</f>
        <v>Female</v>
      </c>
    </row>
    <row r="790" spans="1:16"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s="12" t="str">
        <f>TEXT(orders[[#This Row],[Order Date]],"mmmm")</f>
        <v>February</v>
      </c>
      <c r="P790" t="str">
        <f>IF(orders[[#This Row],[Customer Gender]]="M","Male", IF(orders[[#This Row],[Customer Gender]]="F","Female", IF(orders[[#This Row],[Customer Gender]]= "O", "Other","Unknown")))</f>
        <v>Male</v>
      </c>
    </row>
    <row r="791" spans="1:16"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s="12" t="str">
        <f>TEXT(orders[[#This Row],[Order Date]],"mmmm")</f>
        <v>February</v>
      </c>
      <c r="P791" t="str">
        <f>IF(orders[[#This Row],[Customer Gender]]="M","Male", IF(orders[[#This Row],[Customer Gender]]="F","Female", IF(orders[[#This Row],[Customer Gender]]= "O", "Other","Unknown")))</f>
        <v>Female</v>
      </c>
    </row>
    <row r="792" spans="1:16"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s="12" t="str">
        <f>TEXT(orders[[#This Row],[Order Date]],"mmmm")</f>
        <v>February</v>
      </c>
      <c r="P792" t="str">
        <f>IF(orders[[#This Row],[Customer Gender]]="M","Male", IF(orders[[#This Row],[Customer Gender]]="F","Female", IF(orders[[#This Row],[Customer Gender]]= "O", "Other","Unknown")))</f>
        <v>Male</v>
      </c>
    </row>
    <row r="793" spans="1:16"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s="12" t="str">
        <f>TEXT(orders[[#This Row],[Order Date]],"mmmm")</f>
        <v>February</v>
      </c>
      <c r="P793" t="str">
        <f>IF(orders[[#This Row],[Customer Gender]]="M","Male", IF(orders[[#This Row],[Customer Gender]]="F","Female", IF(orders[[#This Row],[Customer Gender]]= "O", "Other","Unknown")))</f>
        <v>Male</v>
      </c>
    </row>
    <row r="794" spans="1:16"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s="12" t="str">
        <f>TEXT(orders[[#This Row],[Order Date]],"mmmm")</f>
        <v>February</v>
      </c>
      <c r="P794" t="str">
        <f>IF(orders[[#This Row],[Customer Gender]]="M","Male", IF(orders[[#This Row],[Customer Gender]]="F","Female", IF(orders[[#This Row],[Customer Gender]]= "O", "Other","Unknown")))</f>
        <v>Male</v>
      </c>
    </row>
    <row r="795" spans="1:16"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s="12" t="str">
        <f>TEXT(orders[[#This Row],[Order Date]],"mmmm")</f>
        <v>February</v>
      </c>
      <c r="P795" t="str">
        <f>IF(orders[[#This Row],[Customer Gender]]="M","Male", IF(orders[[#This Row],[Customer Gender]]="F","Female", IF(orders[[#This Row],[Customer Gender]]= "O", "Other","Unknown")))</f>
        <v>Female</v>
      </c>
    </row>
    <row r="796" spans="1:16"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s="12" t="str">
        <f>TEXT(orders[[#This Row],[Order Date]],"mmmm")</f>
        <v>February</v>
      </c>
      <c r="P796" t="str">
        <f>IF(orders[[#This Row],[Customer Gender]]="M","Male", IF(orders[[#This Row],[Customer Gender]]="F","Female", IF(orders[[#This Row],[Customer Gender]]= "O", "Other","Unknown")))</f>
        <v>Male</v>
      </c>
    </row>
    <row r="797" spans="1:16"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s="12" t="str">
        <f>TEXT(orders[[#This Row],[Order Date]],"mmmm")</f>
        <v>February</v>
      </c>
      <c r="P797" t="str">
        <f>IF(orders[[#This Row],[Customer Gender]]="M","Male", IF(orders[[#This Row],[Customer Gender]]="F","Female", IF(orders[[#This Row],[Customer Gender]]= "O", "Other","Unknown")))</f>
        <v>Female</v>
      </c>
    </row>
    <row r="798" spans="1:16"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s="12" t="str">
        <f>TEXT(orders[[#This Row],[Order Date]],"mmmm")</f>
        <v>February</v>
      </c>
      <c r="P798" t="str">
        <f>IF(orders[[#This Row],[Customer Gender]]="M","Male", IF(orders[[#This Row],[Customer Gender]]="F","Female", IF(orders[[#This Row],[Customer Gender]]= "O", "Other","Unknown")))</f>
        <v>Male</v>
      </c>
    </row>
    <row r="799" spans="1:16"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s="12" t="str">
        <f>TEXT(orders[[#This Row],[Order Date]],"mmmm")</f>
        <v>February</v>
      </c>
      <c r="P799" t="str">
        <f>IF(orders[[#This Row],[Customer Gender]]="M","Male", IF(orders[[#This Row],[Customer Gender]]="F","Female", IF(orders[[#This Row],[Customer Gender]]= "O", "Other","Unknown")))</f>
        <v>Female</v>
      </c>
    </row>
    <row r="800" spans="1:16"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s="12" t="str">
        <f>TEXT(orders[[#This Row],[Order Date]],"mmmm")</f>
        <v>February</v>
      </c>
      <c r="P800" t="str">
        <f>IF(orders[[#This Row],[Customer Gender]]="M","Male", IF(orders[[#This Row],[Customer Gender]]="F","Female", IF(orders[[#This Row],[Customer Gender]]= "O", "Other","Unknown")))</f>
        <v>Female</v>
      </c>
    </row>
    <row r="801" spans="1:16"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s="12" t="str">
        <f>TEXT(orders[[#This Row],[Order Date]],"mmmm")</f>
        <v>February</v>
      </c>
      <c r="P801" t="str">
        <f>IF(orders[[#This Row],[Customer Gender]]="M","Male", IF(orders[[#This Row],[Customer Gender]]="F","Female", IF(orders[[#This Row],[Customer Gender]]= "O", "Other","Unknown")))</f>
        <v>Female</v>
      </c>
    </row>
    <row r="802" spans="1:16"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s="12" t="str">
        <f>TEXT(orders[[#This Row],[Order Date]],"mmmm")</f>
        <v>February</v>
      </c>
      <c r="P802" t="str">
        <f>IF(orders[[#This Row],[Customer Gender]]="M","Male", IF(orders[[#This Row],[Customer Gender]]="F","Female", IF(orders[[#This Row],[Customer Gender]]= "O", "Other","Unknown")))</f>
        <v>Male</v>
      </c>
    </row>
    <row r="803" spans="1:16"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s="12" t="str">
        <f>TEXT(orders[[#This Row],[Order Date]],"mmmm")</f>
        <v>February</v>
      </c>
      <c r="P803" t="str">
        <f>IF(orders[[#This Row],[Customer Gender]]="M","Male", IF(orders[[#This Row],[Customer Gender]]="F","Female", IF(orders[[#This Row],[Customer Gender]]= "O", "Other","Unknown")))</f>
        <v>Male</v>
      </c>
    </row>
    <row r="804" spans="1:16"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s="12" t="str">
        <f>TEXT(orders[[#This Row],[Order Date]],"mmmm")</f>
        <v>February</v>
      </c>
      <c r="P804" t="str">
        <f>IF(orders[[#This Row],[Customer Gender]]="M","Male", IF(orders[[#This Row],[Customer Gender]]="F","Female", IF(orders[[#This Row],[Customer Gender]]= "O", "Other","Unknown")))</f>
        <v>Female</v>
      </c>
    </row>
    <row r="805" spans="1:16"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s="12" t="str">
        <f>TEXT(orders[[#This Row],[Order Date]],"mmmm")</f>
        <v>February</v>
      </c>
      <c r="P805" t="str">
        <f>IF(orders[[#This Row],[Customer Gender]]="M","Male", IF(orders[[#This Row],[Customer Gender]]="F","Female", IF(orders[[#This Row],[Customer Gender]]= "O", "Other","Unknown")))</f>
        <v>Male</v>
      </c>
    </row>
    <row r="806" spans="1:16"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s="12" t="str">
        <f>TEXT(orders[[#This Row],[Order Date]],"mmmm")</f>
        <v>February</v>
      </c>
      <c r="P806" t="str">
        <f>IF(orders[[#This Row],[Customer Gender]]="M","Male", IF(orders[[#This Row],[Customer Gender]]="F","Female", IF(orders[[#This Row],[Customer Gender]]= "O", "Other","Unknown")))</f>
        <v>Female</v>
      </c>
    </row>
    <row r="807" spans="1:16"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s="12" t="str">
        <f>TEXT(orders[[#This Row],[Order Date]],"mmmm")</f>
        <v>February</v>
      </c>
      <c r="P807" t="str">
        <f>IF(orders[[#This Row],[Customer Gender]]="M","Male", IF(orders[[#This Row],[Customer Gender]]="F","Female", IF(orders[[#This Row],[Customer Gender]]= "O", "Other","Unknown")))</f>
        <v>Female</v>
      </c>
    </row>
    <row r="808" spans="1:16"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s="12" t="str">
        <f>TEXT(orders[[#This Row],[Order Date]],"mmmm")</f>
        <v>February</v>
      </c>
      <c r="P808" t="str">
        <f>IF(orders[[#This Row],[Customer Gender]]="M","Male", IF(orders[[#This Row],[Customer Gender]]="F","Female", IF(orders[[#This Row],[Customer Gender]]= "O", "Other","Unknown")))</f>
        <v>Female</v>
      </c>
    </row>
    <row r="809" spans="1:16"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s="12" t="str">
        <f>TEXT(orders[[#This Row],[Order Date]],"mmmm")</f>
        <v>February</v>
      </c>
      <c r="P809" t="str">
        <f>IF(orders[[#This Row],[Customer Gender]]="M","Male", IF(orders[[#This Row],[Customer Gender]]="F","Female", IF(orders[[#This Row],[Customer Gender]]= "O", "Other","Unknown")))</f>
        <v>Male</v>
      </c>
    </row>
    <row r="810" spans="1:16"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s="12" t="str">
        <f>TEXT(orders[[#This Row],[Order Date]],"mmmm")</f>
        <v>February</v>
      </c>
      <c r="P810" t="str">
        <f>IF(orders[[#This Row],[Customer Gender]]="M","Male", IF(orders[[#This Row],[Customer Gender]]="F","Female", IF(orders[[#This Row],[Customer Gender]]= "O", "Other","Unknown")))</f>
        <v>Female</v>
      </c>
    </row>
    <row r="811" spans="1:16" hidden="1"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s="12" t="str">
        <f>TEXT(orders[[#This Row],[Order Date]],"mmmm")</f>
        <v>February</v>
      </c>
      <c r="P811" t="str">
        <f>IF(orders[[#This Row],[Customer Gender]]="M","Male", IF(orders[[#This Row],[Customer Gender]]="F","Female", IF(orders[[#This Row],[Customer Gender]]= "O", "Other","Unknown")))</f>
        <v>Unknown</v>
      </c>
    </row>
    <row r="812" spans="1:16"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s="12" t="str">
        <f>TEXT(orders[[#This Row],[Order Date]],"mmmm")</f>
        <v>February</v>
      </c>
      <c r="P812" t="str">
        <f>IF(orders[[#This Row],[Customer Gender]]="M","Male", IF(orders[[#This Row],[Customer Gender]]="F","Female", IF(orders[[#This Row],[Customer Gender]]= "O", "Other","Unknown")))</f>
        <v>Female</v>
      </c>
    </row>
    <row r="813" spans="1:16"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s="12" t="str">
        <f>TEXT(orders[[#This Row],[Order Date]],"mmmm")</f>
        <v>February</v>
      </c>
      <c r="P813" t="str">
        <f>IF(orders[[#This Row],[Customer Gender]]="M","Male", IF(orders[[#This Row],[Customer Gender]]="F","Female", IF(orders[[#This Row],[Customer Gender]]= "O", "Other","Unknown")))</f>
        <v>Female</v>
      </c>
    </row>
    <row r="814" spans="1:16"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s="12" t="str">
        <f>TEXT(orders[[#This Row],[Order Date]],"mmmm")</f>
        <v>February</v>
      </c>
      <c r="P814" t="str">
        <f>IF(orders[[#This Row],[Customer Gender]]="M","Male", IF(orders[[#This Row],[Customer Gender]]="F","Female", IF(orders[[#This Row],[Customer Gender]]= "O", "Other","Unknown")))</f>
        <v>Female</v>
      </c>
    </row>
    <row r="815" spans="1:16"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s="12" t="str">
        <f>TEXT(orders[[#This Row],[Order Date]],"mmmm")</f>
        <v>February</v>
      </c>
      <c r="P815" t="str">
        <f>IF(orders[[#This Row],[Customer Gender]]="M","Male", IF(orders[[#This Row],[Customer Gender]]="F","Female", IF(orders[[#This Row],[Customer Gender]]= "O", "Other","Unknown")))</f>
        <v>Female</v>
      </c>
    </row>
    <row r="816" spans="1:16"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s="12" t="str">
        <f>TEXT(orders[[#This Row],[Order Date]],"mmmm")</f>
        <v>February</v>
      </c>
      <c r="P816" t="str">
        <f>IF(orders[[#This Row],[Customer Gender]]="M","Male", IF(orders[[#This Row],[Customer Gender]]="F","Female", IF(orders[[#This Row],[Customer Gender]]= "O", "Other","Unknown")))</f>
        <v>Male</v>
      </c>
    </row>
    <row r="817" spans="1:16"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s="12" t="str">
        <f>TEXT(orders[[#This Row],[Order Date]],"mmmm")</f>
        <v>February</v>
      </c>
      <c r="P817" t="str">
        <f>IF(orders[[#This Row],[Customer Gender]]="M","Male", IF(orders[[#This Row],[Customer Gender]]="F","Female", IF(orders[[#This Row],[Customer Gender]]= "O", "Other","Unknown")))</f>
        <v>Female</v>
      </c>
    </row>
    <row r="818" spans="1:16"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s="12" t="str">
        <f>TEXT(orders[[#This Row],[Order Date]],"mmmm")</f>
        <v>February</v>
      </c>
      <c r="P818" t="str">
        <f>IF(orders[[#This Row],[Customer Gender]]="M","Male", IF(orders[[#This Row],[Customer Gender]]="F","Female", IF(orders[[#This Row],[Customer Gender]]= "O", "Other","Unknown")))</f>
        <v>Female</v>
      </c>
    </row>
    <row r="819" spans="1:16"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s="12" t="str">
        <f>TEXT(orders[[#This Row],[Order Date]],"mmmm")</f>
        <v>February</v>
      </c>
      <c r="P819" t="str">
        <f>IF(orders[[#This Row],[Customer Gender]]="M","Male", IF(orders[[#This Row],[Customer Gender]]="F","Female", IF(orders[[#This Row],[Customer Gender]]= "O", "Other","Unknown")))</f>
        <v>Female</v>
      </c>
    </row>
    <row r="820" spans="1:16"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s="12" t="str">
        <f>TEXT(orders[[#This Row],[Order Date]],"mmmm")</f>
        <v>February</v>
      </c>
      <c r="P820" t="str">
        <f>IF(orders[[#This Row],[Customer Gender]]="M","Male", IF(orders[[#This Row],[Customer Gender]]="F","Female", IF(orders[[#This Row],[Customer Gender]]= "O", "Other","Unknown")))</f>
        <v>Other</v>
      </c>
    </row>
    <row r="821" spans="1:16"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s="12" t="str">
        <f>TEXT(orders[[#This Row],[Order Date]],"mmmm")</f>
        <v>February</v>
      </c>
      <c r="P821" t="str">
        <f>IF(orders[[#This Row],[Customer Gender]]="M","Male", IF(orders[[#This Row],[Customer Gender]]="F","Female", IF(orders[[#This Row],[Customer Gender]]= "O", "Other","Unknown")))</f>
        <v>Female</v>
      </c>
    </row>
    <row r="822" spans="1:16"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s="12" t="str">
        <f>TEXT(orders[[#This Row],[Order Date]],"mmmm")</f>
        <v>February</v>
      </c>
      <c r="P822" t="str">
        <f>IF(orders[[#This Row],[Customer Gender]]="M","Male", IF(orders[[#This Row],[Customer Gender]]="F","Female", IF(orders[[#This Row],[Customer Gender]]= "O", "Other","Unknown")))</f>
        <v>Female</v>
      </c>
    </row>
    <row r="823" spans="1:16"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s="12" t="str">
        <f>TEXT(orders[[#This Row],[Order Date]],"mmmm")</f>
        <v>February</v>
      </c>
      <c r="P823" t="str">
        <f>IF(orders[[#This Row],[Customer Gender]]="M","Male", IF(orders[[#This Row],[Customer Gender]]="F","Female", IF(orders[[#This Row],[Customer Gender]]= "O", "Other","Unknown")))</f>
        <v>Female</v>
      </c>
    </row>
    <row r="824" spans="1:16"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s="12" t="str">
        <f>TEXT(orders[[#This Row],[Order Date]],"mmmm")</f>
        <v>February</v>
      </c>
      <c r="P824" t="str">
        <f>IF(orders[[#This Row],[Customer Gender]]="M","Male", IF(orders[[#This Row],[Customer Gender]]="F","Female", IF(orders[[#This Row],[Customer Gender]]= "O", "Other","Unknown")))</f>
        <v>Female</v>
      </c>
    </row>
    <row r="825" spans="1:16"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s="12" t="str">
        <f>TEXT(orders[[#This Row],[Order Date]],"mmmm")</f>
        <v>February</v>
      </c>
      <c r="P825" t="str">
        <f>IF(orders[[#This Row],[Customer Gender]]="M","Male", IF(orders[[#This Row],[Customer Gender]]="F","Female", IF(orders[[#This Row],[Customer Gender]]= "O", "Other","Unknown")))</f>
        <v>Female</v>
      </c>
    </row>
    <row r="826" spans="1:16"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s="12" t="str">
        <f>TEXT(orders[[#This Row],[Order Date]],"mmmm")</f>
        <v>February</v>
      </c>
      <c r="P826" t="str">
        <f>IF(orders[[#This Row],[Customer Gender]]="M","Male", IF(orders[[#This Row],[Customer Gender]]="F","Female", IF(orders[[#This Row],[Customer Gender]]= "O", "Other","Unknown")))</f>
        <v>Male</v>
      </c>
    </row>
    <row r="827" spans="1:16"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s="12" t="str">
        <f>TEXT(orders[[#This Row],[Order Date]],"mmmm")</f>
        <v>February</v>
      </c>
      <c r="P827" t="str">
        <f>IF(orders[[#This Row],[Customer Gender]]="M","Male", IF(orders[[#This Row],[Customer Gender]]="F","Female", IF(orders[[#This Row],[Customer Gender]]= "O", "Other","Unknown")))</f>
        <v>Male</v>
      </c>
    </row>
    <row r="828" spans="1:16" hidden="1"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s="12" t="str">
        <f>TEXT(orders[[#This Row],[Order Date]],"mmmm")</f>
        <v>February</v>
      </c>
      <c r="P828" t="str">
        <f>IF(orders[[#This Row],[Customer Gender]]="M","Male", IF(orders[[#This Row],[Customer Gender]]="F","Female", IF(orders[[#This Row],[Customer Gender]]= "O", "Other","Unknown")))</f>
        <v>Unknown</v>
      </c>
    </row>
    <row r="829" spans="1:16"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s="12" t="str">
        <f>TEXT(orders[[#This Row],[Order Date]],"mmmm")</f>
        <v>February</v>
      </c>
      <c r="P829" t="str">
        <f>IF(orders[[#This Row],[Customer Gender]]="M","Male", IF(orders[[#This Row],[Customer Gender]]="F","Female", IF(orders[[#This Row],[Customer Gender]]= "O", "Other","Unknown")))</f>
        <v>Male</v>
      </c>
    </row>
    <row r="830" spans="1:16"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s="12" t="str">
        <f>TEXT(orders[[#This Row],[Order Date]],"mmmm")</f>
        <v>February</v>
      </c>
      <c r="P830" t="str">
        <f>IF(orders[[#This Row],[Customer Gender]]="M","Male", IF(orders[[#This Row],[Customer Gender]]="F","Female", IF(orders[[#This Row],[Customer Gender]]= "O", "Other","Unknown")))</f>
        <v>Female</v>
      </c>
    </row>
    <row r="831" spans="1:16"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s="12" t="str">
        <f>TEXT(orders[[#This Row],[Order Date]],"mmmm")</f>
        <v>February</v>
      </c>
      <c r="P831" t="str">
        <f>IF(orders[[#This Row],[Customer Gender]]="M","Male", IF(orders[[#This Row],[Customer Gender]]="F","Female", IF(orders[[#This Row],[Customer Gender]]= "O", "Other","Unknown")))</f>
        <v>Male</v>
      </c>
    </row>
    <row r="832" spans="1:16"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s="12" t="str">
        <f>TEXT(orders[[#This Row],[Order Date]],"mmmm")</f>
        <v>February</v>
      </c>
      <c r="P832" t="str">
        <f>IF(orders[[#This Row],[Customer Gender]]="M","Male", IF(orders[[#This Row],[Customer Gender]]="F","Female", IF(orders[[#This Row],[Customer Gender]]= "O", "Other","Unknown")))</f>
        <v>Female</v>
      </c>
    </row>
    <row r="833" spans="1:16" hidden="1"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s="12" t="str">
        <f>TEXT(orders[[#This Row],[Order Date]],"mmmm")</f>
        <v>February</v>
      </c>
      <c r="P833" t="str">
        <f>IF(orders[[#This Row],[Customer Gender]]="M","Male", IF(orders[[#This Row],[Customer Gender]]="F","Female", IF(orders[[#This Row],[Customer Gender]]= "O", "Other","Unknown")))</f>
        <v>Unknown</v>
      </c>
    </row>
    <row r="834" spans="1:16"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s="12" t="str">
        <f>TEXT(orders[[#This Row],[Order Date]],"mmmm")</f>
        <v>February</v>
      </c>
      <c r="P834" t="str">
        <f>IF(orders[[#This Row],[Customer Gender]]="M","Male", IF(orders[[#This Row],[Customer Gender]]="F","Female", IF(orders[[#This Row],[Customer Gender]]= "O", "Other","Unknown")))</f>
        <v>Female</v>
      </c>
    </row>
    <row r="835" spans="1:16"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s="12" t="str">
        <f>TEXT(orders[[#This Row],[Order Date]],"mmmm")</f>
        <v>February</v>
      </c>
      <c r="P835" t="str">
        <f>IF(orders[[#This Row],[Customer Gender]]="M","Male", IF(orders[[#This Row],[Customer Gender]]="F","Female", IF(orders[[#This Row],[Customer Gender]]= "O", "Other","Unknown")))</f>
        <v>Female</v>
      </c>
    </row>
    <row r="836" spans="1:16"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s="12" t="str">
        <f>TEXT(orders[[#This Row],[Order Date]],"mmmm")</f>
        <v>February</v>
      </c>
      <c r="P836" t="str">
        <f>IF(orders[[#This Row],[Customer Gender]]="M","Male", IF(orders[[#This Row],[Customer Gender]]="F","Female", IF(orders[[#This Row],[Customer Gender]]= "O", "Other","Unknown")))</f>
        <v>Male</v>
      </c>
    </row>
    <row r="837" spans="1:16"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s="12" t="str">
        <f>TEXT(orders[[#This Row],[Order Date]],"mmmm")</f>
        <v>February</v>
      </c>
      <c r="P837" t="str">
        <f>IF(orders[[#This Row],[Customer Gender]]="M","Male", IF(orders[[#This Row],[Customer Gender]]="F","Female", IF(orders[[#This Row],[Customer Gender]]= "O", "Other","Unknown")))</f>
        <v>Male</v>
      </c>
    </row>
    <row r="838" spans="1:16" hidden="1"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s="12" t="str">
        <f>TEXT(orders[[#This Row],[Order Date]],"mmmm")</f>
        <v>February</v>
      </c>
      <c r="P838" t="str">
        <f>IF(orders[[#This Row],[Customer Gender]]="M","Male", IF(orders[[#This Row],[Customer Gender]]="F","Female", IF(orders[[#This Row],[Customer Gender]]= "O", "Other","Unknown")))</f>
        <v>Unknown</v>
      </c>
    </row>
    <row r="839" spans="1:16"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s="12" t="str">
        <f>TEXT(orders[[#This Row],[Order Date]],"mmmm")</f>
        <v>February</v>
      </c>
      <c r="P839" t="str">
        <f>IF(orders[[#This Row],[Customer Gender]]="M","Male", IF(orders[[#This Row],[Customer Gender]]="F","Female", IF(orders[[#This Row],[Customer Gender]]= "O", "Other","Unknown")))</f>
        <v>Female</v>
      </c>
    </row>
    <row r="840" spans="1:16"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s="12" t="str">
        <f>TEXT(orders[[#This Row],[Order Date]],"mmmm")</f>
        <v>February</v>
      </c>
      <c r="P840" t="str">
        <f>IF(orders[[#This Row],[Customer Gender]]="M","Male", IF(orders[[#This Row],[Customer Gender]]="F","Female", IF(orders[[#This Row],[Customer Gender]]= "O", "Other","Unknown")))</f>
        <v>Female</v>
      </c>
    </row>
    <row r="841" spans="1:16"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s="12" t="str">
        <f>TEXT(orders[[#This Row],[Order Date]],"mmmm")</f>
        <v>February</v>
      </c>
      <c r="P841" t="str">
        <f>IF(orders[[#This Row],[Customer Gender]]="M","Male", IF(orders[[#This Row],[Customer Gender]]="F","Female", IF(orders[[#This Row],[Customer Gender]]= "O", "Other","Unknown")))</f>
        <v>Female</v>
      </c>
    </row>
    <row r="842" spans="1:16"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s="12" t="str">
        <f>TEXT(orders[[#This Row],[Order Date]],"mmmm")</f>
        <v>February</v>
      </c>
      <c r="P842" t="str">
        <f>IF(orders[[#This Row],[Customer Gender]]="M","Male", IF(orders[[#This Row],[Customer Gender]]="F","Female", IF(orders[[#This Row],[Customer Gender]]= "O", "Other","Unknown")))</f>
        <v>Female</v>
      </c>
    </row>
    <row r="843" spans="1:16"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s="12" t="str">
        <f>TEXT(orders[[#This Row],[Order Date]],"mmmm")</f>
        <v>February</v>
      </c>
      <c r="P843" t="str">
        <f>IF(orders[[#This Row],[Customer Gender]]="M","Male", IF(orders[[#This Row],[Customer Gender]]="F","Female", IF(orders[[#This Row],[Customer Gender]]= "O", "Other","Unknown")))</f>
        <v>Female</v>
      </c>
    </row>
    <row r="844" spans="1:16"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s="12" t="str">
        <f>TEXT(orders[[#This Row],[Order Date]],"mmmm")</f>
        <v>February</v>
      </c>
      <c r="P844" t="str">
        <f>IF(orders[[#This Row],[Customer Gender]]="M","Male", IF(orders[[#This Row],[Customer Gender]]="F","Female", IF(orders[[#This Row],[Customer Gender]]= "O", "Other","Unknown")))</f>
        <v>Female</v>
      </c>
    </row>
    <row r="845" spans="1:16"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s="12" t="str">
        <f>TEXT(orders[[#This Row],[Order Date]],"mmmm")</f>
        <v>February</v>
      </c>
      <c r="P845" t="str">
        <f>IF(orders[[#This Row],[Customer Gender]]="M","Male", IF(orders[[#This Row],[Customer Gender]]="F","Female", IF(orders[[#This Row],[Customer Gender]]= "O", "Other","Unknown")))</f>
        <v>Female</v>
      </c>
    </row>
    <row r="846" spans="1:16"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s="12" t="str">
        <f>TEXT(orders[[#This Row],[Order Date]],"mmmm")</f>
        <v>February</v>
      </c>
      <c r="P846" t="str">
        <f>IF(orders[[#This Row],[Customer Gender]]="M","Male", IF(orders[[#This Row],[Customer Gender]]="F","Female", IF(orders[[#This Row],[Customer Gender]]= "O", "Other","Unknown")))</f>
        <v>Female</v>
      </c>
    </row>
    <row r="847" spans="1:16"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s="12" t="str">
        <f>TEXT(orders[[#This Row],[Order Date]],"mmmm")</f>
        <v>February</v>
      </c>
      <c r="P847" t="str">
        <f>IF(orders[[#This Row],[Customer Gender]]="M","Male", IF(orders[[#This Row],[Customer Gender]]="F","Female", IF(orders[[#This Row],[Customer Gender]]= "O", "Other","Unknown")))</f>
        <v>Female</v>
      </c>
    </row>
    <row r="848" spans="1:16"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s="12" t="str">
        <f>TEXT(orders[[#This Row],[Order Date]],"mmmm")</f>
        <v>February</v>
      </c>
      <c r="P848" t="str">
        <f>IF(orders[[#This Row],[Customer Gender]]="M","Male", IF(orders[[#This Row],[Customer Gender]]="F","Female", IF(orders[[#This Row],[Customer Gender]]= "O", "Other","Unknown")))</f>
        <v>Male</v>
      </c>
    </row>
    <row r="849" spans="1:16"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s="12" t="str">
        <f>TEXT(orders[[#This Row],[Order Date]],"mmmm")</f>
        <v>February</v>
      </c>
      <c r="P849" t="str">
        <f>IF(orders[[#This Row],[Customer Gender]]="M","Male", IF(orders[[#This Row],[Customer Gender]]="F","Female", IF(orders[[#This Row],[Customer Gender]]= "O", "Other","Unknown")))</f>
        <v>Female</v>
      </c>
    </row>
    <row r="850" spans="1:16"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s="12" t="str">
        <f>TEXT(orders[[#This Row],[Order Date]],"mmmm")</f>
        <v>February</v>
      </c>
      <c r="P850" t="str">
        <f>IF(orders[[#This Row],[Customer Gender]]="M","Male", IF(orders[[#This Row],[Customer Gender]]="F","Female", IF(orders[[#This Row],[Customer Gender]]= "O", "Other","Unknown")))</f>
        <v>Male</v>
      </c>
    </row>
    <row r="851" spans="1:16"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s="12" t="str">
        <f>TEXT(orders[[#This Row],[Order Date]],"mmmm")</f>
        <v>February</v>
      </c>
      <c r="P851" t="str">
        <f>IF(orders[[#This Row],[Customer Gender]]="M","Male", IF(orders[[#This Row],[Customer Gender]]="F","Female", IF(orders[[#This Row],[Customer Gender]]= "O", "Other","Unknown")))</f>
        <v>Female</v>
      </c>
    </row>
    <row r="852" spans="1:16"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s="12" t="str">
        <f>TEXT(orders[[#This Row],[Order Date]],"mmmm")</f>
        <v>February</v>
      </c>
      <c r="P852" t="str">
        <f>IF(orders[[#This Row],[Customer Gender]]="M","Male", IF(orders[[#This Row],[Customer Gender]]="F","Female", IF(orders[[#This Row],[Customer Gender]]= "O", "Other","Unknown")))</f>
        <v>Male</v>
      </c>
    </row>
    <row r="853" spans="1:16"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s="12" t="str">
        <f>TEXT(orders[[#This Row],[Order Date]],"mmmm")</f>
        <v>February</v>
      </c>
      <c r="P853" t="str">
        <f>IF(orders[[#This Row],[Customer Gender]]="M","Male", IF(orders[[#This Row],[Customer Gender]]="F","Female", IF(orders[[#This Row],[Customer Gender]]= "O", "Other","Unknown")))</f>
        <v>Female</v>
      </c>
    </row>
    <row r="854" spans="1:16"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s="12" t="str">
        <f>TEXT(orders[[#This Row],[Order Date]],"mmmm")</f>
        <v>February</v>
      </c>
      <c r="P854" t="str">
        <f>IF(orders[[#This Row],[Customer Gender]]="M","Male", IF(orders[[#This Row],[Customer Gender]]="F","Female", IF(orders[[#This Row],[Customer Gender]]= "O", "Other","Unknown")))</f>
        <v>Male</v>
      </c>
    </row>
    <row r="855" spans="1:16"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s="12" t="str">
        <f>TEXT(orders[[#This Row],[Order Date]],"mmmm")</f>
        <v>February</v>
      </c>
      <c r="P855" t="str">
        <f>IF(orders[[#This Row],[Customer Gender]]="M","Male", IF(orders[[#This Row],[Customer Gender]]="F","Female", IF(orders[[#This Row],[Customer Gender]]= "O", "Other","Unknown")))</f>
        <v>Female</v>
      </c>
    </row>
    <row r="856" spans="1:16"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s="12" t="str">
        <f>TEXT(orders[[#This Row],[Order Date]],"mmmm")</f>
        <v>February</v>
      </c>
      <c r="P856" t="str">
        <f>IF(orders[[#This Row],[Customer Gender]]="M","Male", IF(orders[[#This Row],[Customer Gender]]="F","Female", IF(orders[[#This Row],[Customer Gender]]= "O", "Other","Unknown")))</f>
        <v>Male</v>
      </c>
    </row>
    <row r="857" spans="1:16" hidden="1"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s="12" t="str">
        <f>TEXT(orders[[#This Row],[Order Date]],"mmmm")</f>
        <v>February</v>
      </c>
      <c r="P857" t="str">
        <f>IF(orders[[#This Row],[Customer Gender]]="M","Male", IF(orders[[#This Row],[Customer Gender]]="F","Female", IF(orders[[#This Row],[Customer Gender]]= "O", "Other","Unknown")))</f>
        <v>Unknown</v>
      </c>
    </row>
    <row r="858" spans="1:16"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s="12" t="str">
        <f>TEXT(orders[[#This Row],[Order Date]],"mmmm")</f>
        <v>February</v>
      </c>
      <c r="P858" t="str">
        <f>IF(orders[[#This Row],[Customer Gender]]="M","Male", IF(orders[[#This Row],[Customer Gender]]="F","Female", IF(orders[[#This Row],[Customer Gender]]= "O", "Other","Unknown")))</f>
        <v>Female</v>
      </c>
    </row>
    <row r="859" spans="1:16"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s="12" t="str">
        <f>TEXT(orders[[#This Row],[Order Date]],"mmmm")</f>
        <v>February</v>
      </c>
      <c r="P859" t="str">
        <f>IF(orders[[#This Row],[Customer Gender]]="M","Male", IF(orders[[#This Row],[Customer Gender]]="F","Female", IF(orders[[#This Row],[Customer Gender]]= "O", "Other","Unknown")))</f>
        <v>Female</v>
      </c>
    </row>
    <row r="860" spans="1:16"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s="12" t="str">
        <f>TEXT(orders[[#This Row],[Order Date]],"mmmm")</f>
        <v>February</v>
      </c>
      <c r="P860" t="str">
        <f>IF(orders[[#This Row],[Customer Gender]]="M","Male", IF(orders[[#This Row],[Customer Gender]]="F","Female", IF(orders[[#This Row],[Customer Gender]]= "O", "Other","Unknown")))</f>
        <v>Male</v>
      </c>
    </row>
    <row r="861" spans="1:16"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s="12" t="str">
        <f>TEXT(orders[[#This Row],[Order Date]],"mmmm")</f>
        <v>February</v>
      </c>
      <c r="P861" t="str">
        <f>IF(orders[[#This Row],[Customer Gender]]="M","Male", IF(orders[[#This Row],[Customer Gender]]="F","Female", IF(orders[[#This Row],[Customer Gender]]= "O", "Other","Unknown")))</f>
        <v>Female</v>
      </c>
    </row>
    <row r="862" spans="1:16" hidden="1"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s="12" t="str">
        <f>TEXT(orders[[#This Row],[Order Date]],"mmmm")</f>
        <v>February</v>
      </c>
      <c r="P862" t="str">
        <f>IF(orders[[#This Row],[Customer Gender]]="M","Male", IF(orders[[#This Row],[Customer Gender]]="F","Female", IF(orders[[#This Row],[Customer Gender]]= "O", "Other","Unknown")))</f>
        <v>Unknown</v>
      </c>
    </row>
    <row r="863" spans="1:16"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s="12" t="str">
        <f>TEXT(orders[[#This Row],[Order Date]],"mmmm")</f>
        <v>February</v>
      </c>
      <c r="P863" t="str">
        <f>IF(orders[[#This Row],[Customer Gender]]="M","Male", IF(orders[[#This Row],[Customer Gender]]="F","Female", IF(orders[[#This Row],[Customer Gender]]= "O", "Other","Unknown")))</f>
        <v>Male</v>
      </c>
    </row>
    <row r="864" spans="1:16"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s="12" t="str">
        <f>TEXT(orders[[#This Row],[Order Date]],"mmmm")</f>
        <v>February</v>
      </c>
      <c r="P864" t="str">
        <f>IF(orders[[#This Row],[Customer Gender]]="M","Male", IF(orders[[#This Row],[Customer Gender]]="F","Female", IF(orders[[#This Row],[Customer Gender]]= "O", "Other","Unknown")))</f>
        <v>Male</v>
      </c>
    </row>
    <row r="865" spans="1:16"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s="12" t="str">
        <f>TEXT(orders[[#This Row],[Order Date]],"mmmm")</f>
        <v>February</v>
      </c>
      <c r="P865" t="str">
        <f>IF(orders[[#This Row],[Customer Gender]]="M","Male", IF(orders[[#This Row],[Customer Gender]]="F","Female", IF(orders[[#This Row],[Customer Gender]]= "O", "Other","Unknown")))</f>
        <v>Female</v>
      </c>
    </row>
    <row r="866" spans="1:16"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s="12" t="str">
        <f>TEXT(orders[[#This Row],[Order Date]],"mmmm")</f>
        <v>February</v>
      </c>
      <c r="P866" t="str">
        <f>IF(orders[[#This Row],[Customer Gender]]="M","Male", IF(orders[[#This Row],[Customer Gender]]="F","Female", IF(orders[[#This Row],[Customer Gender]]= "O", "Other","Unknown")))</f>
        <v>Female</v>
      </c>
    </row>
    <row r="867" spans="1:16"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s="12" t="str">
        <f>TEXT(orders[[#This Row],[Order Date]],"mmmm")</f>
        <v>February</v>
      </c>
      <c r="P867" t="str">
        <f>IF(orders[[#This Row],[Customer Gender]]="M","Male", IF(orders[[#This Row],[Customer Gender]]="F","Female", IF(orders[[#This Row],[Customer Gender]]= "O", "Other","Unknown")))</f>
        <v>Female</v>
      </c>
    </row>
    <row r="868" spans="1:16"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s="12" t="str">
        <f>TEXT(orders[[#This Row],[Order Date]],"mmmm")</f>
        <v>February</v>
      </c>
      <c r="P868" t="str">
        <f>IF(orders[[#This Row],[Customer Gender]]="M","Male", IF(orders[[#This Row],[Customer Gender]]="F","Female", IF(orders[[#This Row],[Customer Gender]]= "O", "Other","Unknown")))</f>
        <v>Male</v>
      </c>
    </row>
    <row r="869" spans="1:16"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s="12" t="str">
        <f>TEXT(orders[[#This Row],[Order Date]],"mmmm")</f>
        <v>February</v>
      </c>
      <c r="P869" t="str">
        <f>IF(orders[[#This Row],[Customer Gender]]="M","Male", IF(orders[[#This Row],[Customer Gender]]="F","Female", IF(orders[[#This Row],[Customer Gender]]= "O", "Other","Unknown")))</f>
        <v>Female</v>
      </c>
    </row>
    <row r="870" spans="1:16"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s="12" t="str">
        <f>TEXT(orders[[#This Row],[Order Date]],"mmmm")</f>
        <v>February</v>
      </c>
      <c r="P870" t="str">
        <f>IF(orders[[#This Row],[Customer Gender]]="M","Male", IF(orders[[#This Row],[Customer Gender]]="F","Female", IF(orders[[#This Row],[Customer Gender]]= "O", "Other","Unknown")))</f>
        <v>Male</v>
      </c>
    </row>
    <row r="871" spans="1:16"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s="12" t="str">
        <f>TEXT(orders[[#This Row],[Order Date]],"mmmm")</f>
        <v>February</v>
      </c>
      <c r="P871" t="str">
        <f>IF(orders[[#This Row],[Customer Gender]]="M","Male", IF(orders[[#This Row],[Customer Gender]]="F","Female", IF(orders[[#This Row],[Customer Gender]]= "O", "Other","Unknown")))</f>
        <v>Female</v>
      </c>
    </row>
    <row r="872" spans="1:16"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s="12" t="str">
        <f>TEXT(orders[[#This Row],[Order Date]],"mmmm")</f>
        <v>February</v>
      </c>
      <c r="P872" t="str">
        <f>IF(orders[[#This Row],[Customer Gender]]="M","Male", IF(orders[[#This Row],[Customer Gender]]="F","Female", IF(orders[[#This Row],[Customer Gender]]= "O", "Other","Unknown")))</f>
        <v>Male</v>
      </c>
    </row>
    <row r="873" spans="1:16"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s="12" t="str">
        <f>TEXT(orders[[#This Row],[Order Date]],"mmmm")</f>
        <v>February</v>
      </c>
      <c r="P873" t="str">
        <f>IF(orders[[#This Row],[Customer Gender]]="M","Male", IF(orders[[#This Row],[Customer Gender]]="F","Female", IF(orders[[#This Row],[Customer Gender]]= "O", "Other","Unknown")))</f>
        <v>Female</v>
      </c>
    </row>
    <row r="874" spans="1:16"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s="12" t="str">
        <f>TEXT(orders[[#This Row],[Order Date]],"mmmm")</f>
        <v>February</v>
      </c>
      <c r="P874" t="str">
        <f>IF(orders[[#This Row],[Customer Gender]]="M","Male", IF(orders[[#This Row],[Customer Gender]]="F","Female", IF(orders[[#This Row],[Customer Gender]]= "O", "Other","Unknown")))</f>
        <v>Female</v>
      </c>
    </row>
    <row r="875" spans="1:16"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s="12" t="str">
        <f>TEXT(orders[[#This Row],[Order Date]],"mmmm")</f>
        <v>February</v>
      </c>
      <c r="P875" t="str">
        <f>IF(orders[[#This Row],[Customer Gender]]="M","Male", IF(orders[[#This Row],[Customer Gender]]="F","Female", IF(orders[[#This Row],[Customer Gender]]= "O", "Other","Unknown")))</f>
        <v>Female</v>
      </c>
    </row>
    <row r="876" spans="1:16"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s="12" t="str">
        <f>TEXT(orders[[#This Row],[Order Date]],"mmmm")</f>
        <v>February</v>
      </c>
      <c r="P876" t="str">
        <f>IF(orders[[#This Row],[Customer Gender]]="M","Male", IF(orders[[#This Row],[Customer Gender]]="F","Female", IF(orders[[#This Row],[Customer Gender]]= "O", "Other","Unknown")))</f>
        <v>Female</v>
      </c>
    </row>
    <row r="877" spans="1:16"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s="12" t="str">
        <f>TEXT(orders[[#This Row],[Order Date]],"mmmm")</f>
        <v>February</v>
      </c>
      <c r="P877" t="str">
        <f>IF(orders[[#This Row],[Customer Gender]]="M","Male", IF(orders[[#This Row],[Customer Gender]]="F","Female", IF(orders[[#This Row],[Customer Gender]]= "O", "Other","Unknown")))</f>
        <v>Female</v>
      </c>
    </row>
    <row r="878" spans="1:16"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s="12" t="str">
        <f>TEXT(orders[[#This Row],[Order Date]],"mmmm")</f>
        <v>February</v>
      </c>
      <c r="P878" t="str">
        <f>IF(orders[[#This Row],[Customer Gender]]="M","Male", IF(orders[[#This Row],[Customer Gender]]="F","Female", IF(orders[[#This Row],[Customer Gender]]= "O", "Other","Unknown")))</f>
        <v>Male</v>
      </c>
    </row>
    <row r="879" spans="1:16"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s="12" t="str">
        <f>TEXT(orders[[#This Row],[Order Date]],"mmmm")</f>
        <v>February</v>
      </c>
      <c r="P879" t="str">
        <f>IF(orders[[#This Row],[Customer Gender]]="M","Male", IF(orders[[#This Row],[Customer Gender]]="F","Female", IF(orders[[#This Row],[Customer Gender]]= "O", "Other","Unknown")))</f>
        <v>Female</v>
      </c>
    </row>
    <row r="880" spans="1:16"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s="12" t="str">
        <f>TEXT(orders[[#This Row],[Order Date]],"mmmm")</f>
        <v>February</v>
      </c>
      <c r="P880" t="str">
        <f>IF(orders[[#This Row],[Customer Gender]]="M","Male", IF(orders[[#This Row],[Customer Gender]]="F","Female", IF(orders[[#This Row],[Customer Gender]]= "O", "Other","Unknown")))</f>
        <v>Male</v>
      </c>
    </row>
    <row r="881" spans="1:16"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s="12" t="str">
        <f>TEXT(orders[[#This Row],[Order Date]],"mmmm")</f>
        <v>February</v>
      </c>
      <c r="P881" t="str">
        <f>IF(orders[[#This Row],[Customer Gender]]="M","Male", IF(orders[[#This Row],[Customer Gender]]="F","Female", IF(orders[[#This Row],[Customer Gender]]= "O", "Other","Unknown")))</f>
        <v>Female</v>
      </c>
    </row>
    <row r="882" spans="1:16"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s="12" t="str">
        <f>TEXT(orders[[#This Row],[Order Date]],"mmmm")</f>
        <v>February</v>
      </c>
      <c r="P882" t="str">
        <f>IF(orders[[#This Row],[Customer Gender]]="M","Male", IF(orders[[#This Row],[Customer Gender]]="F","Female", IF(orders[[#This Row],[Customer Gender]]= "O", "Other","Unknown")))</f>
        <v>Female</v>
      </c>
    </row>
    <row r="883" spans="1:16"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s="12" t="str">
        <f>TEXT(orders[[#This Row],[Order Date]],"mmmm")</f>
        <v>February</v>
      </c>
      <c r="P883" t="str">
        <f>IF(orders[[#This Row],[Customer Gender]]="M","Male", IF(orders[[#This Row],[Customer Gender]]="F","Female", IF(orders[[#This Row],[Customer Gender]]= "O", "Other","Unknown")))</f>
        <v>Female</v>
      </c>
    </row>
    <row r="884" spans="1:16"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s="12" t="str">
        <f>TEXT(orders[[#This Row],[Order Date]],"mmmm")</f>
        <v>February</v>
      </c>
      <c r="P884" t="str">
        <f>IF(orders[[#This Row],[Customer Gender]]="M","Male", IF(orders[[#This Row],[Customer Gender]]="F","Female", IF(orders[[#This Row],[Customer Gender]]= "O", "Other","Unknown")))</f>
        <v>Female</v>
      </c>
    </row>
    <row r="885" spans="1:16"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s="12" t="str">
        <f>TEXT(orders[[#This Row],[Order Date]],"mmmm")</f>
        <v>February</v>
      </c>
      <c r="P885" t="str">
        <f>IF(orders[[#This Row],[Customer Gender]]="M","Male", IF(orders[[#This Row],[Customer Gender]]="F","Female", IF(orders[[#This Row],[Customer Gender]]= "O", "Other","Unknown")))</f>
        <v>Male</v>
      </c>
    </row>
    <row r="886" spans="1:16"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s="12" t="str">
        <f>TEXT(orders[[#This Row],[Order Date]],"mmmm")</f>
        <v>February</v>
      </c>
      <c r="P886" t="str">
        <f>IF(orders[[#This Row],[Customer Gender]]="M","Male", IF(orders[[#This Row],[Customer Gender]]="F","Female", IF(orders[[#This Row],[Customer Gender]]= "O", "Other","Unknown")))</f>
        <v>Female</v>
      </c>
    </row>
    <row r="887" spans="1:16"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s="12" t="str">
        <f>TEXT(orders[[#This Row],[Order Date]],"mmmm")</f>
        <v>February</v>
      </c>
      <c r="P887" t="str">
        <f>IF(orders[[#This Row],[Customer Gender]]="M","Male", IF(orders[[#This Row],[Customer Gender]]="F","Female", IF(orders[[#This Row],[Customer Gender]]= "O", "Other","Unknown")))</f>
        <v>Male</v>
      </c>
    </row>
    <row r="888" spans="1:16"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s="12" t="str">
        <f>TEXT(orders[[#This Row],[Order Date]],"mmmm")</f>
        <v>February</v>
      </c>
      <c r="P888" t="str">
        <f>IF(orders[[#This Row],[Customer Gender]]="M","Male", IF(orders[[#This Row],[Customer Gender]]="F","Female", IF(orders[[#This Row],[Customer Gender]]= "O", "Other","Unknown")))</f>
        <v>Male</v>
      </c>
    </row>
    <row r="889" spans="1:16"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s="12" t="str">
        <f>TEXT(orders[[#This Row],[Order Date]],"mmmm")</f>
        <v>February</v>
      </c>
      <c r="P889" t="str">
        <f>IF(orders[[#This Row],[Customer Gender]]="M","Male", IF(orders[[#This Row],[Customer Gender]]="F","Female", IF(orders[[#This Row],[Customer Gender]]= "O", "Other","Unknown")))</f>
        <v>Female</v>
      </c>
    </row>
    <row r="890" spans="1:16"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s="12" t="str">
        <f>TEXT(orders[[#This Row],[Order Date]],"mmmm")</f>
        <v>February</v>
      </c>
      <c r="P890" t="str">
        <f>IF(orders[[#This Row],[Customer Gender]]="M","Male", IF(orders[[#This Row],[Customer Gender]]="F","Female", IF(orders[[#This Row],[Customer Gender]]= "O", "Other","Unknown")))</f>
        <v>Female</v>
      </c>
    </row>
    <row r="891" spans="1:16"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s="12" t="str">
        <f>TEXT(orders[[#This Row],[Order Date]],"mmmm")</f>
        <v>February</v>
      </c>
      <c r="P891" t="str">
        <f>IF(orders[[#This Row],[Customer Gender]]="M","Male", IF(orders[[#This Row],[Customer Gender]]="F","Female", IF(orders[[#This Row],[Customer Gender]]= "O", "Other","Unknown")))</f>
        <v>Female</v>
      </c>
    </row>
    <row r="892" spans="1:16"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s="12" t="str">
        <f>TEXT(orders[[#This Row],[Order Date]],"mmmm")</f>
        <v>February</v>
      </c>
      <c r="P892" t="str">
        <f>IF(orders[[#This Row],[Customer Gender]]="M","Male", IF(orders[[#This Row],[Customer Gender]]="F","Female", IF(orders[[#This Row],[Customer Gender]]= "O", "Other","Unknown")))</f>
        <v>Female</v>
      </c>
    </row>
    <row r="893" spans="1:16"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s="12" t="str">
        <f>TEXT(orders[[#This Row],[Order Date]],"mmmm")</f>
        <v>February</v>
      </c>
      <c r="P893" t="str">
        <f>IF(orders[[#This Row],[Customer Gender]]="M","Male", IF(orders[[#This Row],[Customer Gender]]="F","Female", IF(orders[[#This Row],[Customer Gender]]= "O", "Other","Unknown")))</f>
        <v>Male</v>
      </c>
    </row>
    <row r="894" spans="1:16"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s="12" t="str">
        <f>TEXT(orders[[#This Row],[Order Date]],"mmmm")</f>
        <v>February</v>
      </c>
      <c r="P894" t="str">
        <f>IF(orders[[#This Row],[Customer Gender]]="M","Male", IF(orders[[#This Row],[Customer Gender]]="F","Female", IF(orders[[#This Row],[Customer Gender]]= "O", "Other","Unknown")))</f>
        <v>Male</v>
      </c>
    </row>
    <row r="895" spans="1:16"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s="12" t="str">
        <f>TEXT(orders[[#This Row],[Order Date]],"mmmm")</f>
        <v>February</v>
      </c>
      <c r="P895" t="str">
        <f>IF(orders[[#This Row],[Customer Gender]]="M","Male", IF(orders[[#This Row],[Customer Gender]]="F","Female", IF(orders[[#This Row],[Customer Gender]]= "O", "Other","Unknown")))</f>
        <v>Female</v>
      </c>
    </row>
    <row r="896" spans="1:16"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s="12" t="str">
        <f>TEXT(orders[[#This Row],[Order Date]],"mmmm")</f>
        <v>February</v>
      </c>
      <c r="P896" t="str">
        <f>IF(orders[[#This Row],[Customer Gender]]="M","Male", IF(orders[[#This Row],[Customer Gender]]="F","Female", IF(orders[[#This Row],[Customer Gender]]= "O", "Other","Unknown")))</f>
        <v>Female</v>
      </c>
    </row>
    <row r="897" spans="1:16"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s="12" t="str">
        <f>TEXT(orders[[#This Row],[Order Date]],"mmmm")</f>
        <v>February</v>
      </c>
      <c r="P897" t="str">
        <f>IF(orders[[#This Row],[Customer Gender]]="M","Male", IF(orders[[#This Row],[Customer Gender]]="F","Female", IF(orders[[#This Row],[Customer Gender]]= "O", "Other","Unknown")))</f>
        <v>Female</v>
      </c>
    </row>
    <row r="898" spans="1:16"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s="12" t="str">
        <f>TEXT(orders[[#This Row],[Order Date]],"mmmm")</f>
        <v>February</v>
      </c>
      <c r="P898" t="str">
        <f>IF(orders[[#This Row],[Customer Gender]]="M","Male", IF(orders[[#This Row],[Customer Gender]]="F","Female", IF(orders[[#This Row],[Customer Gender]]= "O", "Other","Unknown")))</f>
        <v>Female</v>
      </c>
    </row>
    <row r="899" spans="1:16"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s="12" t="str">
        <f>TEXT(orders[[#This Row],[Order Date]],"mmmm")</f>
        <v>February</v>
      </c>
      <c r="P899" t="str">
        <f>IF(orders[[#This Row],[Customer Gender]]="M","Male", IF(orders[[#This Row],[Customer Gender]]="F","Female", IF(orders[[#This Row],[Customer Gender]]= "O", "Other","Unknown")))</f>
        <v>Female</v>
      </c>
    </row>
    <row r="900" spans="1:16"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s="12" t="str">
        <f>TEXT(orders[[#This Row],[Order Date]],"mmmm")</f>
        <v>February</v>
      </c>
      <c r="P900" t="str">
        <f>IF(orders[[#This Row],[Customer Gender]]="M","Male", IF(orders[[#This Row],[Customer Gender]]="F","Female", IF(orders[[#This Row],[Customer Gender]]= "O", "Other","Unknown")))</f>
        <v>Female</v>
      </c>
    </row>
    <row r="901" spans="1:16" hidden="1"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s="12" t="str">
        <f>TEXT(orders[[#This Row],[Order Date]],"mmmm")</f>
        <v>February</v>
      </c>
      <c r="P901" t="str">
        <f>IF(orders[[#This Row],[Customer Gender]]="M","Male", IF(orders[[#This Row],[Customer Gender]]="F","Female", IF(orders[[#This Row],[Customer Gender]]= "O", "Other","Unknown")))</f>
        <v>Unknown</v>
      </c>
    </row>
    <row r="902" spans="1:16"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s="12" t="str">
        <f>TEXT(orders[[#This Row],[Order Date]],"mmmm")</f>
        <v>February</v>
      </c>
      <c r="P902" t="str">
        <f>IF(orders[[#This Row],[Customer Gender]]="M","Male", IF(orders[[#This Row],[Customer Gender]]="F","Female", IF(orders[[#This Row],[Customer Gender]]= "O", "Other","Unknown")))</f>
        <v>Female</v>
      </c>
    </row>
    <row r="903" spans="1:16"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s="12" t="str">
        <f>TEXT(orders[[#This Row],[Order Date]],"mmmm")</f>
        <v>February</v>
      </c>
      <c r="P903" t="str">
        <f>IF(orders[[#This Row],[Customer Gender]]="M","Male", IF(orders[[#This Row],[Customer Gender]]="F","Female", IF(orders[[#This Row],[Customer Gender]]= "O", "Other","Unknown")))</f>
        <v>Female</v>
      </c>
    </row>
    <row r="904" spans="1:16"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s="12" t="str">
        <f>TEXT(orders[[#This Row],[Order Date]],"mmmm")</f>
        <v>February</v>
      </c>
      <c r="P904" t="str">
        <f>IF(orders[[#This Row],[Customer Gender]]="M","Male", IF(orders[[#This Row],[Customer Gender]]="F","Female", IF(orders[[#This Row],[Customer Gender]]= "O", "Other","Unknown")))</f>
        <v>Male</v>
      </c>
    </row>
    <row r="905" spans="1:16"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s="12" t="str">
        <f>TEXT(orders[[#This Row],[Order Date]],"mmmm")</f>
        <v>February</v>
      </c>
      <c r="P905" t="str">
        <f>IF(orders[[#This Row],[Customer Gender]]="M","Male", IF(orders[[#This Row],[Customer Gender]]="F","Female", IF(orders[[#This Row],[Customer Gender]]= "O", "Other","Unknown")))</f>
        <v>Female</v>
      </c>
    </row>
    <row r="906" spans="1:16"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s="12" t="str">
        <f>TEXT(orders[[#This Row],[Order Date]],"mmmm")</f>
        <v>February</v>
      </c>
      <c r="P906" t="str">
        <f>IF(orders[[#This Row],[Customer Gender]]="M","Male", IF(orders[[#This Row],[Customer Gender]]="F","Female", IF(orders[[#This Row],[Customer Gender]]= "O", "Other","Unknown")))</f>
        <v>Other</v>
      </c>
    </row>
    <row r="907" spans="1:16" hidden="1"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s="12" t="str">
        <f>TEXT(orders[[#This Row],[Order Date]],"mmmm")</f>
        <v>February</v>
      </c>
      <c r="P907" t="str">
        <f>IF(orders[[#This Row],[Customer Gender]]="M","Male", IF(orders[[#This Row],[Customer Gender]]="F","Female", IF(orders[[#This Row],[Customer Gender]]= "O", "Other","Unknown")))</f>
        <v>Unknown</v>
      </c>
    </row>
    <row r="908" spans="1:16"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s="12" t="str">
        <f>TEXT(orders[[#This Row],[Order Date]],"mmmm")</f>
        <v>February</v>
      </c>
      <c r="P908" t="str">
        <f>IF(orders[[#This Row],[Customer Gender]]="M","Male", IF(orders[[#This Row],[Customer Gender]]="F","Female", IF(orders[[#This Row],[Customer Gender]]= "O", "Other","Unknown")))</f>
        <v>Female</v>
      </c>
    </row>
    <row r="909" spans="1:16"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s="12" t="str">
        <f>TEXT(orders[[#This Row],[Order Date]],"mmmm")</f>
        <v>February</v>
      </c>
      <c r="P909" t="str">
        <f>IF(orders[[#This Row],[Customer Gender]]="M","Male", IF(orders[[#This Row],[Customer Gender]]="F","Female", IF(orders[[#This Row],[Customer Gender]]= "O", "Other","Unknown")))</f>
        <v>Male</v>
      </c>
    </row>
    <row r="910" spans="1:16"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s="12" t="str">
        <f>TEXT(orders[[#This Row],[Order Date]],"mmmm")</f>
        <v>February</v>
      </c>
      <c r="P910" t="str">
        <f>IF(orders[[#This Row],[Customer Gender]]="M","Male", IF(orders[[#This Row],[Customer Gender]]="F","Female", IF(orders[[#This Row],[Customer Gender]]= "O", "Other","Unknown")))</f>
        <v>Male</v>
      </c>
    </row>
    <row r="911" spans="1:16" hidden="1"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s="12" t="str">
        <f>TEXT(orders[[#This Row],[Order Date]],"mmmm")</f>
        <v>February</v>
      </c>
      <c r="P911" t="str">
        <f>IF(orders[[#This Row],[Customer Gender]]="M","Male", IF(orders[[#This Row],[Customer Gender]]="F","Female", IF(orders[[#This Row],[Customer Gender]]= "O", "Other","Unknown")))</f>
        <v>Unknown</v>
      </c>
    </row>
    <row r="912" spans="1:16"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s="12" t="str">
        <f>TEXT(orders[[#This Row],[Order Date]],"mmmm")</f>
        <v>February</v>
      </c>
      <c r="P912" t="str">
        <f>IF(orders[[#This Row],[Customer Gender]]="M","Male", IF(orders[[#This Row],[Customer Gender]]="F","Female", IF(orders[[#This Row],[Customer Gender]]= "O", "Other","Unknown")))</f>
        <v>Male</v>
      </c>
    </row>
    <row r="913" spans="1:16"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s="12" t="str">
        <f>TEXT(orders[[#This Row],[Order Date]],"mmmm")</f>
        <v>February</v>
      </c>
      <c r="P913" t="str">
        <f>IF(orders[[#This Row],[Customer Gender]]="M","Male", IF(orders[[#This Row],[Customer Gender]]="F","Female", IF(orders[[#This Row],[Customer Gender]]= "O", "Other","Unknown")))</f>
        <v>Male</v>
      </c>
    </row>
    <row r="914" spans="1:16"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s="12" t="str">
        <f>TEXT(orders[[#This Row],[Order Date]],"mmmm")</f>
        <v>February</v>
      </c>
      <c r="P914" t="str">
        <f>IF(orders[[#This Row],[Customer Gender]]="M","Male", IF(orders[[#This Row],[Customer Gender]]="F","Female", IF(orders[[#This Row],[Customer Gender]]= "O", "Other","Unknown")))</f>
        <v>Male</v>
      </c>
    </row>
    <row r="915" spans="1:16" hidden="1"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s="12" t="str">
        <f>TEXT(orders[[#This Row],[Order Date]],"mmmm")</f>
        <v>February</v>
      </c>
      <c r="P915" t="str">
        <f>IF(orders[[#This Row],[Customer Gender]]="M","Male", IF(orders[[#This Row],[Customer Gender]]="F","Female", IF(orders[[#This Row],[Customer Gender]]= "O", "Other","Unknown")))</f>
        <v>Unknown</v>
      </c>
    </row>
    <row r="916" spans="1:16"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s="12" t="str">
        <f>TEXT(orders[[#This Row],[Order Date]],"mmmm")</f>
        <v>February</v>
      </c>
      <c r="P916" t="str">
        <f>IF(orders[[#This Row],[Customer Gender]]="M","Male", IF(orders[[#This Row],[Customer Gender]]="F","Female", IF(orders[[#This Row],[Customer Gender]]= "O", "Other","Unknown")))</f>
        <v>Female</v>
      </c>
    </row>
    <row r="917" spans="1:16"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s="12" t="str">
        <f>TEXT(orders[[#This Row],[Order Date]],"mmmm")</f>
        <v>February</v>
      </c>
      <c r="P917" t="str">
        <f>IF(orders[[#This Row],[Customer Gender]]="M","Male", IF(orders[[#This Row],[Customer Gender]]="F","Female", IF(orders[[#This Row],[Customer Gender]]= "O", "Other","Unknown")))</f>
        <v>Female</v>
      </c>
    </row>
    <row r="918" spans="1:16"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s="12" t="str">
        <f>TEXT(orders[[#This Row],[Order Date]],"mmmm")</f>
        <v>February</v>
      </c>
      <c r="P918" t="str">
        <f>IF(orders[[#This Row],[Customer Gender]]="M","Male", IF(orders[[#This Row],[Customer Gender]]="F","Female", IF(orders[[#This Row],[Customer Gender]]= "O", "Other","Unknown")))</f>
        <v>Male</v>
      </c>
    </row>
    <row r="919" spans="1:16"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s="12" t="str">
        <f>TEXT(orders[[#This Row],[Order Date]],"mmmm")</f>
        <v>February</v>
      </c>
      <c r="P919" t="str">
        <f>IF(orders[[#This Row],[Customer Gender]]="M","Male", IF(orders[[#This Row],[Customer Gender]]="F","Female", IF(orders[[#This Row],[Customer Gender]]= "O", "Other","Unknown")))</f>
        <v>Female</v>
      </c>
    </row>
    <row r="920" spans="1:16"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s="12" t="str">
        <f>TEXT(orders[[#This Row],[Order Date]],"mmmm")</f>
        <v>February</v>
      </c>
      <c r="P920" t="str">
        <f>IF(orders[[#This Row],[Customer Gender]]="M","Male", IF(orders[[#This Row],[Customer Gender]]="F","Female", IF(orders[[#This Row],[Customer Gender]]= "O", "Other","Unknown")))</f>
        <v>Male</v>
      </c>
    </row>
    <row r="921" spans="1:16"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s="12" t="str">
        <f>TEXT(orders[[#This Row],[Order Date]],"mmmm")</f>
        <v>February</v>
      </c>
      <c r="P921" t="str">
        <f>IF(orders[[#This Row],[Customer Gender]]="M","Male", IF(orders[[#This Row],[Customer Gender]]="F","Female", IF(orders[[#This Row],[Customer Gender]]= "O", "Other","Unknown")))</f>
        <v>Female</v>
      </c>
    </row>
    <row r="922" spans="1:16" hidden="1"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s="12" t="str">
        <f>TEXT(orders[[#This Row],[Order Date]],"mmmm")</f>
        <v>February</v>
      </c>
      <c r="P922" t="str">
        <f>IF(orders[[#This Row],[Customer Gender]]="M","Male", IF(orders[[#This Row],[Customer Gender]]="F","Female", IF(orders[[#This Row],[Customer Gender]]= "O", "Other","Unknown")))</f>
        <v>Unknown</v>
      </c>
    </row>
    <row r="923" spans="1:16"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s="12" t="str">
        <f>TEXT(orders[[#This Row],[Order Date]],"mmmm")</f>
        <v>February</v>
      </c>
      <c r="P923" t="str">
        <f>IF(orders[[#This Row],[Customer Gender]]="M","Male", IF(orders[[#This Row],[Customer Gender]]="F","Female", IF(orders[[#This Row],[Customer Gender]]= "O", "Other","Unknown")))</f>
        <v>Other</v>
      </c>
    </row>
    <row r="924" spans="1:16"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s="12" t="str">
        <f>TEXT(orders[[#This Row],[Order Date]],"mmmm")</f>
        <v>February</v>
      </c>
      <c r="P924" t="str">
        <f>IF(orders[[#This Row],[Customer Gender]]="M","Male", IF(orders[[#This Row],[Customer Gender]]="F","Female", IF(orders[[#This Row],[Customer Gender]]= "O", "Other","Unknown")))</f>
        <v>Female</v>
      </c>
    </row>
    <row r="925" spans="1:16"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s="12" t="str">
        <f>TEXT(orders[[#This Row],[Order Date]],"mmmm")</f>
        <v>February</v>
      </c>
      <c r="P925" t="str">
        <f>IF(orders[[#This Row],[Customer Gender]]="M","Male", IF(orders[[#This Row],[Customer Gender]]="F","Female", IF(orders[[#This Row],[Customer Gender]]= "O", "Other","Unknown")))</f>
        <v>Female</v>
      </c>
    </row>
    <row r="926" spans="1:16"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s="12" t="str">
        <f>TEXT(orders[[#This Row],[Order Date]],"mmmm")</f>
        <v>February</v>
      </c>
      <c r="P926" t="str">
        <f>IF(orders[[#This Row],[Customer Gender]]="M","Male", IF(orders[[#This Row],[Customer Gender]]="F","Female", IF(orders[[#This Row],[Customer Gender]]= "O", "Other","Unknown")))</f>
        <v>Male</v>
      </c>
    </row>
    <row r="927" spans="1:16" hidden="1"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s="12" t="str">
        <f>TEXT(orders[[#This Row],[Order Date]],"mmmm")</f>
        <v>February</v>
      </c>
      <c r="P927" t="str">
        <f>IF(orders[[#This Row],[Customer Gender]]="M","Male", IF(orders[[#This Row],[Customer Gender]]="F","Female", IF(orders[[#This Row],[Customer Gender]]= "O", "Other","Unknown")))</f>
        <v>Unknown</v>
      </c>
    </row>
    <row r="928" spans="1:16"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s="12" t="str">
        <f>TEXT(orders[[#This Row],[Order Date]],"mmmm")</f>
        <v>February</v>
      </c>
      <c r="P928" t="str">
        <f>IF(orders[[#This Row],[Customer Gender]]="M","Male", IF(orders[[#This Row],[Customer Gender]]="F","Female", IF(orders[[#This Row],[Customer Gender]]= "O", "Other","Unknown")))</f>
        <v>Female</v>
      </c>
    </row>
    <row r="929" spans="1:16"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s="12" t="str">
        <f>TEXT(orders[[#This Row],[Order Date]],"mmmm")</f>
        <v>February</v>
      </c>
      <c r="P929" t="str">
        <f>IF(orders[[#This Row],[Customer Gender]]="M","Male", IF(orders[[#This Row],[Customer Gender]]="F","Female", IF(orders[[#This Row],[Customer Gender]]= "O", "Other","Unknown")))</f>
        <v>Female</v>
      </c>
    </row>
    <row r="930" spans="1:16"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s="12" t="str">
        <f>TEXT(orders[[#This Row],[Order Date]],"mmmm")</f>
        <v>February</v>
      </c>
      <c r="P930" t="str">
        <f>IF(orders[[#This Row],[Customer Gender]]="M","Male", IF(orders[[#This Row],[Customer Gender]]="F","Female", IF(orders[[#This Row],[Customer Gender]]= "O", "Other","Unknown")))</f>
        <v>Female</v>
      </c>
    </row>
    <row r="931" spans="1:16"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s="12" t="str">
        <f>TEXT(orders[[#This Row],[Order Date]],"mmmm")</f>
        <v>February</v>
      </c>
      <c r="P931" t="str">
        <f>IF(orders[[#This Row],[Customer Gender]]="M","Male", IF(orders[[#This Row],[Customer Gender]]="F","Female", IF(orders[[#This Row],[Customer Gender]]= "O", "Other","Unknown")))</f>
        <v>Female</v>
      </c>
    </row>
    <row r="932" spans="1:16"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s="12" t="str">
        <f>TEXT(orders[[#This Row],[Order Date]],"mmmm")</f>
        <v>February</v>
      </c>
      <c r="P932" t="str">
        <f>IF(orders[[#This Row],[Customer Gender]]="M","Male", IF(orders[[#This Row],[Customer Gender]]="F","Female", IF(orders[[#This Row],[Customer Gender]]= "O", "Other","Unknown")))</f>
        <v>Female</v>
      </c>
    </row>
    <row r="933" spans="1:16"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s="12" t="str">
        <f>TEXT(orders[[#This Row],[Order Date]],"mmmm")</f>
        <v>February</v>
      </c>
      <c r="P933" t="str">
        <f>IF(orders[[#This Row],[Customer Gender]]="M","Male", IF(orders[[#This Row],[Customer Gender]]="F","Female", IF(orders[[#This Row],[Customer Gender]]= "O", "Other","Unknown")))</f>
        <v>Male</v>
      </c>
    </row>
    <row r="934" spans="1:16"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s="12" t="str">
        <f>TEXT(orders[[#This Row],[Order Date]],"mmmm")</f>
        <v>February</v>
      </c>
      <c r="P934" t="str">
        <f>IF(orders[[#This Row],[Customer Gender]]="M","Male", IF(orders[[#This Row],[Customer Gender]]="F","Female", IF(orders[[#This Row],[Customer Gender]]= "O", "Other","Unknown")))</f>
        <v>Female</v>
      </c>
    </row>
    <row r="935" spans="1:16"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s="12" t="str">
        <f>TEXT(orders[[#This Row],[Order Date]],"mmmm")</f>
        <v>February</v>
      </c>
      <c r="P935" t="str">
        <f>IF(orders[[#This Row],[Customer Gender]]="M","Male", IF(orders[[#This Row],[Customer Gender]]="F","Female", IF(orders[[#This Row],[Customer Gender]]= "O", "Other","Unknown")))</f>
        <v>Female</v>
      </c>
    </row>
    <row r="936" spans="1:16"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s="12" t="str">
        <f>TEXT(orders[[#This Row],[Order Date]],"mmmm")</f>
        <v>February</v>
      </c>
      <c r="P936" t="str">
        <f>IF(orders[[#This Row],[Customer Gender]]="M","Male", IF(orders[[#This Row],[Customer Gender]]="F","Female", IF(orders[[#This Row],[Customer Gender]]= "O", "Other","Unknown")))</f>
        <v>Male</v>
      </c>
    </row>
    <row r="937" spans="1:16"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s="12" t="str">
        <f>TEXT(orders[[#This Row],[Order Date]],"mmmm")</f>
        <v>February</v>
      </c>
      <c r="P937" t="str">
        <f>IF(orders[[#This Row],[Customer Gender]]="M","Male", IF(orders[[#This Row],[Customer Gender]]="F","Female", IF(orders[[#This Row],[Customer Gender]]= "O", "Other","Unknown")))</f>
        <v>Female</v>
      </c>
    </row>
    <row r="938" spans="1:16"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s="12" t="str">
        <f>TEXT(orders[[#This Row],[Order Date]],"mmmm")</f>
        <v>February</v>
      </c>
      <c r="P938" t="str">
        <f>IF(orders[[#This Row],[Customer Gender]]="M","Male", IF(orders[[#This Row],[Customer Gender]]="F","Female", IF(orders[[#This Row],[Customer Gender]]= "O", "Other","Unknown")))</f>
        <v>Male</v>
      </c>
    </row>
    <row r="939" spans="1:16"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s="12" t="str">
        <f>TEXT(orders[[#This Row],[Order Date]],"mmmm")</f>
        <v>February</v>
      </c>
      <c r="P939" t="str">
        <f>IF(orders[[#This Row],[Customer Gender]]="M","Male", IF(orders[[#This Row],[Customer Gender]]="F","Female", IF(orders[[#This Row],[Customer Gender]]= "O", "Other","Unknown")))</f>
        <v>Male</v>
      </c>
    </row>
    <row r="940" spans="1:16"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s="12" t="str">
        <f>TEXT(orders[[#This Row],[Order Date]],"mmmm")</f>
        <v>February</v>
      </c>
      <c r="P940" t="str">
        <f>IF(orders[[#This Row],[Customer Gender]]="M","Male", IF(orders[[#This Row],[Customer Gender]]="F","Female", IF(orders[[#This Row],[Customer Gender]]= "O", "Other","Unknown")))</f>
        <v>Female</v>
      </c>
    </row>
    <row r="941" spans="1:16"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s="12" t="str">
        <f>TEXT(orders[[#This Row],[Order Date]],"mmmm")</f>
        <v>February</v>
      </c>
      <c r="P941" t="str">
        <f>IF(orders[[#This Row],[Customer Gender]]="M","Male", IF(orders[[#This Row],[Customer Gender]]="F","Female", IF(orders[[#This Row],[Customer Gender]]= "O", "Other","Unknown")))</f>
        <v>Female</v>
      </c>
    </row>
    <row r="942" spans="1:16"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s="12" t="str">
        <f>TEXT(orders[[#This Row],[Order Date]],"mmmm")</f>
        <v>February</v>
      </c>
      <c r="P942" t="str">
        <f>IF(orders[[#This Row],[Customer Gender]]="M","Male", IF(orders[[#This Row],[Customer Gender]]="F","Female", IF(orders[[#This Row],[Customer Gender]]= "O", "Other","Unknown")))</f>
        <v>Male</v>
      </c>
    </row>
    <row r="943" spans="1:16"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s="12" t="str">
        <f>TEXT(orders[[#This Row],[Order Date]],"mmmm")</f>
        <v>February</v>
      </c>
      <c r="P943" t="str">
        <f>IF(orders[[#This Row],[Customer Gender]]="M","Male", IF(orders[[#This Row],[Customer Gender]]="F","Female", IF(orders[[#This Row],[Customer Gender]]= "O", "Other","Unknown")))</f>
        <v>Male</v>
      </c>
    </row>
    <row r="944" spans="1:16" hidden="1"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s="12" t="str">
        <f>TEXT(orders[[#This Row],[Order Date]],"mmmm")</f>
        <v>February</v>
      </c>
      <c r="P944" t="str">
        <f>IF(orders[[#This Row],[Customer Gender]]="M","Male", IF(orders[[#This Row],[Customer Gender]]="F","Female", IF(orders[[#This Row],[Customer Gender]]= "O", "Other","Unknown")))</f>
        <v>Unknown</v>
      </c>
    </row>
    <row r="945" spans="1:16"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s="12" t="str">
        <f>TEXT(orders[[#This Row],[Order Date]],"mmmm")</f>
        <v>February</v>
      </c>
      <c r="P945" t="str">
        <f>IF(orders[[#This Row],[Customer Gender]]="M","Male", IF(orders[[#This Row],[Customer Gender]]="F","Female", IF(orders[[#This Row],[Customer Gender]]= "O", "Other","Unknown")))</f>
        <v>Male</v>
      </c>
    </row>
    <row r="946" spans="1:16"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s="12" t="str">
        <f>TEXT(orders[[#This Row],[Order Date]],"mmmm")</f>
        <v>February</v>
      </c>
      <c r="P946" t="str">
        <f>IF(orders[[#This Row],[Customer Gender]]="M","Male", IF(orders[[#This Row],[Customer Gender]]="F","Female", IF(orders[[#This Row],[Customer Gender]]= "O", "Other","Unknown")))</f>
        <v>Male</v>
      </c>
    </row>
    <row r="947" spans="1:16"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s="12" t="str">
        <f>TEXT(orders[[#This Row],[Order Date]],"mmmm")</f>
        <v>February</v>
      </c>
      <c r="P947" t="str">
        <f>IF(orders[[#This Row],[Customer Gender]]="M","Male", IF(orders[[#This Row],[Customer Gender]]="F","Female", IF(orders[[#This Row],[Customer Gender]]= "O", "Other","Unknown")))</f>
        <v>Female</v>
      </c>
    </row>
    <row r="948" spans="1:16"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s="12" t="str">
        <f>TEXT(orders[[#This Row],[Order Date]],"mmmm")</f>
        <v>February</v>
      </c>
      <c r="P948" t="str">
        <f>IF(orders[[#This Row],[Customer Gender]]="M","Male", IF(orders[[#This Row],[Customer Gender]]="F","Female", IF(orders[[#This Row],[Customer Gender]]= "O", "Other","Unknown")))</f>
        <v>Female</v>
      </c>
    </row>
    <row r="949" spans="1:16"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s="12" t="str">
        <f>TEXT(orders[[#This Row],[Order Date]],"mmmm")</f>
        <v>February</v>
      </c>
      <c r="P949" t="str">
        <f>IF(orders[[#This Row],[Customer Gender]]="M","Male", IF(orders[[#This Row],[Customer Gender]]="F","Female", IF(orders[[#This Row],[Customer Gender]]= "O", "Other","Unknown")))</f>
        <v>Female</v>
      </c>
    </row>
    <row r="950" spans="1:16"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s="12" t="str">
        <f>TEXT(orders[[#This Row],[Order Date]],"mmmm")</f>
        <v>February</v>
      </c>
      <c r="P950" t="str">
        <f>IF(orders[[#This Row],[Customer Gender]]="M","Male", IF(orders[[#This Row],[Customer Gender]]="F","Female", IF(orders[[#This Row],[Customer Gender]]= "O", "Other","Unknown")))</f>
        <v>Female</v>
      </c>
    </row>
    <row r="951" spans="1:16"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s="12" t="str">
        <f>TEXT(orders[[#This Row],[Order Date]],"mmmm")</f>
        <v>February</v>
      </c>
      <c r="P951" t="str">
        <f>IF(orders[[#This Row],[Customer Gender]]="M","Male", IF(orders[[#This Row],[Customer Gender]]="F","Female", IF(orders[[#This Row],[Customer Gender]]= "O", "Other","Unknown")))</f>
        <v>Female</v>
      </c>
    </row>
    <row r="952" spans="1:16"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s="12" t="str">
        <f>TEXT(orders[[#This Row],[Order Date]],"mmmm")</f>
        <v>February</v>
      </c>
      <c r="P952" t="str">
        <f>IF(orders[[#This Row],[Customer Gender]]="M","Male", IF(orders[[#This Row],[Customer Gender]]="F","Female", IF(orders[[#This Row],[Customer Gender]]= "O", "Other","Unknown")))</f>
        <v>Male</v>
      </c>
    </row>
    <row r="953" spans="1:16"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s="12" t="str">
        <f>TEXT(orders[[#This Row],[Order Date]],"mmmm")</f>
        <v>February</v>
      </c>
      <c r="P953" t="str">
        <f>IF(orders[[#This Row],[Customer Gender]]="M","Male", IF(orders[[#This Row],[Customer Gender]]="F","Female", IF(orders[[#This Row],[Customer Gender]]= "O", "Other","Unknown")))</f>
        <v>Female</v>
      </c>
    </row>
    <row r="954" spans="1:16"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s="12" t="str">
        <f>TEXT(orders[[#This Row],[Order Date]],"mmmm")</f>
        <v>February</v>
      </c>
      <c r="P954" t="str">
        <f>IF(orders[[#This Row],[Customer Gender]]="M","Male", IF(orders[[#This Row],[Customer Gender]]="F","Female", IF(orders[[#This Row],[Customer Gender]]= "O", "Other","Unknown")))</f>
        <v>Male</v>
      </c>
    </row>
    <row r="955" spans="1:16"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s="12" t="str">
        <f>TEXT(orders[[#This Row],[Order Date]],"mmmm")</f>
        <v>February</v>
      </c>
      <c r="P955" t="str">
        <f>IF(orders[[#This Row],[Customer Gender]]="M","Male", IF(orders[[#This Row],[Customer Gender]]="F","Female", IF(orders[[#This Row],[Customer Gender]]= "O", "Other","Unknown")))</f>
        <v>Male</v>
      </c>
    </row>
    <row r="956" spans="1:16"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s="12" t="str">
        <f>TEXT(orders[[#This Row],[Order Date]],"mmmm")</f>
        <v>February</v>
      </c>
      <c r="P956" t="str">
        <f>IF(orders[[#This Row],[Customer Gender]]="M","Male", IF(orders[[#This Row],[Customer Gender]]="F","Female", IF(orders[[#This Row],[Customer Gender]]= "O", "Other","Unknown")))</f>
        <v>Male</v>
      </c>
    </row>
    <row r="957" spans="1:16"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s="12" t="str">
        <f>TEXT(orders[[#This Row],[Order Date]],"mmmm")</f>
        <v>February</v>
      </c>
      <c r="P957" t="str">
        <f>IF(orders[[#This Row],[Customer Gender]]="M","Male", IF(orders[[#This Row],[Customer Gender]]="F","Female", IF(orders[[#This Row],[Customer Gender]]= "O", "Other","Unknown")))</f>
        <v>Male</v>
      </c>
    </row>
    <row r="958" spans="1:16"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s="12" t="str">
        <f>TEXT(orders[[#This Row],[Order Date]],"mmmm")</f>
        <v>February</v>
      </c>
      <c r="P958" t="str">
        <f>IF(orders[[#This Row],[Customer Gender]]="M","Male", IF(orders[[#This Row],[Customer Gender]]="F","Female", IF(orders[[#This Row],[Customer Gender]]= "O", "Other","Unknown")))</f>
        <v>Male</v>
      </c>
    </row>
    <row r="959" spans="1:16"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s="12" t="str">
        <f>TEXT(orders[[#This Row],[Order Date]],"mmmm")</f>
        <v>February</v>
      </c>
      <c r="P959" t="str">
        <f>IF(orders[[#This Row],[Customer Gender]]="M","Male", IF(orders[[#This Row],[Customer Gender]]="F","Female", IF(orders[[#This Row],[Customer Gender]]= "O", "Other","Unknown")))</f>
        <v>Male</v>
      </c>
    </row>
    <row r="960" spans="1:16"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s="12" t="str">
        <f>TEXT(orders[[#This Row],[Order Date]],"mmmm")</f>
        <v>February</v>
      </c>
      <c r="P960" t="str">
        <f>IF(orders[[#This Row],[Customer Gender]]="M","Male", IF(orders[[#This Row],[Customer Gender]]="F","Female", IF(orders[[#This Row],[Customer Gender]]= "O", "Other","Unknown")))</f>
        <v>Female</v>
      </c>
    </row>
    <row r="961" spans="1:16"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s="12" t="str">
        <f>TEXT(orders[[#This Row],[Order Date]],"mmmm")</f>
        <v>February</v>
      </c>
      <c r="P961" t="str">
        <f>IF(orders[[#This Row],[Customer Gender]]="M","Male", IF(orders[[#This Row],[Customer Gender]]="F","Female", IF(orders[[#This Row],[Customer Gender]]= "O", "Other","Unknown")))</f>
        <v>Female</v>
      </c>
    </row>
    <row r="962" spans="1:16"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s="12" t="str">
        <f>TEXT(orders[[#This Row],[Order Date]],"mmmm")</f>
        <v>February</v>
      </c>
      <c r="P962" t="str">
        <f>IF(orders[[#This Row],[Customer Gender]]="M","Male", IF(orders[[#This Row],[Customer Gender]]="F","Female", IF(orders[[#This Row],[Customer Gender]]= "O", "Other","Unknown")))</f>
        <v>Female</v>
      </c>
    </row>
    <row r="963" spans="1:16"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s="12" t="str">
        <f>TEXT(orders[[#This Row],[Order Date]],"mmmm")</f>
        <v>February</v>
      </c>
      <c r="P963" t="str">
        <f>IF(orders[[#This Row],[Customer Gender]]="M","Male", IF(orders[[#This Row],[Customer Gender]]="F","Female", IF(orders[[#This Row],[Customer Gender]]= "O", "Other","Unknown")))</f>
        <v>Male</v>
      </c>
    </row>
    <row r="964" spans="1:16"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s="12" t="str">
        <f>TEXT(orders[[#This Row],[Order Date]],"mmmm")</f>
        <v>February</v>
      </c>
      <c r="P964" t="str">
        <f>IF(orders[[#This Row],[Customer Gender]]="M","Male", IF(orders[[#This Row],[Customer Gender]]="F","Female", IF(orders[[#This Row],[Customer Gender]]= "O", "Other","Unknown")))</f>
        <v>Female</v>
      </c>
    </row>
    <row r="965" spans="1:16"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s="12" t="str">
        <f>TEXT(orders[[#This Row],[Order Date]],"mmmm")</f>
        <v>February</v>
      </c>
      <c r="P965" t="str">
        <f>IF(orders[[#This Row],[Customer Gender]]="M","Male", IF(orders[[#This Row],[Customer Gender]]="F","Female", IF(orders[[#This Row],[Customer Gender]]= "O", "Other","Unknown")))</f>
        <v>Female</v>
      </c>
    </row>
    <row r="966" spans="1:16"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s="12" t="str">
        <f>TEXT(orders[[#This Row],[Order Date]],"mmmm")</f>
        <v>February</v>
      </c>
      <c r="P966" t="str">
        <f>IF(orders[[#This Row],[Customer Gender]]="M","Male", IF(orders[[#This Row],[Customer Gender]]="F","Female", IF(orders[[#This Row],[Customer Gender]]= "O", "Other","Unknown")))</f>
        <v>Female</v>
      </c>
    </row>
    <row r="967" spans="1:16"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s="12" t="str">
        <f>TEXT(orders[[#This Row],[Order Date]],"mmmm")</f>
        <v>February</v>
      </c>
      <c r="P967" t="str">
        <f>IF(orders[[#This Row],[Customer Gender]]="M","Male", IF(orders[[#This Row],[Customer Gender]]="F","Female", IF(orders[[#This Row],[Customer Gender]]= "O", "Other","Unknown")))</f>
        <v>Male</v>
      </c>
    </row>
    <row r="968" spans="1:16"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s="12" t="str">
        <f>TEXT(orders[[#This Row],[Order Date]],"mmmm")</f>
        <v>February</v>
      </c>
      <c r="P968" t="str">
        <f>IF(orders[[#This Row],[Customer Gender]]="M","Male", IF(orders[[#This Row],[Customer Gender]]="F","Female", IF(orders[[#This Row],[Customer Gender]]= "O", "Other","Unknown")))</f>
        <v>Male</v>
      </c>
    </row>
    <row r="969" spans="1:16"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s="12" t="str">
        <f>TEXT(orders[[#This Row],[Order Date]],"mmmm")</f>
        <v>February</v>
      </c>
      <c r="P969" t="str">
        <f>IF(orders[[#This Row],[Customer Gender]]="M","Male", IF(orders[[#This Row],[Customer Gender]]="F","Female", IF(orders[[#This Row],[Customer Gender]]= "O", "Other","Unknown")))</f>
        <v>Female</v>
      </c>
    </row>
    <row r="970" spans="1:16"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s="12" t="str">
        <f>TEXT(orders[[#This Row],[Order Date]],"mmmm")</f>
        <v>February</v>
      </c>
      <c r="P970" t="str">
        <f>IF(orders[[#This Row],[Customer Gender]]="M","Male", IF(orders[[#This Row],[Customer Gender]]="F","Female", IF(orders[[#This Row],[Customer Gender]]= "O", "Other","Unknown")))</f>
        <v>Male</v>
      </c>
    </row>
    <row r="971" spans="1:16"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s="12" t="str">
        <f>TEXT(orders[[#This Row],[Order Date]],"mmmm")</f>
        <v>February</v>
      </c>
      <c r="P971" t="str">
        <f>IF(orders[[#This Row],[Customer Gender]]="M","Male", IF(orders[[#This Row],[Customer Gender]]="F","Female", IF(orders[[#This Row],[Customer Gender]]= "O", "Other","Unknown")))</f>
        <v>Female</v>
      </c>
    </row>
    <row r="972" spans="1:16"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s="12" t="str">
        <f>TEXT(orders[[#This Row],[Order Date]],"mmmm")</f>
        <v>February</v>
      </c>
      <c r="P972" t="str">
        <f>IF(orders[[#This Row],[Customer Gender]]="M","Male", IF(orders[[#This Row],[Customer Gender]]="F","Female", IF(orders[[#This Row],[Customer Gender]]= "O", "Other","Unknown")))</f>
        <v>Female</v>
      </c>
    </row>
    <row r="973" spans="1:16"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s="12" t="str">
        <f>TEXT(orders[[#This Row],[Order Date]],"mmmm")</f>
        <v>February</v>
      </c>
      <c r="P973" t="str">
        <f>IF(orders[[#This Row],[Customer Gender]]="M","Male", IF(orders[[#This Row],[Customer Gender]]="F","Female", IF(orders[[#This Row],[Customer Gender]]= "O", "Other","Unknown")))</f>
        <v>Male</v>
      </c>
    </row>
    <row r="974" spans="1:16"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s="12" t="str">
        <f>TEXT(orders[[#This Row],[Order Date]],"mmmm")</f>
        <v>February</v>
      </c>
      <c r="P974" t="str">
        <f>IF(orders[[#This Row],[Customer Gender]]="M","Male", IF(orders[[#This Row],[Customer Gender]]="F","Female", IF(orders[[#This Row],[Customer Gender]]= "O", "Other","Unknown")))</f>
        <v>Female</v>
      </c>
    </row>
    <row r="975" spans="1:16"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s="12" t="str">
        <f>TEXT(orders[[#This Row],[Order Date]],"mmmm")</f>
        <v>February</v>
      </c>
      <c r="P975" t="str">
        <f>IF(orders[[#This Row],[Customer Gender]]="M","Male", IF(orders[[#This Row],[Customer Gender]]="F","Female", IF(orders[[#This Row],[Customer Gender]]= "O", "Other","Unknown")))</f>
        <v>Male</v>
      </c>
    </row>
    <row r="976" spans="1:16"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s="12" t="str">
        <f>TEXT(orders[[#This Row],[Order Date]],"mmmm")</f>
        <v>February</v>
      </c>
      <c r="P976" t="str">
        <f>IF(orders[[#This Row],[Customer Gender]]="M","Male", IF(orders[[#This Row],[Customer Gender]]="F","Female", IF(orders[[#This Row],[Customer Gender]]= "O", "Other","Unknown")))</f>
        <v>Female</v>
      </c>
    </row>
    <row r="977" spans="1:16"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s="12" t="str">
        <f>TEXT(orders[[#This Row],[Order Date]],"mmmm")</f>
        <v>February</v>
      </c>
      <c r="P977" t="str">
        <f>IF(orders[[#This Row],[Customer Gender]]="M","Male", IF(orders[[#This Row],[Customer Gender]]="F","Female", IF(orders[[#This Row],[Customer Gender]]= "O", "Other","Unknown")))</f>
        <v>Female</v>
      </c>
    </row>
    <row r="978" spans="1:16"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s="12" t="str">
        <f>TEXT(orders[[#This Row],[Order Date]],"mmmm")</f>
        <v>February</v>
      </c>
      <c r="P978" t="str">
        <f>IF(orders[[#This Row],[Customer Gender]]="M","Male", IF(orders[[#This Row],[Customer Gender]]="F","Female", IF(orders[[#This Row],[Customer Gender]]= "O", "Other","Unknown")))</f>
        <v>Female</v>
      </c>
    </row>
    <row r="979" spans="1:16"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s="12" t="str">
        <f>TEXT(orders[[#This Row],[Order Date]],"mmmm")</f>
        <v>February</v>
      </c>
      <c r="P979" t="str">
        <f>IF(orders[[#This Row],[Customer Gender]]="M","Male", IF(orders[[#This Row],[Customer Gender]]="F","Female", IF(orders[[#This Row],[Customer Gender]]= "O", "Other","Unknown")))</f>
        <v>Female</v>
      </c>
    </row>
    <row r="980" spans="1:16"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s="12" t="str">
        <f>TEXT(orders[[#This Row],[Order Date]],"mmmm")</f>
        <v>February</v>
      </c>
      <c r="P980" t="str">
        <f>IF(orders[[#This Row],[Customer Gender]]="M","Male", IF(orders[[#This Row],[Customer Gender]]="F","Female", IF(orders[[#This Row],[Customer Gender]]= "O", "Other","Unknown")))</f>
        <v>Female</v>
      </c>
    </row>
    <row r="981" spans="1:16"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s="12" t="str">
        <f>TEXT(orders[[#This Row],[Order Date]],"mmmm")</f>
        <v>February</v>
      </c>
      <c r="P981" t="str">
        <f>IF(orders[[#This Row],[Customer Gender]]="M","Male", IF(orders[[#This Row],[Customer Gender]]="F","Female", IF(orders[[#This Row],[Customer Gender]]= "O", "Other","Unknown")))</f>
        <v>Female</v>
      </c>
    </row>
    <row r="982" spans="1:16"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s="12" t="str">
        <f>TEXT(orders[[#This Row],[Order Date]],"mmmm")</f>
        <v>February</v>
      </c>
      <c r="P982" t="str">
        <f>IF(orders[[#This Row],[Customer Gender]]="M","Male", IF(orders[[#This Row],[Customer Gender]]="F","Female", IF(orders[[#This Row],[Customer Gender]]= "O", "Other","Unknown")))</f>
        <v>Male</v>
      </c>
    </row>
    <row r="983" spans="1:16"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s="12" t="str">
        <f>TEXT(orders[[#This Row],[Order Date]],"mmmm")</f>
        <v>February</v>
      </c>
      <c r="P983" t="str">
        <f>IF(orders[[#This Row],[Customer Gender]]="M","Male", IF(orders[[#This Row],[Customer Gender]]="F","Female", IF(orders[[#This Row],[Customer Gender]]= "O", "Other","Unknown")))</f>
        <v>Female</v>
      </c>
    </row>
    <row r="984" spans="1:16"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s="12" t="str">
        <f>TEXT(orders[[#This Row],[Order Date]],"mmmm")</f>
        <v>February</v>
      </c>
      <c r="P984" t="str">
        <f>IF(orders[[#This Row],[Customer Gender]]="M","Male", IF(orders[[#This Row],[Customer Gender]]="F","Female", IF(orders[[#This Row],[Customer Gender]]= "O", "Other","Unknown")))</f>
        <v>Female</v>
      </c>
    </row>
    <row r="985" spans="1:16"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s="12" t="str">
        <f>TEXT(orders[[#This Row],[Order Date]],"mmmm")</f>
        <v>February</v>
      </c>
      <c r="P985" t="str">
        <f>IF(orders[[#This Row],[Customer Gender]]="M","Male", IF(orders[[#This Row],[Customer Gender]]="F","Female", IF(orders[[#This Row],[Customer Gender]]= "O", "Other","Unknown")))</f>
        <v>Female</v>
      </c>
    </row>
    <row r="986" spans="1:16"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s="12" t="str">
        <f>TEXT(orders[[#This Row],[Order Date]],"mmmm")</f>
        <v>February</v>
      </c>
      <c r="P986" t="str">
        <f>IF(orders[[#This Row],[Customer Gender]]="M","Male", IF(orders[[#This Row],[Customer Gender]]="F","Female", IF(orders[[#This Row],[Customer Gender]]= "O", "Other","Unknown")))</f>
        <v>Male</v>
      </c>
    </row>
    <row r="987" spans="1:16"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s="12" t="str">
        <f>TEXT(orders[[#This Row],[Order Date]],"mmmm")</f>
        <v>February</v>
      </c>
      <c r="P987" t="str">
        <f>IF(orders[[#This Row],[Customer Gender]]="M","Male", IF(orders[[#This Row],[Customer Gender]]="F","Female", IF(orders[[#This Row],[Customer Gender]]= "O", "Other","Unknown")))</f>
        <v>Male</v>
      </c>
    </row>
    <row r="988" spans="1:16" hidden="1"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s="12" t="str">
        <f>TEXT(orders[[#This Row],[Order Date]],"mmmm")</f>
        <v>February</v>
      </c>
      <c r="P988" t="str">
        <f>IF(orders[[#This Row],[Customer Gender]]="M","Male", IF(orders[[#This Row],[Customer Gender]]="F","Female", IF(orders[[#This Row],[Customer Gender]]= "O", "Other","Unknown")))</f>
        <v>Unknown</v>
      </c>
    </row>
    <row r="989" spans="1:16"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s="12" t="str">
        <f>TEXT(orders[[#This Row],[Order Date]],"mmmm")</f>
        <v>February</v>
      </c>
      <c r="P989" t="str">
        <f>IF(orders[[#This Row],[Customer Gender]]="M","Male", IF(orders[[#This Row],[Customer Gender]]="F","Female", IF(orders[[#This Row],[Customer Gender]]= "O", "Other","Unknown")))</f>
        <v>Male</v>
      </c>
    </row>
    <row r="990" spans="1:16"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s="12" t="str">
        <f>TEXT(orders[[#This Row],[Order Date]],"mmmm")</f>
        <v>February</v>
      </c>
      <c r="P990" t="str">
        <f>IF(orders[[#This Row],[Customer Gender]]="M","Male", IF(orders[[#This Row],[Customer Gender]]="F","Female", IF(orders[[#This Row],[Customer Gender]]= "O", "Other","Unknown")))</f>
        <v>Female</v>
      </c>
    </row>
    <row r="991" spans="1:16"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s="12" t="str">
        <f>TEXT(orders[[#This Row],[Order Date]],"mmmm")</f>
        <v>February</v>
      </c>
      <c r="P991" t="str">
        <f>IF(orders[[#This Row],[Customer Gender]]="M","Male", IF(orders[[#This Row],[Customer Gender]]="F","Female", IF(orders[[#This Row],[Customer Gender]]= "O", "Other","Unknown")))</f>
        <v>Female</v>
      </c>
    </row>
    <row r="992" spans="1:16" hidden="1"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s="12" t="str">
        <f>TEXT(orders[[#This Row],[Order Date]],"mmmm")</f>
        <v>February</v>
      </c>
      <c r="P992" t="str">
        <f>IF(orders[[#This Row],[Customer Gender]]="M","Male", IF(orders[[#This Row],[Customer Gender]]="F","Female", IF(orders[[#This Row],[Customer Gender]]= "O", "Other","Unknown")))</f>
        <v>Unknown</v>
      </c>
    </row>
    <row r="993" spans="1:16"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s="12" t="str">
        <f>TEXT(orders[[#This Row],[Order Date]],"mmmm")</f>
        <v>February</v>
      </c>
      <c r="P993" t="str">
        <f>IF(orders[[#This Row],[Customer Gender]]="M","Male", IF(orders[[#This Row],[Customer Gender]]="F","Female", IF(orders[[#This Row],[Customer Gender]]= "O", "Other","Unknown")))</f>
        <v>Female</v>
      </c>
    </row>
    <row r="994" spans="1:16"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s="12" t="str">
        <f>TEXT(orders[[#This Row],[Order Date]],"mmmm")</f>
        <v>February</v>
      </c>
      <c r="P994" t="str">
        <f>IF(orders[[#This Row],[Customer Gender]]="M","Male", IF(orders[[#This Row],[Customer Gender]]="F","Female", IF(orders[[#This Row],[Customer Gender]]= "O", "Other","Unknown")))</f>
        <v>Other</v>
      </c>
    </row>
    <row r="995" spans="1:16"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s="12" t="str">
        <f>TEXT(orders[[#This Row],[Order Date]],"mmmm")</f>
        <v>February</v>
      </c>
      <c r="P995" t="str">
        <f>IF(orders[[#This Row],[Customer Gender]]="M","Male", IF(orders[[#This Row],[Customer Gender]]="F","Female", IF(orders[[#This Row],[Customer Gender]]= "O", "Other","Unknown")))</f>
        <v>Female</v>
      </c>
    </row>
    <row r="996" spans="1:16"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s="12" t="str">
        <f>TEXT(orders[[#This Row],[Order Date]],"mmmm")</f>
        <v>February</v>
      </c>
      <c r="P996" t="str">
        <f>IF(orders[[#This Row],[Customer Gender]]="M","Male", IF(orders[[#This Row],[Customer Gender]]="F","Female", IF(orders[[#This Row],[Customer Gender]]= "O", "Other","Unknown")))</f>
        <v>Female</v>
      </c>
    </row>
    <row r="997" spans="1:16"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s="12" t="str">
        <f>TEXT(orders[[#This Row],[Order Date]],"mmmm")</f>
        <v>February</v>
      </c>
      <c r="P997" t="str">
        <f>IF(orders[[#This Row],[Customer Gender]]="M","Male", IF(orders[[#This Row],[Customer Gender]]="F","Female", IF(orders[[#This Row],[Customer Gender]]= "O", "Other","Unknown")))</f>
        <v>Female</v>
      </c>
    </row>
    <row r="998" spans="1:16"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s="12" t="str">
        <f>TEXT(orders[[#This Row],[Order Date]],"mmmm")</f>
        <v>February</v>
      </c>
      <c r="P998" t="str">
        <f>IF(orders[[#This Row],[Customer Gender]]="M","Male", IF(orders[[#This Row],[Customer Gender]]="F","Female", IF(orders[[#This Row],[Customer Gender]]= "O", "Other","Unknown")))</f>
        <v>Female</v>
      </c>
    </row>
    <row r="999" spans="1:16"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s="12" t="str">
        <f>TEXT(orders[[#This Row],[Order Date]],"mmmm")</f>
        <v>February</v>
      </c>
      <c r="P999" t="str">
        <f>IF(orders[[#This Row],[Customer Gender]]="M","Male", IF(orders[[#This Row],[Customer Gender]]="F","Female", IF(orders[[#This Row],[Customer Gender]]= "O", "Other","Unknown")))</f>
        <v>Female</v>
      </c>
    </row>
    <row r="1000" spans="1:16"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s="12" t="str">
        <f>TEXT(orders[[#This Row],[Order Date]],"mmmm")</f>
        <v>February</v>
      </c>
      <c r="P1000" t="str">
        <f>IF(orders[[#This Row],[Customer Gender]]="M","Male", IF(orders[[#This Row],[Customer Gender]]="F","Female", IF(orders[[#This Row],[Customer Gender]]= "O", "Other","Unknown")))</f>
        <v>Female</v>
      </c>
    </row>
    <row r="1001" spans="1:16"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s="12" t="str">
        <f>TEXT(orders[[#This Row],[Order Date]],"mmmm")</f>
        <v>February</v>
      </c>
      <c r="P1001" t="str">
        <f>IF(orders[[#This Row],[Customer Gender]]="M","Male", IF(orders[[#This Row],[Customer Gender]]="F","Female", IF(orders[[#This Row],[Customer Gender]]= "O", "Other","Unknown")))</f>
        <v>Female</v>
      </c>
    </row>
    <row r="1002" spans="1:16"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s="12" t="str">
        <f>TEXT(orders[[#This Row],[Order Date]],"mmmm")</f>
        <v>February</v>
      </c>
      <c r="P1002" t="str">
        <f>IF(orders[[#This Row],[Customer Gender]]="M","Male", IF(orders[[#This Row],[Customer Gender]]="F","Female", IF(orders[[#This Row],[Customer Gender]]= "O", "Other","Unknown")))</f>
        <v>Female</v>
      </c>
    </row>
    <row r="1003" spans="1:16"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s="12" t="str">
        <f>TEXT(orders[[#This Row],[Order Date]],"mmmm")</f>
        <v>February</v>
      </c>
      <c r="P1003" t="str">
        <f>IF(orders[[#This Row],[Customer Gender]]="M","Male", IF(orders[[#This Row],[Customer Gender]]="F","Female", IF(orders[[#This Row],[Customer Gender]]= "O", "Other","Unknown")))</f>
        <v>Female</v>
      </c>
    </row>
    <row r="1004" spans="1:16"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s="12" t="str">
        <f>TEXT(orders[[#This Row],[Order Date]],"mmmm")</f>
        <v>February</v>
      </c>
      <c r="P1004" t="str">
        <f>IF(orders[[#This Row],[Customer Gender]]="M","Male", IF(orders[[#This Row],[Customer Gender]]="F","Female", IF(orders[[#This Row],[Customer Gender]]= "O", "Other","Unknown")))</f>
        <v>Female</v>
      </c>
    </row>
    <row r="1005" spans="1:16"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s="12" t="str">
        <f>TEXT(orders[[#This Row],[Order Date]],"mmmm")</f>
        <v>February</v>
      </c>
      <c r="P1005" t="str">
        <f>IF(orders[[#This Row],[Customer Gender]]="M","Male", IF(orders[[#This Row],[Customer Gender]]="F","Female", IF(orders[[#This Row],[Customer Gender]]= "O", "Other","Unknown")))</f>
        <v>Male</v>
      </c>
    </row>
    <row r="1006" spans="1:16"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s="12" t="str">
        <f>TEXT(orders[[#This Row],[Order Date]],"mmmm")</f>
        <v>February</v>
      </c>
      <c r="P1006" t="str">
        <f>IF(orders[[#This Row],[Customer Gender]]="M","Male", IF(orders[[#This Row],[Customer Gender]]="F","Female", IF(orders[[#This Row],[Customer Gender]]= "O", "Other","Unknown")))</f>
        <v>Male</v>
      </c>
    </row>
    <row r="1007" spans="1:16"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s="12" t="str">
        <f>TEXT(orders[[#This Row],[Order Date]],"mmmm")</f>
        <v>February</v>
      </c>
      <c r="P1007" t="str">
        <f>IF(orders[[#This Row],[Customer Gender]]="M","Male", IF(orders[[#This Row],[Customer Gender]]="F","Female", IF(orders[[#This Row],[Customer Gender]]= "O", "Other","Unknown")))</f>
        <v>Female</v>
      </c>
    </row>
    <row r="1008" spans="1:16"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s="12" t="str">
        <f>TEXT(orders[[#This Row],[Order Date]],"mmmm")</f>
        <v>February</v>
      </c>
      <c r="P1008" t="str">
        <f>IF(orders[[#This Row],[Customer Gender]]="M","Male", IF(orders[[#This Row],[Customer Gender]]="F","Female", IF(orders[[#This Row],[Customer Gender]]= "O", "Other","Unknown")))</f>
        <v>Female</v>
      </c>
    </row>
    <row r="1009" spans="1:16" hidden="1"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s="12" t="str">
        <f>TEXT(orders[[#This Row],[Order Date]],"mmmm")</f>
        <v>February</v>
      </c>
      <c r="P1009" t="str">
        <f>IF(orders[[#This Row],[Customer Gender]]="M","Male", IF(orders[[#This Row],[Customer Gender]]="F","Female", IF(orders[[#This Row],[Customer Gender]]= "O", "Other","Unknown")))</f>
        <v>Unknown</v>
      </c>
    </row>
    <row r="1010" spans="1:16"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s="12" t="str">
        <f>TEXT(orders[[#This Row],[Order Date]],"mmmm")</f>
        <v>February</v>
      </c>
      <c r="P1010" t="str">
        <f>IF(orders[[#This Row],[Customer Gender]]="M","Male", IF(orders[[#This Row],[Customer Gender]]="F","Female", IF(orders[[#This Row],[Customer Gender]]= "O", "Other","Unknown")))</f>
        <v>Female</v>
      </c>
    </row>
    <row r="1011" spans="1:16"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s="12" t="str">
        <f>TEXT(orders[[#This Row],[Order Date]],"mmmm")</f>
        <v>February</v>
      </c>
      <c r="P1011" t="str">
        <f>IF(orders[[#This Row],[Customer Gender]]="M","Male", IF(orders[[#This Row],[Customer Gender]]="F","Female", IF(orders[[#This Row],[Customer Gender]]= "O", "Other","Unknown")))</f>
        <v>Other</v>
      </c>
    </row>
    <row r="1012" spans="1:16"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s="12" t="str">
        <f>TEXT(orders[[#This Row],[Order Date]],"mmmm")</f>
        <v>February</v>
      </c>
      <c r="P1012" t="str">
        <f>IF(orders[[#This Row],[Customer Gender]]="M","Male", IF(orders[[#This Row],[Customer Gender]]="F","Female", IF(orders[[#This Row],[Customer Gender]]= "O", "Other","Unknown")))</f>
        <v>Female</v>
      </c>
    </row>
    <row r="1013" spans="1:16"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s="12" t="str">
        <f>TEXT(orders[[#This Row],[Order Date]],"mmmm")</f>
        <v>February</v>
      </c>
      <c r="P1013" t="str">
        <f>IF(orders[[#This Row],[Customer Gender]]="M","Male", IF(orders[[#This Row],[Customer Gender]]="F","Female", IF(orders[[#This Row],[Customer Gender]]= "O", "Other","Unknown")))</f>
        <v>Other</v>
      </c>
    </row>
    <row r="1014" spans="1:16" hidden="1"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s="12" t="str">
        <f>TEXT(orders[[#This Row],[Order Date]],"mmmm")</f>
        <v>February</v>
      </c>
      <c r="P1014" t="str">
        <f>IF(orders[[#This Row],[Customer Gender]]="M","Male", IF(orders[[#This Row],[Customer Gender]]="F","Female", IF(orders[[#This Row],[Customer Gender]]= "O", "Other","Unknown")))</f>
        <v>Unknown</v>
      </c>
    </row>
    <row r="1015" spans="1:16"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s="12" t="str">
        <f>TEXT(orders[[#This Row],[Order Date]],"mmmm")</f>
        <v>February</v>
      </c>
      <c r="P1015" t="str">
        <f>IF(orders[[#This Row],[Customer Gender]]="M","Male", IF(orders[[#This Row],[Customer Gender]]="F","Female", IF(orders[[#This Row],[Customer Gender]]= "O", "Other","Unknown")))</f>
        <v>Female</v>
      </c>
    </row>
    <row r="1016" spans="1:16"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s="12" t="str">
        <f>TEXT(orders[[#This Row],[Order Date]],"mmmm")</f>
        <v>February</v>
      </c>
      <c r="P1016" t="str">
        <f>IF(orders[[#This Row],[Customer Gender]]="M","Male", IF(orders[[#This Row],[Customer Gender]]="F","Female", IF(orders[[#This Row],[Customer Gender]]= "O", "Other","Unknown")))</f>
        <v>Male</v>
      </c>
    </row>
    <row r="1017" spans="1:16"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s="12" t="str">
        <f>TEXT(orders[[#This Row],[Order Date]],"mmmm")</f>
        <v>February</v>
      </c>
      <c r="P1017" t="str">
        <f>IF(orders[[#This Row],[Customer Gender]]="M","Male", IF(orders[[#This Row],[Customer Gender]]="F","Female", IF(orders[[#This Row],[Customer Gender]]= "O", "Other","Unknown")))</f>
        <v>Female</v>
      </c>
    </row>
    <row r="1018" spans="1:16"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s="12" t="str">
        <f>TEXT(orders[[#This Row],[Order Date]],"mmmm")</f>
        <v>February</v>
      </c>
      <c r="P1018" t="str">
        <f>IF(orders[[#This Row],[Customer Gender]]="M","Male", IF(orders[[#This Row],[Customer Gender]]="F","Female", IF(orders[[#This Row],[Customer Gender]]= "O", "Other","Unknown")))</f>
        <v>Female</v>
      </c>
    </row>
    <row r="1019" spans="1:16" hidden="1"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s="12" t="str">
        <f>TEXT(orders[[#This Row],[Order Date]],"mmmm")</f>
        <v>February</v>
      </c>
      <c r="P1019" t="str">
        <f>IF(orders[[#This Row],[Customer Gender]]="M","Male", IF(orders[[#This Row],[Customer Gender]]="F","Female", IF(orders[[#This Row],[Customer Gender]]= "O", "Other","Unknown")))</f>
        <v>Unknown</v>
      </c>
    </row>
    <row r="1020" spans="1:16"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s="12" t="str">
        <f>TEXT(orders[[#This Row],[Order Date]],"mmmm")</f>
        <v>February</v>
      </c>
      <c r="P1020" t="str">
        <f>IF(orders[[#This Row],[Customer Gender]]="M","Male", IF(orders[[#This Row],[Customer Gender]]="F","Female", IF(orders[[#This Row],[Customer Gender]]= "O", "Other","Unknown")))</f>
        <v>Female</v>
      </c>
    </row>
    <row r="1021" spans="1:16"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s="12" t="str">
        <f>TEXT(orders[[#This Row],[Order Date]],"mmmm")</f>
        <v>February</v>
      </c>
      <c r="P1021" t="str">
        <f>IF(orders[[#This Row],[Customer Gender]]="M","Male", IF(orders[[#This Row],[Customer Gender]]="F","Female", IF(orders[[#This Row],[Customer Gender]]= "O", "Other","Unknown")))</f>
        <v>Male</v>
      </c>
    </row>
    <row r="1022" spans="1:16"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s="12" t="str">
        <f>TEXT(orders[[#This Row],[Order Date]],"mmmm")</f>
        <v>February</v>
      </c>
      <c r="P1022" t="str">
        <f>IF(orders[[#This Row],[Customer Gender]]="M","Male", IF(orders[[#This Row],[Customer Gender]]="F","Female", IF(orders[[#This Row],[Customer Gender]]= "O", "Other","Unknown")))</f>
        <v>Female</v>
      </c>
    </row>
    <row r="1023" spans="1:16"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s="12" t="str">
        <f>TEXT(orders[[#This Row],[Order Date]],"mmmm")</f>
        <v>February</v>
      </c>
      <c r="P1023" t="str">
        <f>IF(orders[[#This Row],[Customer Gender]]="M","Male", IF(orders[[#This Row],[Customer Gender]]="F","Female", IF(orders[[#This Row],[Customer Gender]]= "O", "Other","Unknown")))</f>
        <v>Male</v>
      </c>
    </row>
    <row r="1024" spans="1:16"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s="12" t="str">
        <f>TEXT(orders[[#This Row],[Order Date]],"mmmm")</f>
        <v>February</v>
      </c>
      <c r="P1024" t="str">
        <f>IF(orders[[#This Row],[Customer Gender]]="M","Male", IF(orders[[#This Row],[Customer Gender]]="F","Female", IF(orders[[#This Row],[Customer Gender]]= "O", "Other","Unknown")))</f>
        <v>Male</v>
      </c>
    </row>
    <row r="1025" spans="1:16"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s="12" t="str">
        <f>TEXT(orders[[#This Row],[Order Date]],"mmmm")</f>
        <v>February</v>
      </c>
      <c r="P1025" t="str">
        <f>IF(orders[[#This Row],[Customer Gender]]="M","Male", IF(orders[[#This Row],[Customer Gender]]="F","Female", IF(orders[[#This Row],[Customer Gender]]= "O", "Other","Unknown")))</f>
        <v>Male</v>
      </c>
    </row>
    <row r="1026" spans="1:16"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s="12" t="str">
        <f>TEXT(orders[[#This Row],[Order Date]],"mmmm")</f>
        <v>February</v>
      </c>
      <c r="P1026" t="str">
        <f>IF(orders[[#This Row],[Customer Gender]]="M","Male", IF(orders[[#This Row],[Customer Gender]]="F","Female", IF(orders[[#This Row],[Customer Gender]]= "O", "Other","Unknown")))</f>
        <v>Female</v>
      </c>
    </row>
    <row r="1027" spans="1:16"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s="12" t="str">
        <f>TEXT(orders[[#This Row],[Order Date]],"mmmm")</f>
        <v>February</v>
      </c>
      <c r="P1027" t="str">
        <f>IF(orders[[#This Row],[Customer Gender]]="M","Male", IF(orders[[#This Row],[Customer Gender]]="F","Female", IF(orders[[#This Row],[Customer Gender]]= "O", "Other","Unknown")))</f>
        <v>Female</v>
      </c>
    </row>
    <row r="1028" spans="1:16"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s="12" t="str">
        <f>TEXT(orders[[#This Row],[Order Date]],"mmmm")</f>
        <v>February</v>
      </c>
      <c r="P1028" t="str">
        <f>IF(orders[[#This Row],[Customer Gender]]="M","Male", IF(orders[[#This Row],[Customer Gender]]="F","Female", IF(orders[[#This Row],[Customer Gender]]= "O", "Other","Unknown")))</f>
        <v>Female</v>
      </c>
    </row>
    <row r="1029" spans="1:16"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s="12" t="str">
        <f>TEXT(orders[[#This Row],[Order Date]],"mmmm")</f>
        <v>February</v>
      </c>
      <c r="P1029" t="str">
        <f>IF(orders[[#This Row],[Customer Gender]]="M","Male", IF(orders[[#This Row],[Customer Gender]]="F","Female", IF(orders[[#This Row],[Customer Gender]]= "O", "Other","Unknown")))</f>
        <v>Female</v>
      </c>
    </row>
    <row r="1030" spans="1:16"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s="12" t="str">
        <f>TEXT(orders[[#This Row],[Order Date]],"mmmm")</f>
        <v>February</v>
      </c>
      <c r="P1030" t="str">
        <f>IF(orders[[#This Row],[Customer Gender]]="M","Male", IF(orders[[#This Row],[Customer Gender]]="F","Female", IF(orders[[#This Row],[Customer Gender]]= "O", "Other","Unknown")))</f>
        <v>Female</v>
      </c>
    </row>
    <row r="1031" spans="1:16"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s="12" t="str">
        <f>TEXT(orders[[#This Row],[Order Date]],"mmmm")</f>
        <v>February</v>
      </c>
      <c r="P1031" t="str">
        <f>IF(orders[[#This Row],[Customer Gender]]="M","Male", IF(orders[[#This Row],[Customer Gender]]="F","Female", IF(orders[[#This Row],[Customer Gender]]= "O", "Other","Unknown")))</f>
        <v>Male</v>
      </c>
    </row>
    <row r="1032" spans="1:16"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s="12" t="str">
        <f>TEXT(orders[[#This Row],[Order Date]],"mmmm")</f>
        <v>February</v>
      </c>
      <c r="P1032" t="str">
        <f>IF(orders[[#This Row],[Customer Gender]]="M","Male", IF(orders[[#This Row],[Customer Gender]]="F","Female", IF(orders[[#This Row],[Customer Gender]]= "O", "Other","Unknown")))</f>
        <v>Female</v>
      </c>
    </row>
    <row r="1033" spans="1:16"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s="12" t="str">
        <f>TEXT(orders[[#This Row],[Order Date]],"mmmm")</f>
        <v>February</v>
      </c>
      <c r="P1033" t="str">
        <f>IF(orders[[#This Row],[Customer Gender]]="M","Male", IF(orders[[#This Row],[Customer Gender]]="F","Female", IF(orders[[#This Row],[Customer Gender]]= "O", "Other","Unknown")))</f>
        <v>Male</v>
      </c>
    </row>
    <row r="1034" spans="1:16"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s="12" t="str">
        <f>TEXT(orders[[#This Row],[Order Date]],"mmmm")</f>
        <v>February</v>
      </c>
      <c r="P1034" t="str">
        <f>IF(orders[[#This Row],[Customer Gender]]="M","Male", IF(orders[[#This Row],[Customer Gender]]="F","Female", IF(orders[[#This Row],[Customer Gender]]= "O", "Other","Unknown")))</f>
        <v>Female</v>
      </c>
    </row>
    <row r="1035" spans="1:16" hidden="1"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s="12" t="str">
        <f>TEXT(orders[[#This Row],[Order Date]],"mmmm")</f>
        <v>February</v>
      </c>
      <c r="P1035" t="str">
        <f>IF(orders[[#This Row],[Customer Gender]]="M","Male", IF(orders[[#This Row],[Customer Gender]]="F","Female", IF(orders[[#This Row],[Customer Gender]]= "O", "Other","Unknown")))</f>
        <v>Unknown</v>
      </c>
    </row>
    <row r="1036" spans="1:16"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s="12" t="str">
        <f>TEXT(orders[[#This Row],[Order Date]],"mmmm")</f>
        <v>February</v>
      </c>
      <c r="P1036" t="str">
        <f>IF(orders[[#This Row],[Customer Gender]]="M","Male", IF(orders[[#This Row],[Customer Gender]]="F","Female", IF(orders[[#This Row],[Customer Gender]]= "O", "Other","Unknown")))</f>
        <v>Female</v>
      </c>
    </row>
    <row r="1037" spans="1:16"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s="12" t="str">
        <f>TEXT(orders[[#This Row],[Order Date]],"mmmm")</f>
        <v>February</v>
      </c>
      <c r="P1037" t="str">
        <f>IF(orders[[#This Row],[Customer Gender]]="M","Male", IF(orders[[#This Row],[Customer Gender]]="F","Female", IF(orders[[#This Row],[Customer Gender]]= "O", "Other","Unknown")))</f>
        <v>Male</v>
      </c>
    </row>
    <row r="1038" spans="1:16"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s="12" t="str">
        <f>TEXT(orders[[#This Row],[Order Date]],"mmmm")</f>
        <v>February</v>
      </c>
      <c r="P1038" t="str">
        <f>IF(orders[[#This Row],[Customer Gender]]="M","Male", IF(orders[[#This Row],[Customer Gender]]="F","Female", IF(orders[[#This Row],[Customer Gender]]= "O", "Other","Unknown")))</f>
        <v>Male</v>
      </c>
    </row>
    <row r="1039" spans="1:16"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s="12" t="str">
        <f>TEXT(orders[[#This Row],[Order Date]],"mmmm")</f>
        <v>February</v>
      </c>
      <c r="P1039" t="str">
        <f>IF(orders[[#This Row],[Customer Gender]]="M","Male", IF(orders[[#This Row],[Customer Gender]]="F","Female", IF(orders[[#This Row],[Customer Gender]]= "O", "Other","Unknown")))</f>
        <v>Female</v>
      </c>
    </row>
    <row r="1040" spans="1:16"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s="12" t="str">
        <f>TEXT(orders[[#This Row],[Order Date]],"mmmm")</f>
        <v>February</v>
      </c>
      <c r="P1040" t="str">
        <f>IF(orders[[#This Row],[Customer Gender]]="M","Male", IF(orders[[#This Row],[Customer Gender]]="F","Female", IF(orders[[#This Row],[Customer Gender]]= "O", "Other","Unknown")))</f>
        <v>Female</v>
      </c>
    </row>
    <row r="1041" spans="1:16"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s="12" t="str">
        <f>TEXT(orders[[#This Row],[Order Date]],"mmmm")</f>
        <v>February</v>
      </c>
      <c r="P1041" t="str">
        <f>IF(orders[[#This Row],[Customer Gender]]="M","Male", IF(orders[[#This Row],[Customer Gender]]="F","Female", IF(orders[[#This Row],[Customer Gender]]= "O", "Other","Unknown")))</f>
        <v>Male</v>
      </c>
    </row>
    <row r="1042" spans="1:16" hidden="1"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s="12" t="str">
        <f>TEXT(orders[[#This Row],[Order Date]],"mmmm")</f>
        <v>February</v>
      </c>
      <c r="P1042" t="str">
        <f>IF(orders[[#This Row],[Customer Gender]]="M","Male", IF(orders[[#This Row],[Customer Gender]]="F","Female", IF(orders[[#This Row],[Customer Gender]]= "O", "Other","Unknown")))</f>
        <v>Unknown</v>
      </c>
    </row>
    <row r="1043" spans="1:16"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s="12" t="str">
        <f>TEXT(orders[[#This Row],[Order Date]],"mmmm")</f>
        <v>February</v>
      </c>
      <c r="P1043" t="str">
        <f>IF(orders[[#This Row],[Customer Gender]]="M","Male", IF(orders[[#This Row],[Customer Gender]]="F","Female", IF(orders[[#This Row],[Customer Gender]]= "O", "Other","Unknown")))</f>
        <v>Female</v>
      </c>
    </row>
    <row r="1044" spans="1:16"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s="12" t="str">
        <f>TEXT(orders[[#This Row],[Order Date]],"mmmm")</f>
        <v>February</v>
      </c>
      <c r="P1044" t="str">
        <f>IF(orders[[#This Row],[Customer Gender]]="M","Male", IF(orders[[#This Row],[Customer Gender]]="F","Female", IF(orders[[#This Row],[Customer Gender]]= "O", "Other","Unknown")))</f>
        <v>Male</v>
      </c>
    </row>
    <row r="1045" spans="1:16"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s="12" t="str">
        <f>TEXT(orders[[#This Row],[Order Date]],"mmmm")</f>
        <v>February</v>
      </c>
      <c r="P1045" t="str">
        <f>IF(orders[[#This Row],[Customer Gender]]="M","Male", IF(orders[[#This Row],[Customer Gender]]="F","Female", IF(orders[[#This Row],[Customer Gender]]= "O", "Other","Unknown")))</f>
        <v>Female</v>
      </c>
    </row>
    <row r="1046" spans="1:16"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s="12" t="str">
        <f>TEXT(orders[[#This Row],[Order Date]],"mmmm")</f>
        <v>February</v>
      </c>
      <c r="P1046" t="str">
        <f>IF(orders[[#This Row],[Customer Gender]]="M","Male", IF(orders[[#This Row],[Customer Gender]]="F","Female", IF(orders[[#This Row],[Customer Gender]]= "O", "Other","Unknown")))</f>
        <v>Male</v>
      </c>
    </row>
    <row r="1047" spans="1:16"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s="12" t="str">
        <f>TEXT(orders[[#This Row],[Order Date]],"mmmm")</f>
        <v>February</v>
      </c>
      <c r="P1047" t="str">
        <f>IF(orders[[#This Row],[Customer Gender]]="M","Male", IF(orders[[#This Row],[Customer Gender]]="F","Female", IF(orders[[#This Row],[Customer Gender]]= "O", "Other","Unknown")))</f>
        <v>Female</v>
      </c>
    </row>
    <row r="1048" spans="1:16"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s="12" t="str">
        <f>TEXT(orders[[#This Row],[Order Date]],"mmmm")</f>
        <v>February</v>
      </c>
      <c r="P1048" t="str">
        <f>IF(orders[[#This Row],[Customer Gender]]="M","Male", IF(orders[[#This Row],[Customer Gender]]="F","Female", IF(orders[[#This Row],[Customer Gender]]= "O", "Other","Unknown")))</f>
        <v>Female</v>
      </c>
    </row>
    <row r="1049" spans="1:16"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s="12" t="str">
        <f>TEXT(orders[[#This Row],[Order Date]],"mmmm")</f>
        <v>February</v>
      </c>
      <c r="P1049" t="str">
        <f>IF(orders[[#This Row],[Customer Gender]]="M","Male", IF(orders[[#This Row],[Customer Gender]]="F","Female", IF(orders[[#This Row],[Customer Gender]]= "O", "Other","Unknown")))</f>
        <v>Female</v>
      </c>
    </row>
    <row r="1050" spans="1:16"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s="12" t="str">
        <f>TEXT(orders[[#This Row],[Order Date]],"mmmm")</f>
        <v>February</v>
      </c>
      <c r="P1050" t="str">
        <f>IF(orders[[#This Row],[Customer Gender]]="M","Male", IF(orders[[#This Row],[Customer Gender]]="F","Female", IF(orders[[#This Row],[Customer Gender]]= "O", "Other","Unknown")))</f>
        <v>Female</v>
      </c>
    </row>
    <row r="1051" spans="1:16"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s="12" t="str">
        <f>TEXT(orders[[#This Row],[Order Date]],"mmmm")</f>
        <v>February</v>
      </c>
      <c r="P1051" t="str">
        <f>IF(orders[[#This Row],[Customer Gender]]="M","Male", IF(orders[[#This Row],[Customer Gender]]="F","Female", IF(orders[[#This Row],[Customer Gender]]= "O", "Other","Unknown")))</f>
        <v>Male</v>
      </c>
    </row>
    <row r="1052" spans="1:16"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s="12" t="str">
        <f>TEXT(orders[[#This Row],[Order Date]],"mmmm")</f>
        <v>February</v>
      </c>
      <c r="P1052" t="str">
        <f>IF(orders[[#This Row],[Customer Gender]]="M","Male", IF(orders[[#This Row],[Customer Gender]]="F","Female", IF(orders[[#This Row],[Customer Gender]]= "O", "Other","Unknown")))</f>
        <v>Male</v>
      </c>
    </row>
    <row r="1053" spans="1:16"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s="12" t="str">
        <f>TEXT(orders[[#This Row],[Order Date]],"mmmm")</f>
        <v>February</v>
      </c>
      <c r="P1053" t="str">
        <f>IF(orders[[#This Row],[Customer Gender]]="M","Male", IF(orders[[#This Row],[Customer Gender]]="F","Female", IF(orders[[#This Row],[Customer Gender]]= "O", "Other","Unknown")))</f>
        <v>Female</v>
      </c>
    </row>
    <row r="1054" spans="1:16"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s="12" t="str">
        <f>TEXT(orders[[#This Row],[Order Date]],"mmmm")</f>
        <v>February</v>
      </c>
      <c r="P1054" t="str">
        <f>IF(orders[[#This Row],[Customer Gender]]="M","Male", IF(orders[[#This Row],[Customer Gender]]="F","Female", IF(orders[[#This Row],[Customer Gender]]= "O", "Other","Unknown")))</f>
        <v>Male</v>
      </c>
    </row>
    <row r="1055" spans="1:16"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s="12" t="str">
        <f>TEXT(orders[[#This Row],[Order Date]],"mmmm")</f>
        <v>February</v>
      </c>
      <c r="P1055" t="str">
        <f>IF(orders[[#This Row],[Customer Gender]]="M","Male", IF(orders[[#This Row],[Customer Gender]]="F","Female", IF(orders[[#This Row],[Customer Gender]]= "O", "Other","Unknown")))</f>
        <v>Female</v>
      </c>
    </row>
    <row r="1056" spans="1:16"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s="12" t="str">
        <f>TEXT(orders[[#This Row],[Order Date]],"mmmm")</f>
        <v>February</v>
      </c>
      <c r="P1056" t="str">
        <f>IF(orders[[#This Row],[Customer Gender]]="M","Male", IF(orders[[#This Row],[Customer Gender]]="F","Female", IF(orders[[#This Row],[Customer Gender]]= "O", "Other","Unknown")))</f>
        <v>Male</v>
      </c>
    </row>
    <row r="1057" spans="1:16"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s="12" t="str">
        <f>TEXT(orders[[#This Row],[Order Date]],"mmmm")</f>
        <v>February</v>
      </c>
      <c r="P1057" t="str">
        <f>IF(orders[[#This Row],[Customer Gender]]="M","Male", IF(orders[[#This Row],[Customer Gender]]="F","Female", IF(orders[[#This Row],[Customer Gender]]= "O", "Other","Unknown")))</f>
        <v>Male</v>
      </c>
    </row>
    <row r="1058" spans="1:16"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s="12" t="str">
        <f>TEXT(orders[[#This Row],[Order Date]],"mmmm")</f>
        <v>February</v>
      </c>
      <c r="P1058" t="str">
        <f>IF(orders[[#This Row],[Customer Gender]]="M","Male", IF(orders[[#This Row],[Customer Gender]]="F","Female", IF(orders[[#This Row],[Customer Gender]]= "O", "Other","Unknown")))</f>
        <v>Female</v>
      </c>
    </row>
    <row r="1059" spans="1:16"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s="12" t="str">
        <f>TEXT(orders[[#This Row],[Order Date]],"mmmm")</f>
        <v>February</v>
      </c>
      <c r="P1059" t="str">
        <f>IF(orders[[#This Row],[Customer Gender]]="M","Male", IF(orders[[#This Row],[Customer Gender]]="F","Female", IF(orders[[#This Row],[Customer Gender]]= "O", "Other","Unknown")))</f>
        <v>Female</v>
      </c>
    </row>
    <row r="1060" spans="1:16"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s="12" t="str">
        <f>TEXT(orders[[#This Row],[Order Date]],"mmmm")</f>
        <v>February</v>
      </c>
      <c r="P1060" t="str">
        <f>IF(orders[[#This Row],[Customer Gender]]="M","Male", IF(orders[[#This Row],[Customer Gender]]="F","Female", IF(orders[[#This Row],[Customer Gender]]= "O", "Other","Unknown")))</f>
        <v>Female</v>
      </c>
    </row>
    <row r="1061" spans="1:16"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s="12" t="str">
        <f>TEXT(orders[[#This Row],[Order Date]],"mmmm")</f>
        <v>February</v>
      </c>
      <c r="P1061" t="str">
        <f>IF(orders[[#This Row],[Customer Gender]]="M","Male", IF(orders[[#This Row],[Customer Gender]]="F","Female", IF(orders[[#This Row],[Customer Gender]]= "O", "Other","Unknown")))</f>
        <v>Male</v>
      </c>
    </row>
    <row r="1062" spans="1:16" hidden="1"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s="12" t="str">
        <f>TEXT(orders[[#This Row],[Order Date]],"mmmm")</f>
        <v>February</v>
      </c>
      <c r="P1062" t="str">
        <f>IF(orders[[#This Row],[Customer Gender]]="M","Male", IF(orders[[#This Row],[Customer Gender]]="F","Female", IF(orders[[#This Row],[Customer Gender]]= "O", "Other","Unknown")))</f>
        <v>Unknown</v>
      </c>
    </row>
    <row r="1063" spans="1:16"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s="12" t="str">
        <f>TEXT(orders[[#This Row],[Order Date]],"mmmm")</f>
        <v>February</v>
      </c>
      <c r="P1063" t="str">
        <f>IF(orders[[#This Row],[Customer Gender]]="M","Male", IF(orders[[#This Row],[Customer Gender]]="F","Female", IF(orders[[#This Row],[Customer Gender]]= "O", "Other","Unknown")))</f>
        <v>Male</v>
      </c>
    </row>
    <row r="1064" spans="1:16"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s="12" t="str">
        <f>TEXT(orders[[#This Row],[Order Date]],"mmmm")</f>
        <v>February</v>
      </c>
      <c r="P1064" t="str">
        <f>IF(orders[[#This Row],[Customer Gender]]="M","Male", IF(orders[[#This Row],[Customer Gender]]="F","Female", IF(orders[[#This Row],[Customer Gender]]= "O", "Other","Unknown")))</f>
        <v>Male</v>
      </c>
    </row>
    <row r="1065" spans="1:16"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s="12" t="str">
        <f>TEXT(orders[[#This Row],[Order Date]],"mmmm")</f>
        <v>February</v>
      </c>
      <c r="P1065" t="str">
        <f>IF(orders[[#This Row],[Customer Gender]]="M","Male", IF(orders[[#This Row],[Customer Gender]]="F","Female", IF(orders[[#This Row],[Customer Gender]]= "O", "Other","Unknown")))</f>
        <v>Female</v>
      </c>
    </row>
    <row r="1066" spans="1:16"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s="12" t="str">
        <f>TEXT(orders[[#This Row],[Order Date]],"mmmm")</f>
        <v>February</v>
      </c>
      <c r="P1066" t="str">
        <f>IF(orders[[#This Row],[Customer Gender]]="M","Male", IF(orders[[#This Row],[Customer Gender]]="F","Female", IF(orders[[#This Row],[Customer Gender]]= "O", "Other","Unknown")))</f>
        <v>Male</v>
      </c>
    </row>
    <row r="1067" spans="1:16"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s="12" t="str">
        <f>TEXT(orders[[#This Row],[Order Date]],"mmmm")</f>
        <v>February</v>
      </c>
      <c r="P1067" t="str">
        <f>IF(orders[[#This Row],[Customer Gender]]="M","Male", IF(orders[[#This Row],[Customer Gender]]="F","Female", IF(orders[[#This Row],[Customer Gender]]= "O", "Other","Unknown")))</f>
        <v>Male</v>
      </c>
    </row>
    <row r="1068" spans="1:16"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s="12" t="str">
        <f>TEXT(orders[[#This Row],[Order Date]],"mmmm")</f>
        <v>February</v>
      </c>
      <c r="P1068" t="str">
        <f>IF(orders[[#This Row],[Customer Gender]]="M","Male", IF(orders[[#This Row],[Customer Gender]]="F","Female", IF(orders[[#This Row],[Customer Gender]]= "O", "Other","Unknown")))</f>
        <v>Female</v>
      </c>
    </row>
    <row r="1069" spans="1:16"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s="12" t="str">
        <f>TEXT(orders[[#This Row],[Order Date]],"mmmm")</f>
        <v>February</v>
      </c>
      <c r="P1069" t="str">
        <f>IF(orders[[#This Row],[Customer Gender]]="M","Male", IF(orders[[#This Row],[Customer Gender]]="F","Female", IF(orders[[#This Row],[Customer Gender]]= "O", "Other","Unknown")))</f>
        <v>Male</v>
      </c>
    </row>
    <row r="1070" spans="1:16"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s="12" t="str">
        <f>TEXT(orders[[#This Row],[Order Date]],"mmmm")</f>
        <v>February</v>
      </c>
      <c r="P1070" t="str">
        <f>IF(orders[[#This Row],[Customer Gender]]="M","Male", IF(orders[[#This Row],[Customer Gender]]="F","Female", IF(orders[[#This Row],[Customer Gender]]= "O", "Other","Unknown")))</f>
        <v>Female</v>
      </c>
    </row>
    <row r="1071" spans="1:16"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s="12" t="str">
        <f>TEXT(orders[[#This Row],[Order Date]],"mmmm")</f>
        <v>February</v>
      </c>
      <c r="P1071" t="str">
        <f>IF(orders[[#This Row],[Customer Gender]]="M","Male", IF(orders[[#This Row],[Customer Gender]]="F","Female", IF(orders[[#This Row],[Customer Gender]]= "O", "Other","Unknown")))</f>
        <v>Female</v>
      </c>
    </row>
    <row r="1072" spans="1:16"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s="12" t="str">
        <f>TEXT(orders[[#This Row],[Order Date]],"mmmm")</f>
        <v>February</v>
      </c>
      <c r="P1072" t="str">
        <f>IF(orders[[#This Row],[Customer Gender]]="M","Male", IF(orders[[#This Row],[Customer Gender]]="F","Female", IF(orders[[#This Row],[Customer Gender]]= "O", "Other","Unknown")))</f>
        <v>Male</v>
      </c>
    </row>
    <row r="1073" spans="1:16"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s="12" t="str">
        <f>TEXT(orders[[#This Row],[Order Date]],"mmmm")</f>
        <v>February</v>
      </c>
      <c r="P1073" t="str">
        <f>IF(orders[[#This Row],[Customer Gender]]="M","Male", IF(orders[[#This Row],[Customer Gender]]="F","Female", IF(orders[[#This Row],[Customer Gender]]= "O", "Other","Unknown")))</f>
        <v>Female</v>
      </c>
    </row>
    <row r="1074" spans="1:16"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s="12" t="str">
        <f>TEXT(orders[[#This Row],[Order Date]],"mmmm")</f>
        <v>February</v>
      </c>
      <c r="P1074" t="str">
        <f>IF(orders[[#This Row],[Customer Gender]]="M","Male", IF(orders[[#This Row],[Customer Gender]]="F","Female", IF(orders[[#This Row],[Customer Gender]]= "O", "Other","Unknown")))</f>
        <v>Male</v>
      </c>
    </row>
    <row r="1075" spans="1:16"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s="12" t="str">
        <f>TEXT(orders[[#This Row],[Order Date]],"mmmm")</f>
        <v>February</v>
      </c>
      <c r="P1075" t="str">
        <f>IF(orders[[#This Row],[Customer Gender]]="M","Male", IF(orders[[#This Row],[Customer Gender]]="F","Female", IF(orders[[#This Row],[Customer Gender]]= "O", "Other","Unknown")))</f>
        <v>Male</v>
      </c>
    </row>
    <row r="1076" spans="1:16"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s="12" t="str">
        <f>TEXT(orders[[#This Row],[Order Date]],"mmmm")</f>
        <v>February</v>
      </c>
      <c r="P1076" t="str">
        <f>IF(orders[[#This Row],[Customer Gender]]="M","Male", IF(orders[[#This Row],[Customer Gender]]="F","Female", IF(orders[[#This Row],[Customer Gender]]= "O", "Other","Unknown")))</f>
        <v>Male</v>
      </c>
    </row>
    <row r="1077" spans="1:16"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s="12" t="str">
        <f>TEXT(orders[[#This Row],[Order Date]],"mmmm")</f>
        <v>February</v>
      </c>
      <c r="P1077" t="str">
        <f>IF(orders[[#This Row],[Customer Gender]]="M","Male", IF(orders[[#This Row],[Customer Gender]]="F","Female", IF(orders[[#This Row],[Customer Gender]]= "O", "Other","Unknown")))</f>
        <v>Male</v>
      </c>
    </row>
    <row r="1078" spans="1:16"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s="12" t="str">
        <f>TEXT(orders[[#This Row],[Order Date]],"mmmm")</f>
        <v>February</v>
      </c>
      <c r="P1078" t="str">
        <f>IF(orders[[#This Row],[Customer Gender]]="M","Male", IF(orders[[#This Row],[Customer Gender]]="F","Female", IF(orders[[#This Row],[Customer Gender]]= "O", "Other","Unknown")))</f>
        <v>Male</v>
      </c>
    </row>
    <row r="1079" spans="1:16"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s="12" t="str">
        <f>TEXT(orders[[#This Row],[Order Date]],"mmmm")</f>
        <v>February</v>
      </c>
      <c r="P1079" t="str">
        <f>IF(orders[[#This Row],[Customer Gender]]="M","Male", IF(orders[[#This Row],[Customer Gender]]="F","Female", IF(orders[[#This Row],[Customer Gender]]= "O", "Other","Unknown")))</f>
        <v>Male</v>
      </c>
    </row>
    <row r="1080" spans="1:16"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s="12" t="str">
        <f>TEXT(orders[[#This Row],[Order Date]],"mmmm")</f>
        <v>February</v>
      </c>
      <c r="P1080" t="str">
        <f>IF(orders[[#This Row],[Customer Gender]]="M","Male", IF(orders[[#This Row],[Customer Gender]]="F","Female", IF(orders[[#This Row],[Customer Gender]]= "O", "Other","Unknown")))</f>
        <v>Male</v>
      </c>
    </row>
    <row r="1081" spans="1:16"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s="12" t="str">
        <f>TEXT(orders[[#This Row],[Order Date]],"mmmm")</f>
        <v>February</v>
      </c>
      <c r="P1081" t="str">
        <f>IF(orders[[#This Row],[Customer Gender]]="M","Male", IF(orders[[#This Row],[Customer Gender]]="F","Female", IF(orders[[#This Row],[Customer Gender]]= "O", "Other","Unknown")))</f>
        <v>Male</v>
      </c>
    </row>
    <row r="1082" spans="1:16"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s="12" t="str">
        <f>TEXT(orders[[#This Row],[Order Date]],"mmmm")</f>
        <v>February</v>
      </c>
      <c r="P1082" t="str">
        <f>IF(orders[[#This Row],[Customer Gender]]="M","Male", IF(orders[[#This Row],[Customer Gender]]="F","Female", IF(orders[[#This Row],[Customer Gender]]= "O", "Other","Unknown")))</f>
        <v>Female</v>
      </c>
    </row>
    <row r="1083" spans="1:16"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s="12" t="str">
        <f>TEXT(orders[[#This Row],[Order Date]],"mmmm")</f>
        <v>February</v>
      </c>
      <c r="P1083" t="str">
        <f>IF(orders[[#This Row],[Customer Gender]]="M","Male", IF(orders[[#This Row],[Customer Gender]]="F","Female", IF(orders[[#This Row],[Customer Gender]]= "O", "Other","Unknown")))</f>
        <v>Female</v>
      </c>
    </row>
    <row r="1084" spans="1:16"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s="12" t="str">
        <f>TEXT(orders[[#This Row],[Order Date]],"mmmm")</f>
        <v>February</v>
      </c>
      <c r="P1084" t="str">
        <f>IF(orders[[#This Row],[Customer Gender]]="M","Male", IF(orders[[#This Row],[Customer Gender]]="F","Female", IF(orders[[#This Row],[Customer Gender]]= "O", "Other","Unknown")))</f>
        <v>Female</v>
      </c>
    </row>
    <row r="1085" spans="1:16"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s="12" t="str">
        <f>TEXT(orders[[#This Row],[Order Date]],"mmmm")</f>
        <v>February</v>
      </c>
      <c r="P1085" t="str">
        <f>IF(orders[[#This Row],[Customer Gender]]="M","Male", IF(orders[[#This Row],[Customer Gender]]="F","Female", IF(orders[[#This Row],[Customer Gender]]= "O", "Other","Unknown")))</f>
        <v>Female</v>
      </c>
    </row>
    <row r="1086" spans="1:16"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s="12" t="str">
        <f>TEXT(orders[[#This Row],[Order Date]],"mmmm")</f>
        <v>February</v>
      </c>
      <c r="P1086" t="str">
        <f>IF(orders[[#This Row],[Customer Gender]]="M","Male", IF(orders[[#This Row],[Customer Gender]]="F","Female", IF(orders[[#This Row],[Customer Gender]]= "O", "Other","Unknown")))</f>
        <v>Female</v>
      </c>
    </row>
    <row r="1087" spans="1:16"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s="12" t="str">
        <f>TEXT(orders[[#This Row],[Order Date]],"mmmm")</f>
        <v>February</v>
      </c>
      <c r="P1087" t="str">
        <f>IF(orders[[#This Row],[Customer Gender]]="M","Male", IF(orders[[#This Row],[Customer Gender]]="F","Female", IF(orders[[#This Row],[Customer Gender]]= "O", "Other","Unknown")))</f>
        <v>Female</v>
      </c>
    </row>
    <row r="1088" spans="1:16"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s="12" t="str">
        <f>TEXT(orders[[#This Row],[Order Date]],"mmmm")</f>
        <v>February</v>
      </c>
      <c r="P1088" t="str">
        <f>IF(orders[[#This Row],[Customer Gender]]="M","Male", IF(orders[[#This Row],[Customer Gender]]="F","Female", IF(orders[[#This Row],[Customer Gender]]= "O", "Other","Unknown")))</f>
        <v>Female</v>
      </c>
    </row>
    <row r="1089" spans="1:16"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s="12" t="str">
        <f>TEXT(orders[[#This Row],[Order Date]],"mmmm")</f>
        <v>February</v>
      </c>
      <c r="P1089" t="str">
        <f>IF(orders[[#This Row],[Customer Gender]]="M","Male", IF(orders[[#This Row],[Customer Gender]]="F","Female", IF(orders[[#This Row],[Customer Gender]]= "O", "Other","Unknown")))</f>
        <v>Male</v>
      </c>
    </row>
    <row r="1090" spans="1:16"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s="12" t="str">
        <f>TEXT(orders[[#This Row],[Order Date]],"mmmm")</f>
        <v>February</v>
      </c>
      <c r="P1090" t="str">
        <f>IF(orders[[#This Row],[Customer Gender]]="M","Male", IF(orders[[#This Row],[Customer Gender]]="F","Female", IF(orders[[#This Row],[Customer Gender]]= "O", "Other","Unknown")))</f>
        <v>Female</v>
      </c>
    </row>
    <row r="1091" spans="1:16"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s="12" t="str">
        <f>TEXT(orders[[#This Row],[Order Date]],"mmmm")</f>
        <v>February</v>
      </c>
      <c r="P1091" t="str">
        <f>IF(orders[[#This Row],[Customer Gender]]="M","Male", IF(orders[[#This Row],[Customer Gender]]="F","Female", IF(orders[[#This Row],[Customer Gender]]= "O", "Other","Unknown")))</f>
        <v>Male</v>
      </c>
    </row>
    <row r="1092" spans="1:16" hidden="1"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s="12" t="str">
        <f>TEXT(orders[[#This Row],[Order Date]],"mmmm")</f>
        <v>February</v>
      </c>
      <c r="P1092" t="str">
        <f>IF(orders[[#This Row],[Customer Gender]]="M","Male", IF(orders[[#This Row],[Customer Gender]]="F","Female", IF(orders[[#This Row],[Customer Gender]]= "O", "Other","Unknown")))</f>
        <v>Unknown</v>
      </c>
    </row>
    <row r="1093" spans="1:16"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s="12" t="str">
        <f>TEXT(orders[[#This Row],[Order Date]],"mmmm")</f>
        <v>February</v>
      </c>
      <c r="P1093" t="str">
        <f>IF(orders[[#This Row],[Customer Gender]]="M","Male", IF(orders[[#This Row],[Customer Gender]]="F","Female", IF(orders[[#This Row],[Customer Gender]]= "O", "Other","Unknown")))</f>
        <v>Female</v>
      </c>
    </row>
    <row r="1094" spans="1:16"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s="12" t="str">
        <f>TEXT(orders[[#This Row],[Order Date]],"mmmm")</f>
        <v>February</v>
      </c>
      <c r="P1094" t="str">
        <f>IF(orders[[#This Row],[Customer Gender]]="M","Male", IF(orders[[#This Row],[Customer Gender]]="F","Female", IF(orders[[#This Row],[Customer Gender]]= "O", "Other","Unknown")))</f>
        <v>Female</v>
      </c>
    </row>
    <row r="1095" spans="1:16"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s="12" t="str">
        <f>TEXT(orders[[#This Row],[Order Date]],"mmmm")</f>
        <v>February</v>
      </c>
      <c r="P1095" t="str">
        <f>IF(orders[[#This Row],[Customer Gender]]="M","Male", IF(orders[[#This Row],[Customer Gender]]="F","Female", IF(orders[[#This Row],[Customer Gender]]= "O", "Other","Unknown")))</f>
        <v>Male</v>
      </c>
    </row>
    <row r="1096" spans="1:16"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s="12" t="str">
        <f>TEXT(orders[[#This Row],[Order Date]],"mmmm")</f>
        <v>February</v>
      </c>
      <c r="P1096" t="str">
        <f>IF(orders[[#This Row],[Customer Gender]]="M","Male", IF(orders[[#This Row],[Customer Gender]]="F","Female", IF(orders[[#This Row],[Customer Gender]]= "O", "Other","Unknown")))</f>
        <v>Female</v>
      </c>
    </row>
    <row r="1097" spans="1:16"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s="12" t="str">
        <f>TEXT(orders[[#This Row],[Order Date]],"mmmm")</f>
        <v>February</v>
      </c>
      <c r="P1097" t="str">
        <f>IF(orders[[#This Row],[Customer Gender]]="M","Male", IF(orders[[#This Row],[Customer Gender]]="F","Female", IF(orders[[#This Row],[Customer Gender]]= "O", "Other","Unknown")))</f>
        <v>Female</v>
      </c>
    </row>
    <row r="1098" spans="1:16"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s="12" t="str">
        <f>TEXT(orders[[#This Row],[Order Date]],"mmmm")</f>
        <v>February</v>
      </c>
      <c r="P1098" t="str">
        <f>IF(orders[[#This Row],[Customer Gender]]="M","Male", IF(orders[[#This Row],[Customer Gender]]="F","Female", IF(orders[[#This Row],[Customer Gender]]= "O", "Other","Unknown")))</f>
        <v>Female</v>
      </c>
    </row>
    <row r="1099" spans="1:16"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s="12" t="str">
        <f>TEXT(orders[[#This Row],[Order Date]],"mmmm")</f>
        <v>February</v>
      </c>
      <c r="P1099" t="str">
        <f>IF(orders[[#This Row],[Customer Gender]]="M","Male", IF(orders[[#This Row],[Customer Gender]]="F","Female", IF(orders[[#This Row],[Customer Gender]]= "O", "Other","Unknown")))</f>
        <v>Male</v>
      </c>
    </row>
    <row r="1100" spans="1:16"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s="12" t="str">
        <f>TEXT(orders[[#This Row],[Order Date]],"mmmm")</f>
        <v>February</v>
      </c>
      <c r="P1100" t="str">
        <f>IF(orders[[#This Row],[Customer Gender]]="M","Male", IF(orders[[#This Row],[Customer Gender]]="F","Female", IF(orders[[#This Row],[Customer Gender]]= "O", "Other","Unknown")))</f>
        <v>Female</v>
      </c>
    </row>
    <row r="1101" spans="1:16"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s="12" t="str">
        <f>TEXT(orders[[#This Row],[Order Date]],"mmmm")</f>
        <v>February</v>
      </c>
      <c r="P1101" t="str">
        <f>IF(orders[[#This Row],[Customer Gender]]="M","Male", IF(orders[[#This Row],[Customer Gender]]="F","Female", IF(orders[[#This Row],[Customer Gender]]= "O", "Other","Unknown")))</f>
        <v>Female</v>
      </c>
    </row>
    <row r="1102" spans="1:16"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s="12" t="str">
        <f>TEXT(orders[[#This Row],[Order Date]],"mmmm")</f>
        <v>February</v>
      </c>
      <c r="P1102" t="str">
        <f>IF(orders[[#This Row],[Customer Gender]]="M","Male", IF(orders[[#This Row],[Customer Gender]]="F","Female", IF(orders[[#This Row],[Customer Gender]]= "O", "Other","Unknown")))</f>
        <v>Female</v>
      </c>
    </row>
    <row r="1103" spans="1:16"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s="12" t="str">
        <f>TEXT(orders[[#This Row],[Order Date]],"mmmm")</f>
        <v>February</v>
      </c>
      <c r="P1103" t="str">
        <f>IF(orders[[#This Row],[Customer Gender]]="M","Male", IF(orders[[#This Row],[Customer Gender]]="F","Female", IF(orders[[#This Row],[Customer Gender]]= "O", "Other","Unknown")))</f>
        <v>Male</v>
      </c>
    </row>
    <row r="1104" spans="1:16" hidden="1"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s="12" t="str">
        <f>TEXT(orders[[#This Row],[Order Date]],"mmmm")</f>
        <v>February</v>
      </c>
      <c r="P1104" t="str">
        <f>IF(orders[[#This Row],[Customer Gender]]="M","Male", IF(orders[[#This Row],[Customer Gender]]="F","Female", IF(orders[[#This Row],[Customer Gender]]= "O", "Other","Unknown")))</f>
        <v>Unknown</v>
      </c>
    </row>
    <row r="1105" spans="1:16"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s="12" t="str">
        <f>TEXT(orders[[#This Row],[Order Date]],"mmmm")</f>
        <v>February</v>
      </c>
      <c r="P1105" t="str">
        <f>IF(orders[[#This Row],[Customer Gender]]="M","Male", IF(orders[[#This Row],[Customer Gender]]="F","Female", IF(orders[[#This Row],[Customer Gender]]= "O", "Other","Unknown")))</f>
        <v>Female</v>
      </c>
    </row>
    <row r="1106" spans="1:16"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s="12" t="str">
        <f>TEXT(orders[[#This Row],[Order Date]],"mmmm")</f>
        <v>February</v>
      </c>
      <c r="P1106" t="str">
        <f>IF(orders[[#This Row],[Customer Gender]]="M","Male", IF(orders[[#This Row],[Customer Gender]]="F","Female", IF(orders[[#This Row],[Customer Gender]]= "O", "Other","Unknown")))</f>
        <v>Male</v>
      </c>
    </row>
    <row r="1107" spans="1:16"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s="12" t="str">
        <f>TEXT(orders[[#This Row],[Order Date]],"mmmm")</f>
        <v>February</v>
      </c>
      <c r="P1107" t="str">
        <f>IF(orders[[#This Row],[Customer Gender]]="M","Male", IF(orders[[#This Row],[Customer Gender]]="F","Female", IF(orders[[#This Row],[Customer Gender]]= "O", "Other","Unknown")))</f>
        <v>Other</v>
      </c>
    </row>
    <row r="1108" spans="1:16"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s="12" t="str">
        <f>TEXT(orders[[#This Row],[Order Date]],"mmmm")</f>
        <v>February</v>
      </c>
      <c r="P1108" t="str">
        <f>IF(orders[[#This Row],[Customer Gender]]="M","Male", IF(orders[[#This Row],[Customer Gender]]="F","Female", IF(orders[[#This Row],[Customer Gender]]= "O", "Other","Unknown")))</f>
        <v>Male</v>
      </c>
    </row>
    <row r="1109" spans="1:16"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s="12" t="str">
        <f>TEXT(orders[[#This Row],[Order Date]],"mmmm")</f>
        <v>February</v>
      </c>
      <c r="P1109" t="str">
        <f>IF(orders[[#This Row],[Customer Gender]]="M","Male", IF(orders[[#This Row],[Customer Gender]]="F","Female", IF(orders[[#This Row],[Customer Gender]]= "O", "Other","Unknown")))</f>
        <v>Female</v>
      </c>
    </row>
    <row r="1110" spans="1:16"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s="12" t="str">
        <f>TEXT(orders[[#This Row],[Order Date]],"mmmm")</f>
        <v>February</v>
      </c>
      <c r="P1110" t="str">
        <f>IF(orders[[#This Row],[Customer Gender]]="M","Male", IF(orders[[#This Row],[Customer Gender]]="F","Female", IF(orders[[#This Row],[Customer Gender]]= "O", "Other","Unknown")))</f>
        <v>Female</v>
      </c>
    </row>
    <row r="1111" spans="1:16"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s="12" t="str">
        <f>TEXT(orders[[#This Row],[Order Date]],"mmmm")</f>
        <v>February</v>
      </c>
      <c r="P1111" t="str">
        <f>IF(orders[[#This Row],[Customer Gender]]="M","Male", IF(orders[[#This Row],[Customer Gender]]="F","Female", IF(orders[[#This Row],[Customer Gender]]= "O", "Other","Unknown")))</f>
        <v>Female</v>
      </c>
    </row>
    <row r="1112" spans="1:16"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s="12" t="str">
        <f>TEXT(orders[[#This Row],[Order Date]],"mmmm")</f>
        <v>February</v>
      </c>
      <c r="P1112" t="str">
        <f>IF(orders[[#This Row],[Customer Gender]]="M","Male", IF(orders[[#This Row],[Customer Gender]]="F","Female", IF(orders[[#This Row],[Customer Gender]]= "O", "Other","Unknown")))</f>
        <v>Male</v>
      </c>
    </row>
    <row r="1113" spans="1:16"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s="12" t="str">
        <f>TEXT(orders[[#This Row],[Order Date]],"mmmm")</f>
        <v>February</v>
      </c>
      <c r="P1113" t="str">
        <f>IF(orders[[#This Row],[Customer Gender]]="M","Male", IF(orders[[#This Row],[Customer Gender]]="F","Female", IF(orders[[#This Row],[Customer Gender]]= "O", "Other","Unknown")))</f>
        <v>Other</v>
      </c>
    </row>
    <row r="1114" spans="1:16"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s="12" t="str">
        <f>TEXT(orders[[#This Row],[Order Date]],"mmmm")</f>
        <v>February</v>
      </c>
      <c r="P1114" t="str">
        <f>IF(orders[[#This Row],[Customer Gender]]="M","Male", IF(orders[[#This Row],[Customer Gender]]="F","Female", IF(orders[[#This Row],[Customer Gender]]= "O", "Other","Unknown")))</f>
        <v>Female</v>
      </c>
    </row>
    <row r="1115" spans="1:16"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s="12" t="str">
        <f>TEXT(orders[[#This Row],[Order Date]],"mmmm")</f>
        <v>February</v>
      </c>
      <c r="P1115" t="str">
        <f>IF(orders[[#This Row],[Customer Gender]]="M","Male", IF(orders[[#This Row],[Customer Gender]]="F","Female", IF(orders[[#This Row],[Customer Gender]]= "O", "Other","Unknown")))</f>
        <v>Female</v>
      </c>
    </row>
    <row r="1116" spans="1:16"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s="12" t="str">
        <f>TEXT(orders[[#This Row],[Order Date]],"mmmm")</f>
        <v>February</v>
      </c>
      <c r="P1116" t="str">
        <f>IF(orders[[#This Row],[Customer Gender]]="M","Male", IF(orders[[#This Row],[Customer Gender]]="F","Female", IF(orders[[#This Row],[Customer Gender]]= "O", "Other","Unknown")))</f>
        <v>Female</v>
      </c>
    </row>
    <row r="1117" spans="1:16"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s="12" t="str">
        <f>TEXT(orders[[#This Row],[Order Date]],"mmmm")</f>
        <v>February</v>
      </c>
      <c r="P1117" t="str">
        <f>IF(orders[[#This Row],[Customer Gender]]="M","Male", IF(orders[[#This Row],[Customer Gender]]="F","Female", IF(orders[[#This Row],[Customer Gender]]= "O", "Other","Unknown")))</f>
        <v>Female</v>
      </c>
    </row>
    <row r="1118" spans="1:16"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s="12" t="str">
        <f>TEXT(orders[[#This Row],[Order Date]],"mmmm")</f>
        <v>February</v>
      </c>
      <c r="P1118" t="str">
        <f>IF(orders[[#This Row],[Customer Gender]]="M","Male", IF(orders[[#This Row],[Customer Gender]]="F","Female", IF(orders[[#This Row],[Customer Gender]]= "O", "Other","Unknown")))</f>
        <v>Female</v>
      </c>
    </row>
    <row r="1119" spans="1:16"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s="12" t="str">
        <f>TEXT(orders[[#This Row],[Order Date]],"mmmm")</f>
        <v>February</v>
      </c>
      <c r="P1119" t="str">
        <f>IF(orders[[#This Row],[Customer Gender]]="M","Male", IF(orders[[#This Row],[Customer Gender]]="F","Female", IF(orders[[#This Row],[Customer Gender]]= "O", "Other","Unknown")))</f>
        <v>Female</v>
      </c>
    </row>
    <row r="1120" spans="1:16"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s="12" t="str">
        <f>TEXT(orders[[#This Row],[Order Date]],"mmmm")</f>
        <v>February</v>
      </c>
      <c r="P1120" t="str">
        <f>IF(orders[[#This Row],[Customer Gender]]="M","Male", IF(orders[[#This Row],[Customer Gender]]="F","Female", IF(orders[[#This Row],[Customer Gender]]= "O", "Other","Unknown")))</f>
        <v>Female</v>
      </c>
    </row>
    <row r="1121" spans="1:16"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s="12" t="str">
        <f>TEXT(orders[[#This Row],[Order Date]],"mmmm")</f>
        <v>February</v>
      </c>
      <c r="P1121" t="str">
        <f>IF(orders[[#This Row],[Customer Gender]]="M","Male", IF(orders[[#This Row],[Customer Gender]]="F","Female", IF(orders[[#This Row],[Customer Gender]]= "O", "Other","Unknown")))</f>
        <v>Female</v>
      </c>
    </row>
    <row r="1122" spans="1:16"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s="12" t="str">
        <f>TEXT(orders[[#This Row],[Order Date]],"mmmm")</f>
        <v>February</v>
      </c>
      <c r="P1122" t="str">
        <f>IF(orders[[#This Row],[Customer Gender]]="M","Male", IF(orders[[#This Row],[Customer Gender]]="F","Female", IF(orders[[#This Row],[Customer Gender]]= "O", "Other","Unknown")))</f>
        <v>Female</v>
      </c>
    </row>
    <row r="1123" spans="1:16"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s="12" t="str">
        <f>TEXT(orders[[#This Row],[Order Date]],"mmmm")</f>
        <v>February</v>
      </c>
      <c r="P1123" t="str">
        <f>IF(orders[[#This Row],[Customer Gender]]="M","Male", IF(orders[[#This Row],[Customer Gender]]="F","Female", IF(orders[[#This Row],[Customer Gender]]= "O", "Other","Unknown")))</f>
        <v>Male</v>
      </c>
    </row>
    <row r="1124" spans="1:16"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s="12" t="str">
        <f>TEXT(orders[[#This Row],[Order Date]],"mmmm")</f>
        <v>February</v>
      </c>
      <c r="P1124" t="str">
        <f>IF(orders[[#This Row],[Customer Gender]]="M","Male", IF(orders[[#This Row],[Customer Gender]]="F","Female", IF(orders[[#This Row],[Customer Gender]]= "O", "Other","Unknown")))</f>
        <v>Female</v>
      </c>
    </row>
    <row r="1125" spans="1:16"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s="12" t="str">
        <f>TEXT(orders[[#This Row],[Order Date]],"mmmm")</f>
        <v>February</v>
      </c>
      <c r="P1125" t="str">
        <f>IF(orders[[#This Row],[Customer Gender]]="M","Male", IF(orders[[#This Row],[Customer Gender]]="F","Female", IF(orders[[#This Row],[Customer Gender]]= "O", "Other","Unknown")))</f>
        <v>Male</v>
      </c>
    </row>
    <row r="1126" spans="1:16"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s="12" t="str">
        <f>TEXT(orders[[#This Row],[Order Date]],"mmmm")</f>
        <v>February</v>
      </c>
      <c r="P1126" t="str">
        <f>IF(orders[[#This Row],[Customer Gender]]="M","Male", IF(orders[[#This Row],[Customer Gender]]="F","Female", IF(orders[[#This Row],[Customer Gender]]= "O", "Other","Unknown")))</f>
        <v>Female</v>
      </c>
    </row>
    <row r="1127" spans="1:16"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s="12" t="str">
        <f>TEXT(orders[[#This Row],[Order Date]],"mmmm")</f>
        <v>February</v>
      </c>
      <c r="P1127" t="str">
        <f>IF(orders[[#This Row],[Customer Gender]]="M","Male", IF(orders[[#This Row],[Customer Gender]]="F","Female", IF(orders[[#This Row],[Customer Gender]]= "O", "Other","Unknown")))</f>
        <v>Female</v>
      </c>
    </row>
    <row r="1128" spans="1:16"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s="12" t="str">
        <f>TEXT(orders[[#This Row],[Order Date]],"mmmm")</f>
        <v>February</v>
      </c>
      <c r="P1128" t="str">
        <f>IF(orders[[#This Row],[Customer Gender]]="M","Male", IF(orders[[#This Row],[Customer Gender]]="F","Female", IF(orders[[#This Row],[Customer Gender]]= "O", "Other","Unknown")))</f>
        <v>Female</v>
      </c>
    </row>
    <row r="1129" spans="1:16"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s="12" t="str">
        <f>TEXT(orders[[#This Row],[Order Date]],"mmmm")</f>
        <v>February</v>
      </c>
      <c r="P1129" t="str">
        <f>IF(orders[[#This Row],[Customer Gender]]="M","Male", IF(orders[[#This Row],[Customer Gender]]="F","Female", IF(orders[[#This Row],[Customer Gender]]= "O", "Other","Unknown")))</f>
        <v>Female</v>
      </c>
    </row>
    <row r="1130" spans="1:16"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s="12" t="str">
        <f>TEXT(orders[[#This Row],[Order Date]],"mmmm")</f>
        <v>February</v>
      </c>
      <c r="P1130" t="str">
        <f>IF(orders[[#This Row],[Customer Gender]]="M","Male", IF(orders[[#This Row],[Customer Gender]]="F","Female", IF(orders[[#This Row],[Customer Gender]]= "O", "Other","Unknown")))</f>
        <v>Female</v>
      </c>
    </row>
    <row r="1131" spans="1:16"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s="12" t="str">
        <f>TEXT(orders[[#This Row],[Order Date]],"mmmm")</f>
        <v>February</v>
      </c>
      <c r="P1131" t="str">
        <f>IF(orders[[#This Row],[Customer Gender]]="M","Male", IF(orders[[#This Row],[Customer Gender]]="F","Female", IF(orders[[#This Row],[Customer Gender]]= "O", "Other","Unknown")))</f>
        <v>Female</v>
      </c>
    </row>
    <row r="1132" spans="1:16"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s="12" t="str">
        <f>TEXT(orders[[#This Row],[Order Date]],"mmmm")</f>
        <v>February</v>
      </c>
      <c r="P1132" t="str">
        <f>IF(orders[[#This Row],[Customer Gender]]="M","Male", IF(orders[[#This Row],[Customer Gender]]="F","Female", IF(orders[[#This Row],[Customer Gender]]= "O", "Other","Unknown")))</f>
        <v>Female</v>
      </c>
    </row>
    <row r="1133" spans="1:16"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s="12" t="str">
        <f>TEXT(orders[[#This Row],[Order Date]],"mmmm")</f>
        <v>February</v>
      </c>
      <c r="P1133" t="str">
        <f>IF(orders[[#This Row],[Customer Gender]]="M","Male", IF(orders[[#This Row],[Customer Gender]]="F","Female", IF(orders[[#This Row],[Customer Gender]]= "O", "Other","Unknown")))</f>
        <v>Male</v>
      </c>
    </row>
    <row r="1134" spans="1:16"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s="12" t="str">
        <f>TEXT(orders[[#This Row],[Order Date]],"mmmm")</f>
        <v>February</v>
      </c>
      <c r="P1134" t="str">
        <f>IF(orders[[#This Row],[Customer Gender]]="M","Male", IF(orders[[#This Row],[Customer Gender]]="F","Female", IF(orders[[#This Row],[Customer Gender]]= "O", "Other","Unknown")))</f>
        <v>Female</v>
      </c>
    </row>
    <row r="1135" spans="1:16"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s="12" t="str">
        <f>TEXT(orders[[#This Row],[Order Date]],"mmmm")</f>
        <v>February</v>
      </c>
      <c r="P1135" t="str">
        <f>IF(orders[[#This Row],[Customer Gender]]="M","Male", IF(orders[[#This Row],[Customer Gender]]="F","Female", IF(orders[[#This Row],[Customer Gender]]= "O", "Other","Unknown")))</f>
        <v>Female</v>
      </c>
    </row>
    <row r="1136" spans="1:16"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s="12" t="str">
        <f>TEXT(orders[[#This Row],[Order Date]],"mmmm")</f>
        <v>February</v>
      </c>
      <c r="P1136" t="str">
        <f>IF(orders[[#This Row],[Customer Gender]]="M","Male", IF(orders[[#This Row],[Customer Gender]]="F","Female", IF(orders[[#This Row],[Customer Gender]]= "O", "Other","Unknown")))</f>
        <v>Female</v>
      </c>
    </row>
    <row r="1137" spans="1:16"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s="12" t="str">
        <f>TEXT(orders[[#This Row],[Order Date]],"mmmm")</f>
        <v>February</v>
      </c>
      <c r="P1137" t="str">
        <f>IF(orders[[#This Row],[Customer Gender]]="M","Male", IF(orders[[#This Row],[Customer Gender]]="F","Female", IF(orders[[#This Row],[Customer Gender]]= "O", "Other","Unknown")))</f>
        <v>Male</v>
      </c>
    </row>
    <row r="1138" spans="1:16"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s="12" t="str">
        <f>TEXT(orders[[#This Row],[Order Date]],"mmmm")</f>
        <v>February</v>
      </c>
      <c r="P1138" t="str">
        <f>IF(orders[[#This Row],[Customer Gender]]="M","Male", IF(orders[[#This Row],[Customer Gender]]="F","Female", IF(orders[[#This Row],[Customer Gender]]= "O", "Other","Unknown")))</f>
        <v>Female</v>
      </c>
    </row>
    <row r="1139" spans="1:16"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s="12" t="str">
        <f>TEXT(orders[[#This Row],[Order Date]],"mmmm")</f>
        <v>February</v>
      </c>
      <c r="P1139" t="str">
        <f>IF(orders[[#This Row],[Customer Gender]]="M","Male", IF(orders[[#This Row],[Customer Gender]]="F","Female", IF(orders[[#This Row],[Customer Gender]]= "O", "Other","Unknown")))</f>
        <v>Female</v>
      </c>
    </row>
    <row r="1140" spans="1:16"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s="12" t="str">
        <f>TEXT(orders[[#This Row],[Order Date]],"mmmm")</f>
        <v>February</v>
      </c>
      <c r="P1140" t="str">
        <f>IF(orders[[#This Row],[Customer Gender]]="M","Male", IF(orders[[#This Row],[Customer Gender]]="F","Female", IF(orders[[#This Row],[Customer Gender]]= "O", "Other","Unknown")))</f>
        <v>Female</v>
      </c>
    </row>
    <row r="1141" spans="1:16"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s="12" t="str">
        <f>TEXT(orders[[#This Row],[Order Date]],"mmmm")</f>
        <v>February</v>
      </c>
      <c r="P1141" t="str">
        <f>IF(orders[[#This Row],[Customer Gender]]="M","Male", IF(orders[[#This Row],[Customer Gender]]="F","Female", IF(orders[[#This Row],[Customer Gender]]= "O", "Other","Unknown")))</f>
        <v>Male</v>
      </c>
    </row>
    <row r="1142" spans="1:16"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s="12" t="str">
        <f>TEXT(orders[[#This Row],[Order Date]],"mmmm")</f>
        <v>February</v>
      </c>
      <c r="P1142" t="str">
        <f>IF(orders[[#This Row],[Customer Gender]]="M","Male", IF(orders[[#This Row],[Customer Gender]]="F","Female", IF(orders[[#This Row],[Customer Gender]]= "O", "Other","Unknown")))</f>
        <v>Male</v>
      </c>
    </row>
    <row r="1143" spans="1:16"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s="12" t="str">
        <f>TEXT(orders[[#This Row],[Order Date]],"mmmm")</f>
        <v>February</v>
      </c>
      <c r="P1143" t="str">
        <f>IF(orders[[#This Row],[Customer Gender]]="M","Male", IF(orders[[#This Row],[Customer Gender]]="F","Female", IF(orders[[#This Row],[Customer Gender]]= "O", "Other","Unknown")))</f>
        <v>Female</v>
      </c>
    </row>
    <row r="1144" spans="1:16"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s="12" t="str">
        <f>TEXT(orders[[#This Row],[Order Date]],"mmmm")</f>
        <v>February</v>
      </c>
      <c r="P1144" t="str">
        <f>IF(orders[[#This Row],[Customer Gender]]="M","Male", IF(orders[[#This Row],[Customer Gender]]="F","Female", IF(orders[[#This Row],[Customer Gender]]= "O", "Other","Unknown")))</f>
        <v>Female</v>
      </c>
    </row>
    <row r="1145" spans="1:16"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s="12" t="str">
        <f>TEXT(orders[[#This Row],[Order Date]],"mmmm")</f>
        <v>February</v>
      </c>
      <c r="P1145" t="str">
        <f>IF(orders[[#This Row],[Customer Gender]]="M","Male", IF(orders[[#This Row],[Customer Gender]]="F","Female", IF(orders[[#This Row],[Customer Gender]]= "O", "Other","Unknown")))</f>
        <v>Male</v>
      </c>
    </row>
    <row r="1146" spans="1:16"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s="12" t="str">
        <f>TEXT(orders[[#This Row],[Order Date]],"mmmm")</f>
        <v>February</v>
      </c>
      <c r="P1146" t="str">
        <f>IF(orders[[#This Row],[Customer Gender]]="M","Male", IF(orders[[#This Row],[Customer Gender]]="F","Female", IF(orders[[#This Row],[Customer Gender]]= "O", "Other","Unknown")))</f>
        <v>Female</v>
      </c>
    </row>
    <row r="1147" spans="1:16"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s="12" t="str">
        <f>TEXT(orders[[#This Row],[Order Date]],"mmmm")</f>
        <v>February</v>
      </c>
      <c r="P1147" t="str">
        <f>IF(orders[[#This Row],[Customer Gender]]="M","Male", IF(orders[[#This Row],[Customer Gender]]="F","Female", IF(orders[[#This Row],[Customer Gender]]= "O", "Other","Unknown")))</f>
        <v>Female</v>
      </c>
    </row>
    <row r="1148" spans="1:16"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s="12" t="str">
        <f>TEXT(orders[[#This Row],[Order Date]],"mmmm")</f>
        <v>February</v>
      </c>
      <c r="P1148" t="str">
        <f>IF(orders[[#This Row],[Customer Gender]]="M","Male", IF(orders[[#This Row],[Customer Gender]]="F","Female", IF(orders[[#This Row],[Customer Gender]]= "O", "Other","Unknown")))</f>
        <v>Female</v>
      </c>
    </row>
    <row r="1149" spans="1:16"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s="12" t="str">
        <f>TEXT(orders[[#This Row],[Order Date]],"mmmm")</f>
        <v>February</v>
      </c>
      <c r="P1149" t="str">
        <f>IF(orders[[#This Row],[Customer Gender]]="M","Male", IF(orders[[#This Row],[Customer Gender]]="F","Female", IF(orders[[#This Row],[Customer Gender]]= "O", "Other","Unknown")))</f>
        <v>Female</v>
      </c>
    </row>
    <row r="1150" spans="1:16"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s="12" t="str">
        <f>TEXT(orders[[#This Row],[Order Date]],"mmmm")</f>
        <v>February</v>
      </c>
      <c r="P1150" t="str">
        <f>IF(orders[[#This Row],[Customer Gender]]="M","Male", IF(orders[[#This Row],[Customer Gender]]="F","Female", IF(orders[[#This Row],[Customer Gender]]= "O", "Other","Unknown")))</f>
        <v>Male</v>
      </c>
    </row>
    <row r="1151" spans="1:16"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s="12" t="str">
        <f>TEXT(orders[[#This Row],[Order Date]],"mmmm")</f>
        <v>February</v>
      </c>
      <c r="P1151" t="str">
        <f>IF(orders[[#This Row],[Customer Gender]]="M","Male", IF(orders[[#This Row],[Customer Gender]]="F","Female", IF(orders[[#This Row],[Customer Gender]]= "O", "Other","Unknown")))</f>
        <v>Male</v>
      </c>
    </row>
    <row r="1152" spans="1:16"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s="12" t="str">
        <f>TEXT(orders[[#This Row],[Order Date]],"mmmm")</f>
        <v>February</v>
      </c>
      <c r="P1152" t="str">
        <f>IF(orders[[#This Row],[Customer Gender]]="M","Male", IF(orders[[#This Row],[Customer Gender]]="F","Female", IF(orders[[#This Row],[Customer Gender]]= "O", "Other","Unknown")))</f>
        <v>Female</v>
      </c>
    </row>
    <row r="1153" spans="1:16"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s="12" t="str">
        <f>TEXT(orders[[#This Row],[Order Date]],"mmmm")</f>
        <v>February</v>
      </c>
      <c r="P1153" t="str">
        <f>IF(orders[[#This Row],[Customer Gender]]="M","Male", IF(orders[[#This Row],[Customer Gender]]="F","Female", IF(orders[[#This Row],[Customer Gender]]= "O", "Other","Unknown")))</f>
        <v>Female</v>
      </c>
    </row>
    <row r="1154" spans="1:16"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s="12" t="str">
        <f>TEXT(orders[[#This Row],[Order Date]],"mmmm")</f>
        <v>February</v>
      </c>
      <c r="P1154" t="str">
        <f>IF(orders[[#This Row],[Customer Gender]]="M","Male", IF(orders[[#This Row],[Customer Gender]]="F","Female", IF(orders[[#This Row],[Customer Gender]]= "O", "Other","Unknown")))</f>
        <v>Other</v>
      </c>
    </row>
    <row r="1155" spans="1:16"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s="12" t="str">
        <f>TEXT(orders[[#This Row],[Order Date]],"mmmm")</f>
        <v>February</v>
      </c>
      <c r="P1155" t="str">
        <f>IF(orders[[#This Row],[Customer Gender]]="M","Male", IF(orders[[#This Row],[Customer Gender]]="F","Female", IF(orders[[#This Row],[Customer Gender]]= "O", "Other","Unknown")))</f>
        <v>Male</v>
      </c>
    </row>
    <row r="1156" spans="1:16"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s="12" t="str">
        <f>TEXT(orders[[#This Row],[Order Date]],"mmmm")</f>
        <v>February</v>
      </c>
      <c r="P1156" t="str">
        <f>IF(orders[[#This Row],[Customer Gender]]="M","Male", IF(orders[[#This Row],[Customer Gender]]="F","Female", IF(orders[[#This Row],[Customer Gender]]= "O", "Other","Unknown")))</f>
        <v>Female</v>
      </c>
    </row>
    <row r="1157" spans="1:16"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s="12" t="str">
        <f>TEXT(orders[[#This Row],[Order Date]],"mmmm")</f>
        <v>February</v>
      </c>
      <c r="P1157" t="str">
        <f>IF(orders[[#This Row],[Customer Gender]]="M","Male", IF(orders[[#This Row],[Customer Gender]]="F","Female", IF(orders[[#This Row],[Customer Gender]]= "O", "Other","Unknown")))</f>
        <v>Male</v>
      </c>
    </row>
    <row r="1158" spans="1:16"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s="12" t="str">
        <f>TEXT(orders[[#This Row],[Order Date]],"mmmm")</f>
        <v>February</v>
      </c>
      <c r="P1158" t="str">
        <f>IF(orders[[#This Row],[Customer Gender]]="M","Male", IF(orders[[#This Row],[Customer Gender]]="F","Female", IF(orders[[#This Row],[Customer Gender]]= "O", "Other","Unknown")))</f>
        <v>Female</v>
      </c>
    </row>
    <row r="1159" spans="1:16"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s="12" t="str">
        <f>TEXT(orders[[#This Row],[Order Date]],"mmmm")</f>
        <v>February</v>
      </c>
      <c r="P1159" t="str">
        <f>IF(orders[[#This Row],[Customer Gender]]="M","Male", IF(orders[[#This Row],[Customer Gender]]="F","Female", IF(orders[[#This Row],[Customer Gender]]= "O", "Other","Unknown")))</f>
        <v>Female</v>
      </c>
    </row>
    <row r="1160" spans="1:16"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s="12" t="str">
        <f>TEXT(orders[[#This Row],[Order Date]],"mmmm")</f>
        <v>February</v>
      </c>
      <c r="P1160" t="str">
        <f>IF(orders[[#This Row],[Customer Gender]]="M","Male", IF(orders[[#This Row],[Customer Gender]]="F","Female", IF(orders[[#This Row],[Customer Gender]]= "O", "Other","Unknown")))</f>
        <v>Male</v>
      </c>
    </row>
    <row r="1161" spans="1:16" hidden="1"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s="12" t="str">
        <f>TEXT(orders[[#This Row],[Order Date]],"mmmm")</f>
        <v>February</v>
      </c>
      <c r="P1161" t="str">
        <f>IF(orders[[#This Row],[Customer Gender]]="M","Male", IF(orders[[#This Row],[Customer Gender]]="F","Female", IF(orders[[#This Row],[Customer Gender]]= "O", "Other","Unknown")))</f>
        <v>Unknown</v>
      </c>
    </row>
    <row r="1162" spans="1:16" hidden="1"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s="12" t="str">
        <f>TEXT(orders[[#This Row],[Order Date]],"mmmm")</f>
        <v>February</v>
      </c>
      <c r="P1162" t="str">
        <f>IF(orders[[#This Row],[Customer Gender]]="M","Male", IF(orders[[#This Row],[Customer Gender]]="F","Female", IF(orders[[#This Row],[Customer Gender]]= "O", "Other","Unknown")))</f>
        <v>Unknown</v>
      </c>
    </row>
    <row r="1163" spans="1:16"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s="12" t="str">
        <f>TEXT(orders[[#This Row],[Order Date]],"mmmm")</f>
        <v>February</v>
      </c>
      <c r="P1163" t="str">
        <f>IF(orders[[#This Row],[Customer Gender]]="M","Male", IF(orders[[#This Row],[Customer Gender]]="F","Female", IF(orders[[#This Row],[Customer Gender]]= "O", "Other","Unknown")))</f>
        <v>Male</v>
      </c>
    </row>
    <row r="1164" spans="1:16"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s="12" t="str">
        <f>TEXT(orders[[#This Row],[Order Date]],"mmmm")</f>
        <v>February</v>
      </c>
      <c r="P1164" t="str">
        <f>IF(orders[[#This Row],[Customer Gender]]="M","Male", IF(orders[[#This Row],[Customer Gender]]="F","Female", IF(orders[[#This Row],[Customer Gender]]= "O", "Other","Unknown")))</f>
        <v>Female</v>
      </c>
    </row>
    <row r="1165" spans="1:16"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s="12" t="str">
        <f>TEXT(orders[[#This Row],[Order Date]],"mmmm")</f>
        <v>February</v>
      </c>
      <c r="P1165" t="str">
        <f>IF(orders[[#This Row],[Customer Gender]]="M","Male", IF(orders[[#This Row],[Customer Gender]]="F","Female", IF(orders[[#This Row],[Customer Gender]]= "O", "Other","Unknown")))</f>
        <v>Male</v>
      </c>
    </row>
    <row r="1166" spans="1:16"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s="12" t="str">
        <f>TEXT(orders[[#This Row],[Order Date]],"mmmm")</f>
        <v>February</v>
      </c>
      <c r="P1166" t="str">
        <f>IF(orders[[#This Row],[Customer Gender]]="M","Male", IF(orders[[#This Row],[Customer Gender]]="F","Female", IF(orders[[#This Row],[Customer Gender]]= "O", "Other","Unknown")))</f>
        <v>Female</v>
      </c>
    </row>
    <row r="1167" spans="1:16"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s="12" t="str">
        <f>TEXT(orders[[#This Row],[Order Date]],"mmmm")</f>
        <v>February</v>
      </c>
      <c r="P1167" t="str">
        <f>IF(orders[[#This Row],[Customer Gender]]="M","Male", IF(orders[[#This Row],[Customer Gender]]="F","Female", IF(orders[[#This Row],[Customer Gender]]= "O", "Other","Unknown")))</f>
        <v>Female</v>
      </c>
    </row>
    <row r="1168" spans="1:16"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s="12" t="str">
        <f>TEXT(orders[[#This Row],[Order Date]],"mmmm")</f>
        <v>February</v>
      </c>
      <c r="P1168" t="str">
        <f>IF(orders[[#This Row],[Customer Gender]]="M","Male", IF(orders[[#This Row],[Customer Gender]]="F","Female", IF(orders[[#This Row],[Customer Gender]]= "O", "Other","Unknown")))</f>
        <v>Female</v>
      </c>
    </row>
    <row r="1169" spans="1:16"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s="12" t="str">
        <f>TEXT(orders[[#This Row],[Order Date]],"mmmm")</f>
        <v>February</v>
      </c>
      <c r="P1169" t="str">
        <f>IF(orders[[#This Row],[Customer Gender]]="M","Male", IF(orders[[#This Row],[Customer Gender]]="F","Female", IF(orders[[#This Row],[Customer Gender]]= "O", "Other","Unknown")))</f>
        <v>Female</v>
      </c>
    </row>
    <row r="1170" spans="1:16"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s="12" t="str">
        <f>TEXT(orders[[#This Row],[Order Date]],"mmmm")</f>
        <v>February</v>
      </c>
      <c r="P1170" t="str">
        <f>IF(orders[[#This Row],[Customer Gender]]="M","Male", IF(orders[[#This Row],[Customer Gender]]="F","Female", IF(orders[[#This Row],[Customer Gender]]= "O", "Other","Unknown")))</f>
        <v>Female</v>
      </c>
    </row>
    <row r="1171" spans="1:16"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s="12" t="str">
        <f>TEXT(orders[[#This Row],[Order Date]],"mmmm")</f>
        <v>February</v>
      </c>
      <c r="P1171" t="str">
        <f>IF(orders[[#This Row],[Customer Gender]]="M","Male", IF(orders[[#This Row],[Customer Gender]]="F","Female", IF(orders[[#This Row],[Customer Gender]]= "O", "Other","Unknown")))</f>
        <v>Female</v>
      </c>
    </row>
    <row r="1172" spans="1:16"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s="12" t="str">
        <f>TEXT(orders[[#This Row],[Order Date]],"mmmm")</f>
        <v>February</v>
      </c>
      <c r="P1172" t="str">
        <f>IF(orders[[#This Row],[Customer Gender]]="M","Male", IF(orders[[#This Row],[Customer Gender]]="F","Female", IF(orders[[#This Row],[Customer Gender]]= "O", "Other","Unknown")))</f>
        <v>Female</v>
      </c>
    </row>
    <row r="1173" spans="1:16"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s="12" t="str">
        <f>TEXT(orders[[#This Row],[Order Date]],"mmmm")</f>
        <v>February</v>
      </c>
      <c r="P1173" t="str">
        <f>IF(orders[[#This Row],[Customer Gender]]="M","Male", IF(orders[[#This Row],[Customer Gender]]="F","Female", IF(orders[[#This Row],[Customer Gender]]= "O", "Other","Unknown")))</f>
        <v>Male</v>
      </c>
    </row>
    <row r="1174" spans="1:16"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s="12" t="str">
        <f>TEXT(orders[[#This Row],[Order Date]],"mmmm")</f>
        <v>February</v>
      </c>
      <c r="P1174" t="str">
        <f>IF(orders[[#This Row],[Customer Gender]]="M","Male", IF(orders[[#This Row],[Customer Gender]]="F","Female", IF(orders[[#This Row],[Customer Gender]]= "O", "Other","Unknown")))</f>
        <v>Male</v>
      </c>
    </row>
    <row r="1175" spans="1:16"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s="12" t="str">
        <f>TEXT(orders[[#This Row],[Order Date]],"mmmm")</f>
        <v>February</v>
      </c>
      <c r="P1175" t="str">
        <f>IF(orders[[#This Row],[Customer Gender]]="M","Male", IF(orders[[#This Row],[Customer Gender]]="F","Female", IF(orders[[#This Row],[Customer Gender]]= "O", "Other","Unknown")))</f>
        <v>Female</v>
      </c>
    </row>
    <row r="1176" spans="1:16"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s="12" t="str">
        <f>TEXT(orders[[#This Row],[Order Date]],"mmmm")</f>
        <v>February</v>
      </c>
      <c r="P1176" t="str">
        <f>IF(orders[[#This Row],[Customer Gender]]="M","Male", IF(orders[[#This Row],[Customer Gender]]="F","Female", IF(orders[[#This Row],[Customer Gender]]= "O", "Other","Unknown")))</f>
        <v>Female</v>
      </c>
    </row>
    <row r="1177" spans="1:16"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s="12" t="str">
        <f>TEXT(orders[[#This Row],[Order Date]],"mmmm")</f>
        <v>February</v>
      </c>
      <c r="P1177" t="str">
        <f>IF(orders[[#This Row],[Customer Gender]]="M","Male", IF(orders[[#This Row],[Customer Gender]]="F","Female", IF(orders[[#This Row],[Customer Gender]]= "O", "Other","Unknown")))</f>
        <v>Male</v>
      </c>
    </row>
    <row r="1178" spans="1:16"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s="12" t="str">
        <f>TEXT(orders[[#This Row],[Order Date]],"mmmm")</f>
        <v>February</v>
      </c>
      <c r="P1178" t="str">
        <f>IF(orders[[#This Row],[Customer Gender]]="M","Male", IF(orders[[#This Row],[Customer Gender]]="F","Female", IF(orders[[#This Row],[Customer Gender]]= "O", "Other","Unknown")))</f>
        <v>Female</v>
      </c>
    </row>
    <row r="1179" spans="1:16"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s="12" t="str">
        <f>TEXT(orders[[#This Row],[Order Date]],"mmmm")</f>
        <v>February</v>
      </c>
      <c r="P1179" t="str">
        <f>IF(orders[[#This Row],[Customer Gender]]="M","Male", IF(orders[[#This Row],[Customer Gender]]="F","Female", IF(orders[[#This Row],[Customer Gender]]= "O", "Other","Unknown")))</f>
        <v>Female</v>
      </c>
    </row>
    <row r="1180" spans="1:16" hidden="1"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s="12" t="str">
        <f>TEXT(orders[[#This Row],[Order Date]],"mmmm")</f>
        <v>February</v>
      </c>
      <c r="P1180" t="str">
        <f>IF(orders[[#This Row],[Customer Gender]]="M","Male", IF(orders[[#This Row],[Customer Gender]]="F","Female", IF(orders[[#This Row],[Customer Gender]]= "O", "Other","Unknown")))</f>
        <v>Unknown</v>
      </c>
    </row>
    <row r="1181" spans="1:16"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s="12" t="str">
        <f>TEXT(orders[[#This Row],[Order Date]],"mmmm")</f>
        <v>February</v>
      </c>
      <c r="P1181" t="str">
        <f>IF(orders[[#This Row],[Customer Gender]]="M","Male", IF(orders[[#This Row],[Customer Gender]]="F","Female", IF(orders[[#This Row],[Customer Gender]]= "O", "Other","Unknown")))</f>
        <v>Female</v>
      </c>
    </row>
    <row r="1182" spans="1:16"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s="12" t="str">
        <f>TEXT(orders[[#This Row],[Order Date]],"mmmm")</f>
        <v>February</v>
      </c>
      <c r="P1182" t="str">
        <f>IF(orders[[#This Row],[Customer Gender]]="M","Male", IF(orders[[#This Row],[Customer Gender]]="F","Female", IF(orders[[#This Row],[Customer Gender]]= "O", "Other","Unknown")))</f>
        <v>Female</v>
      </c>
    </row>
    <row r="1183" spans="1:16"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s="12" t="str">
        <f>TEXT(orders[[#This Row],[Order Date]],"mmmm")</f>
        <v>February</v>
      </c>
      <c r="P1183" t="str">
        <f>IF(orders[[#This Row],[Customer Gender]]="M","Male", IF(orders[[#This Row],[Customer Gender]]="F","Female", IF(orders[[#This Row],[Customer Gender]]= "O", "Other","Unknown")))</f>
        <v>Male</v>
      </c>
    </row>
    <row r="1184" spans="1:16" hidden="1"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s="12" t="str">
        <f>TEXT(orders[[#This Row],[Order Date]],"mmmm")</f>
        <v>February</v>
      </c>
      <c r="P1184" t="str">
        <f>IF(orders[[#This Row],[Customer Gender]]="M","Male", IF(orders[[#This Row],[Customer Gender]]="F","Female", IF(orders[[#This Row],[Customer Gender]]= "O", "Other","Unknown")))</f>
        <v>Unknown</v>
      </c>
    </row>
    <row r="1185" spans="1:16"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s="12" t="str">
        <f>TEXT(orders[[#This Row],[Order Date]],"mmmm")</f>
        <v>February</v>
      </c>
      <c r="P1185" t="str">
        <f>IF(orders[[#This Row],[Customer Gender]]="M","Male", IF(orders[[#This Row],[Customer Gender]]="F","Female", IF(orders[[#This Row],[Customer Gender]]= "O", "Other","Unknown")))</f>
        <v>Male</v>
      </c>
    </row>
    <row r="1186" spans="1:16"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s="12" t="str">
        <f>TEXT(orders[[#This Row],[Order Date]],"mmmm")</f>
        <v>February</v>
      </c>
      <c r="P1186" t="str">
        <f>IF(orders[[#This Row],[Customer Gender]]="M","Male", IF(orders[[#This Row],[Customer Gender]]="F","Female", IF(orders[[#This Row],[Customer Gender]]= "O", "Other","Unknown")))</f>
        <v>Female</v>
      </c>
    </row>
    <row r="1187" spans="1:16"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s="12" t="str">
        <f>TEXT(orders[[#This Row],[Order Date]],"mmmm")</f>
        <v>February</v>
      </c>
      <c r="P1187" t="str">
        <f>IF(orders[[#This Row],[Customer Gender]]="M","Male", IF(orders[[#This Row],[Customer Gender]]="F","Female", IF(orders[[#This Row],[Customer Gender]]= "O", "Other","Unknown")))</f>
        <v>Male</v>
      </c>
    </row>
    <row r="1188" spans="1:16" hidden="1"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s="12" t="str">
        <f>TEXT(orders[[#This Row],[Order Date]],"mmmm")</f>
        <v>February</v>
      </c>
      <c r="P1188" t="str">
        <f>IF(orders[[#This Row],[Customer Gender]]="M","Male", IF(orders[[#This Row],[Customer Gender]]="F","Female", IF(orders[[#This Row],[Customer Gender]]= "O", "Other","Unknown")))</f>
        <v>Unknown</v>
      </c>
    </row>
    <row r="1189" spans="1:16"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s="12" t="str">
        <f>TEXT(orders[[#This Row],[Order Date]],"mmmm")</f>
        <v>February</v>
      </c>
      <c r="P1189" t="str">
        <f>IF(orders[[#This Row],[Customer Gender]]="M","Male", IF(orders[[#This Row],[Customer Gender]]="F","Female", IF(orders[[#This Row],[Customer Gender]]= "O", "Other","Unknown")))</f>
        <v>Female</v>
      </c>
    </row>
    <row r="1190" spans="1:16"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s="12" t="str">
        <f>TEXT(orders[[#This Row],[Order Date]],"mmmm")</f>
        <v>February</v>
      </c>
      <c r="P1190" t="str">
        <f>IF(orders[[#This Row],[Customer Gender]]="M","Male", IF(orders[[#This Row],[Customer Gender]]="F","Female", IF(orders[[#This Row],[Customer Gender]]= "O", "Other","Unknown")))</f>
        <v>Female</v>
      </c>
    </row>
    <row r="1191" spans="1:16"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s="12" t="str">
        <f>TEXT(orders[[#This Row],[Order Date]],"mmmm")</f>
        <v>February</v>
      </c>
      <c r="P1191" t="str">
        <f>IF(orders[[#This Row],[Customer Gender]]="M","Male", IF(orders[[#This Row],[Customer Gender]]="F","Female", IF(orders[[#This Row],[Customer Gender]]= "O", "Other","Unknown")))</f>
        <v>Male</v>
      </c>
    </row>
    <row r="1192" spans="1:16"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s="12" t="str">
        <f>TEXT(orders[[#This Row],[Order Date]],"mmmm")</f>
        <v>February</v>
      </c>
      <c r="P1192" t="str">
        <f>IF(orders[[#This Row],[Customer Gender]]="M","Male", IF(orders[[#This Row],[Customer Gender]]="F","Female", IF(orders[[#This Row],[Customer Gender]]= "O", "Other","Unknown")))</f>
        <v>Female</v>
      </c>
    </row>
    <row r="1193" spans="1:16"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s="12" t="str">
        <f>TEXT(orders[[#This Row],[Order Date]],"mmmm")</f>
        <v>February</v>
      </c>
      <c r="P1193" t="str">
        <f>IF(orders[[#This Row],[Customer Gender]]="M","Male", IF(orders[[#This Row],[Customer Gender]]="F","Female", IF(orders[[#This Row],[Customer Gender]]= "O", "Other","Unknown")))</f>
        <v>Female</v>
      </c>
    </row>
    <row r="1194" spans="1:16"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s="12" t="str">
        <f>TEXT(orders[[#This Row],[Order Date]],"mmmm")</f>
        <v>February</v>
      </c>
      <c r="P1194" t="str">
        <f>IF(orders[[#This Row],[Customer Gender]]="M","Male", IF(orders[[#This Row],[Customer Gender]]="F","Female", IF(orders[[#This Row],[Customer Gender]]= "O", "Other","Unknown")))</f>
        <v>Male</v>
      </c>
    </row>
    <row r="1195" spans="1:16"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s="12" t="str">
        <f>TEXT(orders[[#This Row],[Order Date]],"mmmm")</f>
        <v>February</v>
      </c>
      <c r="P1195" t="str">
        <f>IF(orders[[#This Row],[Customer Gender]]="M","Male", IF(orders[[#This Row],[Customer Gender]]="F","Female", IF(orders[[#This Row],[Customer Gender]]= "O", "Other","Unknown")))</f>
        <v>Female</v>
      </c>
    </row>
    <row r="1196" spans="1:16"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s="12" t="str">
        <f>TEXT(orders[[#This Row],[Order Date]],"mmmm")</f>
        <v>February</v>
      </c>
      <c r="P1196" t="str">
        <f>IF(orders[[#This Row],[Customer Gender]]="M","Male", IF(orders[[#This Row],[Customer Gender]]="F","Female", IF(orders[[#This Row],[Customer Gender]]= "O", "Other","Unknown")))</f>
        <v>Male</v>
      </c>
    </row>
    <row r="1197" spans="1:16"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s="12" t="str">
        <f>TEXT(orders[[#This Row],[Order Date]],"mmmm")</f>
        <v>February</v>
      </c>
      <c r="P1197" t="str">
        <f>IF(orders[[#This Row],[Customer Gender]]="M","Male", IF(orders[[#This Row],[Customer Gender]]="F","Female", IF(orders[[#This Row],[Customer Gender]]= "O", "Other","Unknown")))</f>
        <v>Male</v>
      </c>
    </row>
    <row r="1198" spans="1:16"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s="12" t="str">
        <f>TEXT(orders[[#This Row],[Order Date]],"mmmm")</f>
        <v>February</v>
      </c>
      <c r="P1198" t="str">
        <f>IF(orders[[#This Row],[Customer Gender]]="M","Male", IF(orders[[#This Row],[Customer Gender]]="F","Female", IF(orders[[#This Row],[Customer Gender]]= "O", "Other","Unknown")))</f>
        <v>Male</v>
      </c>
    </row>
    <row r="1199" spans="1:16"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s="12" t="str">
        <f>TEXT(orders[[#This Row],[Order Date]],"mmmm")</f>
        <v>February</v>
      </c>
      <c r="P1199" t="str">
        <f>IF(orders[[#This Row],[Customer Gender]]="M","Male", IF(orders[[#This Row],[Customer Gender]]="F","Female", IF(orders[[#This Row],[Customer Gender]]= "O", "Other","Unknown")))</f>
        <v>Male</v>
      </c>
    </row>
    <row r="1200" spans="1:16"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s="12" t="str">
        <f>TEXT(orders[[#This Row],[Order Date]],"mmmm")</f>
        <v>February</v>
      </c>
      <c r="P1200" t="str">
        <f>IF(orders[[#This Row],[Customer Gender]]="M","Male", IF(orders[[#This Row],[Customer Gender]]="F","Female", IF(orders[[#This Row],[Customer Gender]]= "O", "Other","Unknown")))</f>
        <v>Female</v>
      </c>
    </row>
    <row r="1201" spans="1:16"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s="12" t="str">
        <f>TEXT(orders[[#This Row],[Order Date]],"mmmm")</f>
        <v>February</v>
      </c>
      <c r="P1201" t="str">
        <f>IF(orders[[#This Row],[Customer Gender]]="M","Male", IF(orders[[#This Row],[Customer Gender]]="F","Female", IF(orders[[#This Row],[Customer Gender]]= "O", "Other","Unknown")))</f>
        <v>Female</v>
      </c>
    </row>
    <row r="1202" spans="1:16"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s="12" t="str">
        <f>TEXT(orders[[#This Row],[Order Date]],"mmmm")</f>
        <v>February</v>
      </c>
      <c r="P1202" t="str">
        <f>IF(orders[[#This Row],[Customer Gender]]="M","Male", IF(orders[[#This Row],[Customer Gender]]="F","Female", IF(orders[[#This Row],[Customer Gender]]= "O", "Other","Unknown")))</f>
        <v>Female</v>
      </c>
    </row>
    <row r="1203" spans="1:16"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s="12" t="str">
        <f>TEXT(orders[[#This Row],[Order Date]],"mmmm")</f>
        <v>February</v>
      </c>
      <c r="P1203" t="str">
        <f>IF(orders[[#This Row],[Customer Gender]]="M","Male", IF(orders[[#This Row],[Customer Gender]]="F","Female", IF(orders[[#This Row],[Customer Gender]]= "O", "Other","Unknown")))</f>
        <v>Female</v>
      </c>
    </row>
    <row r="1204" spans="1:16"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s="12" t="str">
        <f>TEXT(orders[[#This Row],[Order Date]],"mmmm")</f>
        <v>February</v>
      </c>
      <c r="P1204" t="str">
        <f>IF(orders[[#This Row],[Customer Gender]]="M","Male", IF(orders[[#This Row],[Customer Gender]]="F","Female", IF(orders[[#This Row],[Customer Gender]]= "O", "Other","Unknown")))</f>
        <v>Female</v>
      </c>
    </row>
    <row r="1205" spans="1:16"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s="12" t="str">
        <f>TEXT(orders[[#This Row],[Order Date]],"mmmm")</f>
        <v>February</v>
      </c>
      <c r="P1205" t="str">
        <f>IF(orders[[#This Row],[Customer Gender]]="M","Male", IF(orders[[#This Row],[Customer Gender]]="F","Female", IF(orders[[#This Row],[Customer Gender]]= "O", "Other","Unknown")))</f>
        <v>Male</v>
      </c>
    </row>
    <row r="1206" spans="1:16"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s="12" t="str">
        <f>TEXT(orders[[#This Row],[Order Date]],"mmmm")</f>
        <v>February</v>
      </c>
      <c r="P1206" t="str">
        <f>IF(orders[[#This Row],[Customer Gender]]="M","Male", IF(orders[[#This Row],[Customer Gender]]="F","Female", IF(orders[[#This Row],[Customer Gender]]= "O", "Other","Unknown")))</f>
        <v>Male</v>
      </c>
    </row>
    <row r="1207" spans="1:16"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s="12" t="str">
        <f>TEXT(orders[[#This Row],[Order Date]],"mmmm")</f>
        <v>February</v>
      </c>
      <c r="P1207" t="str">
        <f>IF(orders[[#This Row],[Customer Gender]]="M","Male", IF(orders[[#This Row],[Customer Gender]]="F","Female", IF(orders[[#This Row],[Customer Gender]]= "O", "Other","Unknown")))</f>
        <v>Other</v>
      </c>
    </row>
    <row r="1208" spans="1:16"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s="12" t="str">
        <f>TEXT(orders[[#This Row],[Order Date]],"mmmm")</f>
        <v>February</v>
      </c>
      <c r="P1208" t="str">
        <f>IF(orders[[#This Row],[Customer Gender]]="M","Male", IF(orders[[#This Row],[Customer Gender]]="F","Female", IF(orders[[#This Row],[Customer Gender]]= "O", "Other","Unknown")))</f>
        <v>Female</v>
      </c>
    </row>
    <row r="1209" spans="1:16"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s="12" t="str">
        <f>TEXT(orders[[#This Row],[Order Date]],"mmmm")</f>
        <v>February</v>
      </c>
      <c r="P1209" t="str">
        <f>IF(orders[[#This Row],[Customer Gender]]="M","Male", IF(orders[[#This Row],[Customer Gender]]="F","Female", IF(orders[[#This Row],[Customer Gender]]= "O", "Other","Unknown")))</f>
        <v>Female</v>
      </c>
    </row>
    <row r="1210" spans="1:16"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s="12" t="str">
        <f>TEXT(orders[[#This Row],[Order Date]],"mmmm")</f>
        <v>February</v>
      </c>
      <c r="P1210" t="str">
        <f>IF(orders[[#This Row],[Customer Gender]]="M","Male", IF(orders[[#This Row],[Customer Gender]]="F","Female", IF(orders[[#This Row],[Customer Gender]]= "O", "Other","Unknown")))</f>
        <v>Male</v>
      </c>
    </row>
    <row r="1211" spans="1:16"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s="12" t="str">
        <f>TEXT(orders[[#This Row],[Order Date]],"mmmm")</f>
        <v>February</v>
      </c>
      <c r="P1211" t="str">
        <f>IF(orders[[#This Row],[Customer Gender]]="M","Male", IF(orders[[#This Row],[Customer Gender]]="F","Female", IF(orders[[#This Row],[Customer Gender]]= "O", "Other","Unknown")))</f>
        <v>Male</v>
      </c>
    </row>
    <row r="1212" spans="1:16"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s="12" t="str">
        <f>TEXT(orders[[#This Row],[Order Date]],"mmmm")</f>
        <v>February</v>
      </c>
      <c r="P1212" t="str">
        <f>IF(orders[[#This Row],[Customer Gender]]="M","Male", IF(orders[[#This Row],[Customer Gender]]="F","Female", IF(orders[[#This Row],[Customer Gender]]= "O", "Other","Unknown")))</f>
        <v>Other</v>
      </c>
    </row>
    <row r="1213" spans="1:16"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s="12" t="str">
        <f>TEXT(orders[[#This Row],[Order Date]],"mmmm")</f>
        <v>February</v>
      </c>
      <c r="P1213" t="str">
        <f>IF(orders[[#This Row],[Customer Gender]]="M","Male", IF(orders[[#This Row],[Customer Gender]]="F","Female", IF(orders[[#This Row],[Customer Gender]]= "O", "Other","Unknown")))</f>
        <v>Female</v>
      </c>
    </row>
    <row r="1214" spans="1:16"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s="12" t="str">
        <f>TEXT(orders[[#This Row],[Order Date]],"mmmm")</f>
        <v>February</v>
      </c>
      <c r="P1214" t="str">
        <f>IF(orders[[#This Row],[Customer Gender]]="M","Male", IF(orders[[#This Row],[Customer Gender]]="F","Female", IF(orders[[#This Row],[Customer Gender]]= "O", "Other","Unknown")))</f>
        <v>Female</v>
      </c>
    </row>
    <row r="1215" spans="1:16" hidden="1"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s="12" t="str">
        <f>TEXT(orders[[#This Row],[Order Date]],"mmmm")</f>
        <v>February</v>
      </c>
      <c r="P1215" t="str">
        <f>IF(orders[[#This Row],[Customer Gender]]="M","Male", IF(orders[[#This Row],[Customer Gender]]="F","Female", IF(orders[[#This Row],[Customer Gender]]= "O", "Other","Unknown")))</f>
        <v>Unknown</v>
      </c>
    </row>
    <row r="1216" spans="1:16"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s="12" t="str">
        <f>TEXT(orders[[#This Row],[Order Date]],"mmmm")</f>
        <v>February</v>
      </c>
      <c r="P1216" t="str">
        <f>IF(orders[[#This Row],[Customer Gender]]="M","Male", IF(orders[[#This Row],[Customer Gender]]="F","Female", IF(orders[[#This Row],[Customer Gender]]= "O", "Other","Unknown")))</f>
        <v>Female</v>
      </c>
    </row>
    <row r="1217" spans="1:16"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s="12" t="str">
        <f>TEXT(orders[[#This Row],[Order Date]],"mmmm")</f>
        <v>February</v>
      </c>
      <c r="P1217" t="str">
        <f>IF(orders[[#This Row],[Customer Gender]]="M","Male", IF(orders[[#This Row],[Customer Gender]]="F","Female", IF(orders[[#This Row],[Customer Gender]]= "O", "Other","Unknown")))</f>
        <v>Male</v>
      </c>
    </row>
    <row r="1218" spans="1:16"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s="12" t="str">
        <f>TEXT(orders[[#This Row],[Order Date]],"mmmm")</f>
        <v>February</v>
      </c>
      <c r="P1218" t="str">
        <f>IF(orders[[#This Row],[Customer Gender]]="M","Male", IF(orders[[#This Row],[Customer Gender]]="F","Female", IF(orders[[#This Row],[Customer Gender]]= "O", "Other","Unknown")))</f>
        <v>Male</v>
      </c>
    </row>
    <row r="1219" spans="1:16"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s="12" t="str">
        <f>TEXT(orders[[#This Row],[Order Date]],"mmmm")</f>
        <v>February</v>
      </c>
      <c r="P1219" t="str">
        <f>IF(orders[[#This Row],[Customer Gender]]="M","Male", IF(orders[[#This Row],[Customer Gender]]="F","Female", IF(orders[[#This Row],[Customer Gender]]= "O", "Other","Unknown")))</f>
        <v>Male</v>
      </c>
    </row>
    <row r="1220" spans="1:16"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s="12" t="str">
        <f>TEXT(orders[[#This Row],[Order Date]],"mmmm")</f>
        <v>February</v>
      </c>
      <c r="P1220" t="str">
        <f>IF(orders[[#This Row],[Customer Gender]]="M","Male", IF(orders[[#This Row],[Customer Gender]]="F","Female", IF(orders[[#This Row],[Customer Gender]]= "O", "Other","Unknown")))</f>
        <v>Female</v>
      </c>
    </row>
    <row r="1221" spans="1:16"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s="12" t="str">
        <f>TEXT(orders[[#This Row],[Order Date]],"mmmm")</f>
        <v>February</v>
      </c>
      <c r="P1221" t="str">
        <f>IF(orders[[#This Row],[Customer Gender]]="M","Male", IF(orders[[#This Row],[Customer Gender]]="F","Female", IF(orders[[#This Row],[Customer Gender]]= "O", "Other","Unknown")))</f>
        <v>Male</v>
      </c>
    </row>
    <row r="1222" spans="1:16"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s="12" t="str">
        <f>TEXT(orders[[#This Row],[Order Date]],"mmmm")</f>
        <v>February</v>
      </c>
      <c r="P1222" t="str">
        <f>IF(orders[[#This Row],[Customer Gender]]="M","Male", IF(orders[[#This Row],[Customer Gender]]="F","Female", IF(orders[[#This Row],[Customer Gender]]= "O", "Other","Unknown")))</f>
        <v>Male</v>
      </c>
    </row>
    <row r="1223" spans="1:16"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s="12" t="str">
        <f>TEXT(orders[[#This Row],[Order Date]],"mmmm")</f>
        <v>February</v>
      </c>
      <c r="P1223" t="str">
        <f>IF(orders[[#This Row],[Customer Gender]]="M","Male", IF(orders[[#This Row],[Customer Gender]]="F","Female", IF(orders[[#This Row],[Customer Gender]]= "O", "Other","Unknown")))</f>
        <v>Female</v>
      </c>
    </row>
    <row r="1224" spans="1:16"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s="12" t="str">
        <f>TEXT(orders[[#This Row],[Order Date]],"mmmm")</f>
        <v>February</v>
      </c>
      <c r="P1224" t="str">
        <f>IF(orders[[#This Row],[Customer Gender]]="M","Male", IF(orders[[#This Row],[Customer Gender]]="F","Female", IF(orders[[#This Row],[Customer Gender]]= "O", "Other","Unknown")))</f>
        <v>Female</v>
      </c>
    </row>
    <row r="1225" spans="1:16"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s="12" t="str">
        <f>TEXT(orders[[#This Row],[Order Date]],"mmmm")</f>
        <v>February</v>
      </c>
      <c r="P1225" t="str">
        <f>IF(orders[[#This Row],[Customer Gender]]="M","Male", IF(orders[[#This Row],[Customer Gender]]="F","Female", IF(orders[[#This Row],[Customer Gender]]= "O", "Other","Unknown")))</f>
        <v>Male</v>
      </c>
    </row>
    <row r="1226" spans="1:16"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s="12" t="str">
        <f>TEXT(orders[[#This Row],[Order Date]],"mmmm")</f>
        <v>February</v>
      </c>
      <c r="P1226" t="str">
        <f>IF(orders[[#This Row],[Customer Gender]]="M","Male", IF(orders[[#This Row],[Customer Gender]]="F","Female", IF(orders[[#This Row],[Customer Gender]]= "O", "Other","Unknown")))</f>
        <v>Male</v>
      </c>
    </row>
    <row r="1227" spans="1:16" hidden="1"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s="12" t="str">
        <f>TEXT(orders[[#This Row],[Order Date]],"mmmm")</f>
        <v>February</v>
      </c>
      <c r="P1227" t="str">
        <f>IF(orders[[#This Row],[Customer Gender]]="M","Male", IF(orders[[#This Row],[Customer Gender]]="F","Female", IF(orders[[#This Row],[Customer Gender]]= "O", "Other","Unknown")))</f>
        <v>Unknown</v>
      </c>
    </row>
    <row r="1228" spans="1:16"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s="12" t="str">
        <f>TEXT(orders[[#This Row],[Order Date]],"mmmm")</f>
        <v>February</v>
      </c>
      <c r="P1228" t="str">
        <f>IF(orders[[#This Row],[Customer Gender]]="M","Male", IF(orders[[#This Row],[Customer Gender]]="F","Female", IF(orders[[#This Row],[Customer Gender]]= "O", "Other","Unknown")))</f>
        <v>Male</v>
      </c>
    </row>
    <row r="1229" spans="1:16"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s="12" t="str">
        <f>TEXT(orders[[#This Row],[Order Date]],"mmmm")</f>
        <v>February</v>
      </c>
      <c r="P1229" t="str">
        <f>IF(orders[[#This Row],[Customer Gender]]="M","Male", IF(orders[[#This Row],[Customer Gender]]="F","Female", IF(orders[[#This Row],[Customer Gender]]= "O", "Other","Unknown")))</f>
        <v>Female</v>
      </c>
    </row>
    <row r="1230" spans="1:16"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s="12" t="str">
        <f>TEXT(orders[[#This Row],[Order Date]],"mmmm")</f>
        <v>February</v>
      </c>
      <c r="P1230" t="str">
        <f>IF(orders[[#This Row],[Customer Gender]]="M","Male", IF(orders[[#This Row],[Customer Gender]]="F","Female", IF(orders[[#This Row],[Customer Gender]]= "O", "Other","Unknown")))</f>
        <v>Male</v>
      </c>
    </row>
    <row r="1231" spans="1:16"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s="12" t="str">
        <f>TEXT(orders[[#This Row],[Order Date]],"mmmm")</f>
        <v>February</v>
      </c>
      <c r="P1231" t="str">
        <f>IF(orders[[#This Row],[Customer Gender]]="M","Male", IF(orders[[#This Row],[Customer Gender]]="F","Female", IF(orders[[#This Row],[Customer Gender]]= "O", "Other","Unknown")))</f>
        <v>Female</v>
      </c>
    </row>
    <row r="1232" spans="1:16"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s="12" t="str">
        <f>TEXT(orders[[#This Row],[Order Date]],"mmmm")</f>
        <v>February</v>
      </c>
      <c r="P1232" t="str">
        <f>IF(orders[[#This Row],[Customer Gender]]="M","Male", IF(orders[[#This Row],[Customer Gender]]="F","Female", IF(orders[[#This Row],[Customer Gender]]= "O", "Other","Unknown")))</f>
        <v>Male</v>
      </c>
    </row>
    <row r="1233" spans="1:16"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s="12" t="str">
        <f>TEXT(orders[[#This Row],[Order Date]],"mmmm")</f>
        <v>February</v>
      </c>
      <c r="P1233" t="str">
        <f>IF(orders[[#This Row],[Customer Gender]]="M","Male", IF(orders[[#This Row],[Customer Gender]]="F","Female", IF(orders[[#This Row],[Customer Gender]]= "O", "Other","Unknown")))</f>
        <v>Male</v>
      </c>
    </row>
    <row r="1234" spans="1:16"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s="12" t="str">
        <f>TEXT(orders[[#This Row],[Order Date]],"mmmm")</f>
        <v>February</v>
      </c>
      <c r="P1234" t="str">
        <f>IF(orders[[#This Row],[Customer Gender]]="M","Male", IF(orders[[#This Row],[Customer Gender]]="F","Female", IF(orders[[#This Row],[Customer Gender]]= "O", "Other","Unknown")))</f>
        <v>Female</v>
      </c>
    </row>
    <row r="1235" spans="1:16"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s="12" t="str">
        <f>TEXT(orders[[#This Row],[Order Date]],"mmmm")</f>
        <v>February</v>
      </c>
      <c r="P1235" t="str">
        <f>IF(orders[[#This Row],[Customer Gender]]="M","Male", IF(orders[[#This Row],[Customer Gender]]="F","Female", IF(orders[[#This Row],[Customer Gender]]= "O", "Other","Unknown")))</f>
        <v>Other</v>
      </c>
    </row>
    <row r="1236" spans="1:16"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s="12" t="str">
        <f>TEXT(orders[[#This Row],[Order Date]],"mmmm")</f>
        <v>February</v>
      </c>
      <c r="P1236" t="str">
        <f>IF(orders[[#This Row],[Customer Gender]]="M","Male", IF(orders[[#This Row],[Customer Gender]]="F","Female", IF(orders[[#This Row],[Customer Gender]]= "O", "Other","Unknown")))</f>
        <v>Male</v>
      </c>
    </row>
    <row r="1237" spans="1:16"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s="12" t="str">
        <f>TEXT(orders[[#This Row],[Order Date]],"mmmm")</f>
        <v>February</v>
      </c>
      <c r="P1237" t="str">
        <f>IF(orders[[#This Row],[Customer Gender]]="M","Male", IF(orders[[#This Row],[Customer Gender]]="F","Female", IF(orders[[#This Row],[Customer Gender]]= "O", "Other","Unknown")))</f>
        <v>Other</v>
      </c>
    </row>
    <row r="1238" spans="1:16" hidden="1"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s="12" t="str">
        <f>TEXT(orders[[#This Row],[Order Date]],"mmmm")</f>
        <v>February</v>
      </c>
      <c r="P1238" t="str">
        <f>IF(orders[[#This Row],[Customer Gender]]="M","Male", IF(orders[[#This Row],[Customer Gender]]="F","Female", IF(orders[[#This Row],[Customer Gender]]= "O", "Other","Unknown")))</f>
        <v>Unknown</v>
      </c>
    </row>
    <row r="1239" spans="1:16"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s="12" t="str">
        <f>TEXT(orders[[#This Row],[Order Date]],"mmmm")</f>
        <v>February</v>
      </c>
      <c r="P1239" t="str">
        <f>IF(orders[[#This Row],[Customer Gender]]="M","Male", IF(orders[[#This Row],[Customer Gender]]="F","Female", IF(orders[[#This Row],[Customer Gender]]= "O", "Other","Unknown")))</f>
        <v>Female</v>
      </c>
    </row>
    <row r="1240" spans="1:16"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s="12" t="str">
        <f>TEXT(orders[[#This Row],[Order Date]],"mmmm")</f>
        <v>February</v>
      </c>
      <c r="P1240" t="str">
        <f>IF(orders[[#This Row],[Customer Gender]]="M","Male", IF(orders[[#This Row],[Customer Gender]]="F","Female", IF(orders[[#This Row],[Customer Gender]]= "O", "Other","Unknown")))</f>
        <v>Male</v>
      </c>
    </row>
    <row r="1241" spans="1:16"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s="12" t="str">
        <f>TEXT(orders[[#This Row],[Order Date]],"mmmm")</f>
        <v>February</v>
      </c>
      <c r="P1241" t="str">
        <f>IF(orders[[#This Row],[Customer Gender]]="M","Male", IF(orders[[#This Row],[Customer Gender]]="F","Female", IF(orders[[#This Row],[Customer Gender]]= "O", "Other","Unknown")))</f>
        <v>Female</v>
      </c>
    </row>
    <row r="1242" spans="1:16" hidden="1"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s="12" t="str">
        <f>TEXT(orders[[#This Row],[Order Date]],"mmmm")</f>
        <v>February</v>
      </c>
      <c r="P1242" t="str">
        <f>IF(orders[[#This Row],[Customer Gender]]="M","Male", IF(orders[[#This Row],[Customer Gender]]="F","Female", IF(orders[[#This Row],[Customer Gender]]= "O", "Other","Unknown")))</f>
        <v>Unknown</v>
      </c>
    </row>
    <row r="1243" spans="1:16"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s="12" t="str">
        <f>TEXT(orders[[#This Row],[Order Date]],"mmmm")</f>
        <v>February</v>
      </c>
      <c r="P1243" t="str">
        <f>IF(orders[[#This Row],[Customer Gender]]="M","Male", IF(orders[[#This Row],[Customer Gender]]="F","Female", IF(orders[[#This Row],[Customer Gender]]= "O", "Other","Unknown")))</f>
        <v>Female</v>
      </c>
    </row>
    <row r="1244" spans="1:16"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s="12" t="str">
        <f>TEXT(orders[[#This Row],[Order Date]],"mmmm")</f>
        <v>February</v>
      </c>
      <c r="P1244" t="str">
        <f>IF(orders[[#This Row],[Customer Gender]]="M","Male", IF(orders[[#This Row],[Customer Gender]]="F","Female", IF(orders[[#This Row],[Customer Gender]]= "O", "Other","Unknown")))</f>
        <v>Female</v>
      </c>
    </row>
    <row r="1245" spans="1:16"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s="12" t="str">
        <f>TEXT(orders[[#This Row],[Order Date]],"mmmm")</f>
        <v>February</v>
      </c>
      <c r="P1245" t="str">
        <f>IF(orders[[#This Row],[Customer Gender]]="M","Male", IF(orders[[#This Row],[Customer Gender]]="F","Female", IF(orders[[#This Row],[Customer Gender]]= "O", "Other","Unknown")))</f>
        <v>Female</v>
      </c>
    </row>
    <row r="1246" spans="1:16"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s="12" t="str">
        <f>TEXT(orders[[#This Row],[Order Date]],"mmmm")</f>
        <v>February</v>
      </c>
      <c r="P1246" t="str">
        <f>IF(orders[[#This Row],[Customer Gender]]="M","Male", IF(orders[[#This Row],[Customer Gender]]="F","Female", IF(orders[[#This Row],[Customer Gender]]= "O", "Other","Unknown")))</f>
        <v>Female</v>
      </c>
    </row>
    <row r="1247" spans="1:16"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s="12" t="str">
        <f>TEXT(orders[[#This Row],[Order Date]],"mmmm")</f>
        <v>February</v>
      </c>
      <c r="P1247" t="str">
        <f>IF(orders[[#This Row],[Customer Gender]]="M","Male", IF(orders[[#This Row],[Customer Gender]]="F","Female", IF(orders[[#This Row],[Customer Gender]]= "O", "Other","Unknown")))</f>
        <v>Male</v>
      </c>
    </row>
    <row r="1248" spans="1:16"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s="12" t="str">
        <f>TEXT(orders[[#This Row],[Order Date]],"mmmm")</f>
        <v>February</v>
      </c>
      <c r="P1248" t="str">
        <f>IF(orders[[#This Row],[Customer Gender]]="M","Male", IF(orders[[#This Row],[Customer Gender]]="F","Female", IF(orders[[#This Row],[Customer Gender]]= "O", "Other","Unknown")))</f>
        <v>Male</v>
      </c>
    </row>
    <row r="1249" spans="1:16"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s="12" t="str">
        <f>TEXT(orders[[#This Row],[Order Date]],"mmmm")</f>
        <v>February</v>
      </c>
      <c r="P1249" t="str">
        <f>IF(orders[[#This Row],[Customer Gender]]="M","Male", IF(orders[[#This Row],[Customer Gender]]="F","Female", IF(orders[[#This Row],[Customer Gender]]= "O", "Other","Unknown")))</f>
        <v>Female</v>
      </c>
    </row>
    <row r="1250" spans="1:16"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s="12" t="str">
        <f>TEXT(orders[[#This Row],[Order Date]],"mmmm")</f>
        <v>February</v>
      </c>
      <c r="P1250" t="str">
        <f>IF(orders[[#This Row],[Customer Gender]]="M","Male", IF(orders[[#This Row],[Customer Gender]]="F","Female", IF(orders[[#This Row],[Customer Gender]]= "O", "Other","Unknown")))</f>
        <v>Male</v>
      </c>
    </row>
    <row r="1251" spans="1:16"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s="12" t="str">
        <f>TEXT(orders[[#This Row],[Order Date]],"mmmm")</f>
        <v>February</v>
      </c>
      <c r="P1251" t="str">
        <f>IF(orders[[#This Row],[Customer Gender]]="M","Male", IF(orders[[#This Row],[Customer Gender]]="F","Female", IF(orders[[#This Row],[Customer Gender]]= "O", "Other","Unknown")))</f>
        <v>Female</v>
      </c>
    </row>
    <row r="1252" spans="1:16"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s="12" t="str">
        <f>TEXT(orders[[#This Row],[Order Date]],"mmmm")</f>
        <v>February</v>
      </c>
      <c r="P1252" t="str">
        <f>IF(orders[[#This Row],[Customer Gender]]="M","Male", IF(orders[[#This Row],[Customer Gender]]="F","Female", IF(orders[[#This Row],[Customer Gender]]= "O", "Other","Unknown")))</f>
        <v>Male</v>
      </c>
    </row>
    <row r="1253" spans="1:16" hidden="1"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s="12" t="str">
        <f>TEXT(orders[[#This Row],[Order Date]],"mmmm")</f>
        <v>February</v>
      </c>
      <c r="P1253" t="str">
        <f>IF(orders[[#This Row],[Customer Gender]]="M","Male", IF(orders[[#This Row],[Customer Gender]]="F","Female", IF(orders[[#This Row],[Customer Gender]]= "O", "Other","Unknown")))</f>
        <v>Unknown</v>
      </c>
    </row>
    <row r="1254" spans="1:16"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s="12" t="str">
        <f>TEXT(orders[[#This Row],[Order Date]],"mmmm")</f>
        <v>February</v>
      </c>
      <c r="P1254" t="str">
        <f>IF(orders[[#This Row],[Customer Gender]]="M","Male", IF(orders[[#This Row],[Customer Gender]]="F","Female", IF(orders[[#This Row],[Customer Gender]]= "O", "Other","Unknown")))</f>
        <v>Female</v>
      </c>
    </row>
    <row r="1255" spans="1:16"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s="12" t="str">
        <f>TEXT(orders[[#This Row],[Order Date]],"mmmm")</f>
        <v>February</v>
      </c>
      <c r="P1255" t="str">
        <f>IF(orders[[#This Row],[Customer Gender]]="M","Male", IF(orders[[#This Row],[Customer Gender]]="F","Female", IF(orders[[#This Row],[Customer Gender]]= "O", "Other","Unknown")))</f>
        <v>Female</v>
      </c>
    </row>
    <row r="1256" spans="1:16"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s="12" t="str">
        <f>TEXT(orders[[#This Row],[Order Date]],"mmmm")</f>
        <v>February</v>
      </c>
      <c r="P1256" t="str">
        <f>IF(orders[[#This Row],[Customer Gender]]="M","Male", IF(orders[[#This Row],[Customer Gender]]="F","Female", IF(orders[[#This Row],[Customer Gender]]= "O", "Other","Unknown")))</f>
        <v>Female</v>
      </c>
    </row>
    <row r="1257" spans="1:16"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s="12" t="str">
        <f>TEXT(orders[[#This Row],[Order Date]],"mmmm")</f>
        <v>February</v>
      </c>
      <c r="P1257" t="str">
        <f>IF(orders[[#This Row],[Customer Gender]]="M","Male", IF(orders[[#This Row],[Customer Gender]]="F","Female", IF(orders[[#This Row],[Customer Gender]]= "O", "Other","Unknown")))</f>
        <v>Female</v>
      </c>
    </row>
    <row r="1258" spans="1:16"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s="12" t="str">
        <f>TEXT(orders[[#This Row],[Order Date]],"mmmm")</f>
        <v>February</v>
      </c>
      <c r="P1258" t="str">
        <f>IF(orders[[#This Row],[Customer Gender]]="M","Male", IF(orders[[#This Row],[Customer Gender]]="F","Female", IF(orders[[#This Row],[Customer Gender]]= "O", "Other","Unknown")))</f>
        <v>Male</v>
      </c>
    </row>
    <row r="1259" spans="1:16"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s="12" t="str">
        <f>TEXT(orders[[#This Row],[Order Date]],"mmmm")</f>
        <v>February</v>
      </c>
      <c r="P1259" t="str">
        <f>IF(orders[[#This Row],[Customer Gender]]="M","Male", IF(orders[[#This Row],[Customer Gender]]="F","Female", IF(orders[[#This Row],[Customer Gender]]= "O", "Other","Unknown")))</f>
        <v>Male</v>
      </c>
    </row>
    <row r="1260" spans="1:16"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s="12" t="str">
        <f>TEXT(orders[[#This Row],[Order Date]],"mmmm")</f>
        <v>February</v>
      </c>
      <c r="P1260" t="str">
        <f>IF(orders[[#This Row],[Customer Gender]]="M","Male", IF(orders[[#This Row],[Customer Gender]]="F","Female", IF(orders[[#This Row],[Customer Gender]]= "O", "Other","Unknown")))</f>
        <v>Male</v>
      </c>
    </row>
    <row r="1261" spans="1:16"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s="12" t="str">
        <f>TEXT(orders[[#This Row],[Order Date]],"mmmm")</f>
        <v>February</v>
      </c>
      <c r="P1261" t="str">
        <f>IF(orders[[#This Row],[Customer Gender]]="M","Male", IF(orders[[#This Row],[Customer Gender]]="F","Female", IF(orders[[#This Row],[Customer Gender]]= "O", "Other","Unknown")))</f>
        <v>Male</v>
      </c>
    </row>
    <row r="1262" spans="1:16"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s="12" t="str">
        <f>TEXT(orders[[#This Row],[Order Date]],"mmmm")</f>
        <v>February</v>
      </c>
      <c r="P1262" t="str">
        <f>IF(orders[[#This Row],[Customer Gender]]="M","Male", IF(orders[[#This Row],[Customer Gender]]="F","Female", IF(orders[[#This Row],[Customer Gender]]= "O", "Other","Unknown")))</f>
        <v>Male</v>
      </c>
    </row>
    <row r="1263" spans="1:16"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s="12" t="str">
        <f>TEXT(orders[[#This Row],[Order Date]],"mmmm")</f>
        <v>February</v>
      </c>
      <c r="P1263" t="str">
        <f>IF(orders[[#This Row],[Customer Gender]]="M","Male", IF(orders[[#This Row],[Customer Gender]]="F","Female", IF(orders[[#This Row],[Customer Gender]]= "O", "Other","Unknown")))</f>
        <v>Male</v>
      </c>
    </row>
    <row r="1264" spans="1:16"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s="12" t="str">
        <f>TEXT(orders[[#This Row],[Order Date]],"mmmm")</f>
        <v>February</v>
      </c>
      <c r="P1264" t="str">
        <f>IF(orders[[#This Row],[Customer Gender]]="M","Male", IF(orders[[#This Row],[Customer Gender]]="F","Female", IF(orders[[#This Row],[Customer Gender]]= "O", "Other","Unknown")))</f>
        <v>Male</v>
      </c>
    </row>
    <row r="1265" spans="1:16"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s="12" t="str">
        <f>TEXT(orders[[#This Row],[Order Date]],"mmmm")</f>
        <v>February</v>
      </c>
      <c r="P1265" t="str">
        <f>IF(orders[[#This Row],[Customer Gender]]="M","Male", IF(orders[[#This Row],[Customer Gender]]="F","Female", IF(orders[[#This Row],[Customer Gender]]= "O", "Other","Unknown")))</f>
        <v>Male</v>
      </c>
    </row>
    <row r="1266" spans="1:16"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s="12" t="str">
        <f>TEXT(orders[[#This Row],[Order Date]],"mmmm")</f>
        <v>February</v>
      </c>
      <c r="P1266" t="str">
        <f>IF(orders[[#This Row],[Customer Gender]]="M","Male", IF(orders[[#This Row],[Customer Gender]]="F","Female", IF(orders[[#This Row],[Customer Gender]]= "O", "Other","Unknown")))</f>
        <v>Female</v>
      </c>
    </row>
    <row r="1267" spans="1:16"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s="12" t="str">
        <f>TEXT(orders[[#This Row],[Order Date]],"mmmm")</f>
        <v>February</v>
      </c>
      <c r="P1267" t="str">
        <f>IF(orders[[#This Row],[Customer Gender]]="M","Male", IF(orders[[#This Row],[Customer Gender]]="F","Female", IF(orders[[#This Row],[Customer Gender]]= "O", "Other","Unknown")))</f>
        <v>Female</v>
      </c>
    </row>
    <row r="1268" spans="1:16"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s="12" t="str">
        <f>TEXT(orders[[#This Row],[Order Date]],"mmmm")</f>
        <v>February</v>
      </c>
      <c r="P1268" t="str">
        <f>IF(orders[[#This Row],[Customer Gender]]="M","Male", IF(orders[[#This Row],[Customer Gender]]="F","Female", IF(orders[[#This Row],[Customer Gender]]= "O", "Other","Unknown")))</f>
        <v>Male</v>
      </c>
    </row>
    <row r="1269" spans="1:16"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s="12" t="str">
        <f>TEXT(orders[[#This Row],[Order Date]],"mmmm")</f>
        <v>February</v>
      </c>
      <c r="P1269" t="str">
        <f>IF(orders[[#This Row],[Customer Gender]]="M","Male", IF(orders[[#This Row],[Customer Gender]]="F","Female", IF(orders[[#This Row],[Customer Gender]]= "O", "Other","Unknown")))</f>
        <v>Male</v>
      </c>
    </row>
    <row r="1270" spans="1:16"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s="12" t="str">
        <f>TEXT(orders[[#This Row],[Order Date]],"mmmm")</f>
        <v>February</v>
      </c>
      <c r="P1270" t="str">
        <f>IF(orders[[#This Row],[Customer Gender]]="M","Male", IF(orders[[#This Row],[Customer Gender]]="F","Female", IF(orders[[#This Row],[Customer Gender]]= "O", "Other","Unknown")))</f>
        <v>Female</v>
      </c>
    </row>
    <row r="1271" spans="1:16"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s="12" t="str">
        <f>TEXT(orders[[#This Row],[Order Date]],"mmmm")</f>
        <v>February</v>
      </c>
      <c r="P1271" t="str">
        <f>IF(orders[[#This Row],[Customer Gender]]="M","Male", IF(orders[[#This Row],[Customer Gender]]="F","Female", IF(orders[[#This Row],[Customer Gender]]= "O", "Other","Unknown")))</f>
        <v>Female</v>
      </c>
    </row>
    <row r="1272" spans="1:16"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s="12" t="str">
        <f>TEXT(orders[[#This Row],[Order Date]],"mmmm")</f>
        <v>February</v>
      </c>
      <c r="P1272" t="str">
        <f>IF(orders[[#This Row],[Customer Gender]]="M","Male", IF(orders[[#This Row],[Customer Gender]]="F","Female", IF(orders[[#This Row],[Customer Gender]]= "O", "Other","Unknown")))</f>
        <v>Female</v>
      </c>
    </row>
    <row r="1273" spans="1:16"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s="12" t="str">
        <f>TEXT(orders[[#This Row],[Order Date]],"mmmm")</f>
        <v>February</v>
      </c>
      <c r="P1273" t="str">
        <f>IF(orders[[#This Row],[Customer Gender]]="M","Male", IF(orders[[#This Row],[Customer Gender]]="F","Female", IF(orders[[#This Row],[Customer Gender]]= "O", "Other","Unknown")))</f>
        <v>Male</v>
      </c>
    </row>
    <row r="1274" spans="1:16"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s="12" t="str">
        <f>TEXT(orders[[#This Row],[Order Date]],"mmmm")</f>
        <v>February</v>
      </c>
      <c r="P1274" t="str">
        <f>IF(orders[[#This Row],[Customer Gender]]="M","Male", IF(orders[[#This Row],[Customer Gender]]="F","Female", IF(orders[[#This Row],[Customer Gender]]= "O", "Other","Unknown")))</f>
        <v>Male</v>
      </c>
    </row>
    <row r="1275" spans="1:16"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s="12" t="str">
        <f>TEXT(orders[[#This Row],[Order Date]],"mmmm")</f>
        <v>February</v>
      </c>
      <c r="P1275" t="str">
        <f>IF(orders[[#This Row],[Customer Gender]]="M","Male", IF(orders[[#This Row],[Customer Gender]]="F","Female", IF(orders[[#This Row],[Customer Gender]]= "O", "Other","Unknown")))</f>
        <v>Female</v>
      </c>
    </row>
    <row r="1276" spans="1:16"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s="12" t="str">
        <f>TEXT(orders[[#This Row],[Order Date]],"mmmm")</f>
        <v>February</v>
      </c>
      <c r="P1276" t="str">
        <f>IF(orders[[#This Row],[Customer Gender]]="M","Male", IF(orders[[#This Row],[Customer Gender]]="F","Female", IF(orders[[#This Row],[Customer Gender]]= "O", "Other","Unknown")))</f>
        <v>Female</v>
      </c>
    </row>
    <row r="1277" spans="1:16"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s="12" t="str">
        <f>TEXT(orders[[#This Row],[Order Date]],"mmmm")</f>
        <v>February</v>
      </c>
      <c r="P1277" t="str">
        <f>IF(orders[[#This Row],[Customer Gender]]="M","Male", IF(orders[[#This Row],[Customer Gender]]="F","Female", IF(orders[[#This Row],[Customer Gender]]= "O", "Other","Unknown")))</f>
        <v>Female</v>
      </c>
    </row>
    <row r="1278" spans="1:16"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s="12" t="str">
        <f>TEXT(orders[[#This Row],[Order Date]],"mmmm")</f>
        <v>February</v>
      </c>
      <c r="P1278" t="str">
        <f>IF(orders[[#This Row],[Customer Gender]]="M","Male", IF(orders[[#This Row],[Customer Gender]]="F","Female", IF(orders[[#This Row],[Customer Gender]]= "O", "Other","Unknown")))</f>
        <v>Female</v>
      </c>
    </row>
    <row r="1279" spans="1:16" hidden="1"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s="12" t="str">
        <f>TEXT(orders[[#This Row],[Order Date]],"mmmm")</f>
        <v>February</v>
      </c>
      <c r="P1279" t="str">
        <f>IF(orders[[#This Row],[Customer Gender]]="M","Male", IF(orders[[#This Row],[Customer Gender]]="F","Female", IF(orders[[#This Row],[Customer Gender]]= "O", "Other","Unknown")))</f>
        <v>Unknown</v>
      </c>
    </row>
    <row r="1280" spans="1:16"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s="12" t="str">
        <f>TEXT(orders[[#This Row],[Order Date]],"mmmm")</f>
        <v>February</v>
      </c>
      <c r="P1280" t="str">
        <f>IF(orders[[#This Row],[Customer Gender]]="M","Male", IF(orders[[#This Row],[Customer Gender]]="F","Female", IF(orders[[#This Row],[Customer Gender]]= "O", "Other","Unknown")))</f>
        <v>Female</v>
      </c>
    </row>
    <row r="1281" spans="1:16"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s="12" t="str">
        <f>TEXT(orders[[#This Row],[Order Date]],"mmmm")</f>
        <v>February</v>
      </c>
      <c r="P1281" t="str">
        <f>IF(orders[[#This Row],[Customer Gender]]="M","Male", IF(orders[[#This Row],[Customer Gender]]="F","Female", IF(orders[[#This Row],[Customer Gender]]= "O", "Other","Unknown")))</f>
        <v>Female</v>
      </c>
    </row>
    <row r="1282" spans="1:16"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s="12" t="str">
        <f>TEXT(orders[[#This Row],[Order Date]],"mmmm")</f>
        <v>February</v>
      </c>
      <c r="P1282" t="str">
        <f>IF(orders[[#This Row],[Customer Gender]]="M","Male", IF(orders[[#This Row],[Customer Gender]]="F","Female", IF(orders[[#This Row],[Customer Gender]]= "O", "Other","Unknown")))</f>
        <v>Female</v>
      </c>
    </row>
    <row r="1283" spans="1:16"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s="12" t="str">
        <f>TEXT(orders[[#This Row],[Order Date]],"mmmm")</f>
        <v>February</v>
      </c>
      <c r="P1283" t="str">
        <f>IF(orders[[#This Row],[Customer Gender]]="M","Male", IF(orders[[#This Row],[Customer Gender]]="F","Female", IF(orders[[#This Row],[Customer Gender]]= "O", "Other","Unknown")))</f>
        <v>Female</v>
      </c>
    </row>
    <row r="1284" spans="1:16"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s="12" t="str">
        <f>TEXT(orders[[#This Row],[Order Date]],"mmmm")</f>
        <v>February</v>
      </c>
      <c r="P1284" t="str">
        <f>IF(orders[[#This Row],[Customer Gender]]="M","Male", IF(orders[[#This Row],[Customer Gender]]="F","Female", IF(orders[[#This Row],[Customer Gender]]= "O", "Other","Unknown")))</f>
        <v>Male</v>
      </c>
    </row>
    <row r="1285" spans="1:16"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s="12" t="str">
        <f>TEXT(orders[[#This Row],[Order Date]],"mmmm")</f>
        <v>February</v>
      </c>
      <c r="P1285" t="str">
        <f>IF(orders[[#This Row],[Customer Gender]]="M","Male", IF(orders[[#This Row],[Customer Gender]]="F","Female", IF(orders[[#This Row],[Customer Gender]]= "O", "Other","Unknown")))</f>
        <v>Female</v>
      </c>
    </row>
    <row r="1286" spans="1:16"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s="12" t="str">
        <f>TEXT(orders[[#This Row],[Order Date]],"mmmm")</f>
        <v>February</v>
      </c>
      <c r="P1286" t="str">
        <f>IF(orders[[#This Row],[Customer Gender]]="M","Male", IF(orders[[#This Row],[Customer Gender]]="F","Female", IF(orders[[#This Row],[Customer Gender]]= "O", "Other","Unknown")))</f>
        <v>Male</v>
      </c>
    </row>
    <row r="1287" spans="1:16"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s="12" t="str">
        <f>TEXT(orders[[#This Row],[Order Date]],"mmmm")</f>
        <v>February</v>
      </c>
      <c r="P1287" t="str">
        <f>IF(orders[[#This Row],[Customer Gender]]="M","Male", IF(orders[[#This Row],[Customer Gender]]="F","Female", IF(orders[[#This Row],[Customer Gender]]= "O", "Other","Unknown")))</f>
        <v>Male</v>
      </c>
    </row>
    <row r="1288" spans="1:16"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s="12" t="str">
        <f>TEXT(orders[[#This Row],[Order Date]],"mmmm")</f>
        <v>February</v>
      </c>
      <c r="P1288" t="str">
        <f>IF(orders[[#This Row],[Customer Gender]]="M","Male", IF(orders[[#This Row],[Customer Gender]]="F","Female", IF(orders[[#This Row],[Customer Gender]]= "O", "Other","Unknown")))</f>
        <v>Male</v>
      </c>
    </row>
    <row r="1289" spans="1:16"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s="12" t="str">
        <f>TEXT(orders[[#This Row],[Order Date]],"mmmm")</f>
        <v>February</v>
      </c>
      <c r="P1289" t="str">
        <f>IF(orders[[#This Row],[Customer Gender]]="M","Male", IF(orders[[#This Row],[Customer Gender]]="F","Female", IF(orders[[#This Row],[Customer Gender]]= "O", "Other","Unknown")))</f>
        <v>Male</v>
      </c>
    </row>
    <row r="1290" spans="1:16"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s="12" t="str">
        <f>TEXT(orders[[#This Row],[Order Date]],"mmmm")</f>
        <v>February</v>
      </c>
      <c r="P1290" t="str">
        <f>IF(orders[[#This Row],[Customer Gender]]="M","Male", IF(orders[[#This Row],[Customer Gender]]="F","Female", IF(orders[[#This Row],[Customer Gender]]= "O", "Other","Unknown")))</f>
        <v>Male</v>
      </c>
    </row>
    <row r="1291" spans="1:16"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s="12" t="str">
        <f>TEXT(orders[[#This Row],[Order Date]],"mmmm")</f>
        <v>February</v>
      </c>
      <c r="P1291" t="str">
        <f>IF(orders[[#This Row],[Customer Gender]]="M","Male", IF(orders[[#This Row],[Customer Gender]]="F","Female", IF(orders[[#This Row],[Customer Gender]]= "O", "Other","Unknown")))</f>
        <v>Male</v>
      </c>
    </row>
    <row r="1292" spans="1:16"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s="12" t="str">
        <f>TEXT(orders[[#This Row],[Order Date]],"mmmm")</f>
        <v>February</v>
      </c>
      <c r="P1292" t="str">
        <f>IF(orders[[#This Row],[Customer Gender]]="M","Male", IF(orders[[#This Row],[Customer Gender]]="F","Female", IF(orders[[#This Row],[Customer Gender]]= "O", "Other","Unknown")))</f>
        <v>Male</v>
      </c>
    </row>
    <row r="1293" spans="1:16"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s="12" t="str">
        <f>TEXT(orders[[#This Row],[Order Date]],"mmmm")</f>
        <v>February</v>
      </c>
      <c r="P1293" t="str">
        <f>IF(orders[[#This Row],[Customer Gender]]="M","Male", IF(orders[[#This Row],[Customer Gender]]="F","Female", IF(orders[[#This Row],[Customer Gender]]= "O", "Other","Unknown")))</f>
        <v>Female</v>
      </c>
    </row>
    <row r="1294" spans="1:16"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s="12" t="str">
        <f>TEXT(orders[[#This Row],[Order Date]],"mmmm")</f>
        <v>February</v>
      </c>
      <c r="P1294" t="str">
        <f>IF(orders[[#This Row],[Customer Gender]]="M","Male", IF(orders[[#This Row],[Customer Gender]]="F","Female", IF(orders[[#This Row],[Customer Gender]]= "O", "Other","Unknown")))</f>
        <v>Male</v>
      </c>
    </row>
    <row r="1295" spans="1:16"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s="12" t="str">
        <f>TEXT(orders[[#This Row],[Order Date]],"mmmm")</f>
        <v>February</v>
      </c>
      <c r="P1295" t="str">
        <f>IF(orders[[#This Row],[Customer Gender]]="M","Male", IF(orders[[#This Row],[Customer Gender]]="F","Female", IF(orders[[#This Row],[Customer Gender]]= "O", "Other","Unknown")))</f>
        <v>Male</v>
      </c>
    </row>
    <row r="1296" spans="1:16" hidden="1"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s="12" t="str">
        <f>TEXT(orders[[#This Row],[Order Date]],"mmmm")</f>
        <v>February</v>
      </c>
      <c r="P1296" t="str">
        <f>IF(orders[[#This Row],[Customer Gender]]="M","Male", IF(orders[[#This Row],[Customer Gender]]="F","Female", IF(orders[[#This Row],[Customer Gender]]= "O", "Other","Unknown")))</f>
        <v>Unknown</v>
      </c>
    </row>
    <row r="1297" spans="1:16"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s="12" t="str">
        <f>TEXT(orders[[#This Row],[Order Date]],"mmmm")</f>
        <v>February</v>
      </c>
      <c r="P1297" t="str">
        <f>IF(orders[[#This Row],[Customer Gender]]="M","Male", IF(orders[[#This Row],[Customer Gender]]="F","Female", IF(orders[[#This Row],[Customer Gender]]= "O", "Other","Unknown")))</f>
        <v>Male</v>
      </c>
    </row>
    <row r="1298" spans="1:16"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s="12" t="str">
        <f>TEXT(orders[[#This Row],[Order Date]],"mmmm")</f>
        <v>February</v>
      </c>
      <c r="P1298" t="str">
        <f>IF(orders[[#This Row],[Customer Gender]]="M","Male", IF(orders[[#This Row],[Customer Gender]]="F","Female", IF(orders[[#This Row],[Customer Gender]]= "O", "Other","Unknown")))</f>
        <v>Female</v>
      </c>
    </row>
    <row r="1299" spans="1:16"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s="12" t="str">
        <f>TEXT(orders[[#This Row],[Order Date]],"mmmm")</f>
        <v>February</v>
      </c>
      <c r="P1299" t="str">
        <f>IF(orders[[#This Row],[Customer Gender]]="M","Male", IF(orders[[#This Row],[Customer Gender]]="F","Female", IF(orders[[#This Row],[Customer Gender]]= "O", "Other","Unknown")))</f>
        <v>Female</v>
      </c>
    </row>
    <row r="1300" spans="1:16"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s="12" t="str">
        <f>TEXT(orders[[#This Row],[Order Date]],"mmmm")</f>
        <v>February</v>
      </c>
      <c r="P1300" t="str">
        <f>IF(orders[[#This Row],[Customer Gender]]="M","Male", IF(orders[[#This Row],[Customer Gender]]="F","Female", IF(orders[[#This Row],[Customer Gender]]= "O", "Other","Unknown")))</f>
        <v>Female</v>
      </c>
    </row>
    <row r="1301" spans="1:16"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s="12" t="str">
        <f>TEXT(orders[[#This Row],[Order Date]],"mmmm")</f>
        <v>February</v>
      </c>
      <c r="P1301" t="str">
        <f>IF(orders[[#This Row],[Customer Gender]]="M","Male", IF(orders[[#This Row],[Customer Gender]]="F","Female", IF(orders[[#This Row],[Customer Gender]]= "O", "Other","Unknown")))</f>
        <v>Female</v>
      </c>
    </row>
    <row r="1302" spans="1:16"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s="12" t="str">
        <f>TEXT(orders[[#This Row],[Order Date]],"mmmm")</f>
        <v>February</v>
      </c>
      <c r="P1302" t="str">
        <f>IF(orders[[#This Row],[Customer Gender]]="M","Male", IF(orders[[#This Row],[Customer Gender]]="F","Female", IF(orders[[#This Row],[Customer Gender]]= "O", "Other","Unknown")))</f>
        <v>Female</v>
      </c>
    </row>
    <row r="1303" spans="1:16"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s="12" t="str">
        <f>TEXT(orders[[#This Row],[Order Date]],"mmmm")</f>
        <v>February</v>
      </c>
      <c r="P1303" t="str">
        <f>IF(orders[[#This Row],[Customer Gender]]="M","Male", IF(orders[[#This Row],[Customer Gender]]="F","Female", IF(orders[[#This Row],[Customer Gender]]= "O", "Other","Unknown")))</f>
        <v>Male</v>
      </c>
    </row>
    <row r="1304" spans="1:16"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s="12" t="str">
        <f>TEXT(orders[[#This Row],[Order Date]],"mmmm")</f>
        <v>February</v>
      </c>
      <c r="P1304" t="str">
        <f>IF(orders[[#This Row],[Customer Gender]]="M","Male", IF(orders[[#This Row],[Customer Gender]]="F","Female", IF(orders[[#This Row],[Customer Gender]]= "O", "Other","Unknown")))</f>
        <v>Male</v>
      </c>
    </row>
    <row r="1305" spans="1:16"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s="12" t="str">
        <f>TEXT(orders[[#This Row],[Order Date]],"mmmm")</f>
        <v>February</v>
      </c>
      <c r="P1305" t="str">
        <f>IF(orders[[#This Row],[Customer Gender]]="M","Male", IF(orders[[#This Row],[Customer Gender]]="F","Female", IF(orders[[#This Row],[Customer Gender]]= "O", "Other","Unknown")))</f>
        <v>Female</v>
      </c>
    </row>
    <row r="1306" spans="1:16"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s="12" t="str">
        <f>TEXT(orders[[#This Row],[Order Date]],"mmmm")</f>
        <v>February</v>
      </c>
      <c r="P1306" t="str">
        <f>IF(orders[[#This Row],[Customer Gender]]="M","Male", IF(orders[[#This Row],[Customer Gender]]="F","Female", IF(orders[[#This Row],[Customer Gender]]= "O", "Other","Unknown")))</f>
        <v>Female</v>
      </c>
    </row>
    <row r="1307" spans="1:16"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s="12" t="str">
        <f>TEXT(orders[[#This Row],[Order Date]],"mmmm")</f>
        <v>February</v>
      </c>
      <c r="P1307" t="str">
        <f>IF(orders[[#This Row],[Customer Gender]]="M","Male", IF(orders[[#This Row],[Customer Gender]]="F","Female", IF(orders[[#This Row],[Customer Gender]]= "O", "Other","Unknown")))</f>
        <v>Female</v>
      </c>
    </row>
    <row r="1308" spans="1:16"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s="12" t="str">
        <f>TEXT(orders[[#This Row],[Order Date]],"mmmm")</f>
        <v>February</v>
      </c>
      <c r="P1308" t="str">
        <f>IF(orders[[#This Row],[Customer Gender]]="M","Male", IF(orders[[#This Row],[Customer Gender]]="F","Female", IF(orders[[#This Row],[Customer Gender]]= "O", "Other","Unknown")))</f>
        <v>Male</v>
      </c>
    </row>
    <row r="1309" spans="1:16"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s="12" t="str">
        <f>TEXT(orders[[#This Row],[Order Date]],"mmmm")</f>
        <v>February</v>
      </c>
      <c r="P1309" t="str">
        <f>IF(orders[[#This Row],[Customer Gender]]="M","Male", IF(orders[[#This Row],[Customer Gender]]="F","Female", IF(orders[[#This Row],[Customer Gender]]= "O", "Other","Unknown")))</f>
        <v>Female</v>
      </c>
    </row>
    <row r="1310" spans="1:16"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s="12" t="str">
        <f>TEXT(orders[[#This Row],[Order Date]],"mmmm")</f>
        <v>February</v>
      </c>
      <c r="P1310" t="str">
        <f>IF(orders[[#This Row],[Customer Gender]]="M","Male", IF(orders[[#This Row],[Customer Gender]]="F","Female", IF(orders[[#This Row],[Customer Gender]]= "O", "Other","Unknown")))</f>
        <v>Male</v>
      </c>
    </row>
    <row r="1311" spans="1:16"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s="12" t="str">
        <f>TEXT(orders[[#This Row],[Order Date]],"mmmm")</f>
        <v>February</v>
      </c>
      <c r="P1311" t="str">
        <f>IF(orders[[#This Row],[Customer Gender]]="M","Male", IF(orders[[#This Row],[Customer Gender]]="F","Female", IF(orders[[#This Row],[Customer Gender]]= "O", "Other","Unknown")))</f>
        <v>Male</v>
      </c>
    </row>
    <row r="1312" spans="1:16"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s="12" t="str">
        <f>TEXT(orders[[#This Row],[Order Date]],"mmmm")</f>
        <v>February</v>
      </c>
      <c r="P1312" t="str">
        <f>IF(orders[[#This Row],[Customer Gender]]="M","Male", IF(orders[[#This Row],[Customer Gender]]="F","Female", IF(orders[[#This Row],[Customer Gender]]= "O", "Other","Unknown")))</f>
        <v>Male</v>
      </c>
    </row>
    <row r="1313" spans="1:16"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s="12" t="str">
        <f>TEXT(orders[[#This Row],[Order Date]],"mmmm")</f>
        <v>February</v>
      </c>
      <c r="P1313" t="str">
        <f>IF(orders[[#This Row],[Customer Gender]]="M","Male", IF(orders[[#This Row],[Customer Gender]]="F","Female", IF(orders[[#This Row],[Customer Gender]]= "O", "Other","Unknown")))</f>
        <v>Male</v>
      </c>
    </row>
    <row r="1314" spans="1:16"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s="12" t="str">
        <f>TEXT(orders[[#This Row],[Order Date]],"mmmm")</f>
        <v>February</v>
      </c>
      <c r="P1314" t="str">
        <f>IF(orders[[#This Row],[Customer Gender]]="M","Male", IF(orders[[#This Row],[Customer Gender]]="F","Female", IF(orders[[#This Row],[Customer Gender]]= "O", "Other","Unknown")))</f>
        <v>Female</v>
      </c>
    </row>
    <row r="1315" spans="1:16"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s="12" t="str">
        <f>TEXT(orders[[#This Row],[Order Date]],"mmmm")</f>
        <v>February</v>
      </c>
      <c r="P1315" t="str">
        <f>IF(orders[[#This Row],[Customer Gender]]="M","Male", IF(orders[[#This Row],[Customer Gender]]="F","Female", IF(orders[[#This Row],[Customer Gender]]= "O", "Other","Unknown")))</f>
        <v>Female</v>
      </c>
    </row>
    <row r="1316" spans="1:16"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s="12" t="str">
        <f>TEXT(orders[[#This Row],[Order Date]],"mmmm")</f>
        <v>February</v>
      </c>
      <c r="P1316" t="str">
        <f>IF(orders[[#This Row],[Customer Gender]]="M","Male", IF(orders[[#This Row],[Customer Gender]]="F","Female", IF(orders[[#This Row],[Customer Gender]]= "O", "Other","Unknown")))</f>
        <v>Female</v>
      </c>
    </row>
    <row r="1317" spans="1:16" hidden="1"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s="12" t="str">
        <f>TEXT(orders[[#This Row],[Order Date]],"mmmm")</f>
        <v>February</v>
      </c>
      <c r="P1317" t="str">
        <f>IF(orders[[#This Row],[Customer Gender]]="M","Male", IF(orders[[#This Row],[Customer Gender]]="F","Female", IF(orders[[#This Row],[Customer Gender]]= "O", "Other","Unknown")))</f>
        <v>Unknown</v>
      </c>
    </row>
    <row r="1318" spans="1:16"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s="12" t="str">
        <f>TEXT(orders[[#This Row],[Order Date]],"mmmm")</f>
        <v>February</v>
      </c>
      <c r="P1318" t="str">
        <f>IF(orders[[#This Row],[Customer Gender]]="M","Male", IF(orders[[#This Row],[Customer Gender]]="F","Female", IF(orders[[#This Row],[Customer Gender]]= "O", "Other","Unknown")))</f>
        <v>Female</v>
      </c>
    </row>
    <row r="1319" spans="1:16"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s="12" t="str">
        <f>TEXT(orders[[#This Row],[Order Date]],"mmmm")</f>
        <v>February</v>
      </c>
      <c r="P1319" t="str">
        <f>IF(orders[[#This Row],[Customer Gender]]="M","Male", IF(orders[[#This Row],[Customer Gender]]="F","Female", IF(orders[[#This Row],[Customer Gender]]= "O", "Other","Unknown")))</f>
        <v>Female</v>
      </c>
    </row>
    <row r="1320" spans="1:16"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s="12" t="str">
        <f>TEXT(orders[[#This Row],[Order Date]],"mmmm")</f>
        <v>February</v>
      </c>
      <c r="P1320" t="str">
        <f>IF(orders[[#This Row],[Customer Gender]]="M","Male", IF(orders[[#This Row],[Customer Gender]]="F","Female", IF(orders[[#This Row],[Customer Gender]]= "O", "Other","Unknown")))</f>
        <v>Male</v>
      </c>
    </row>
    <row r="1321" spans="1:16"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s="12" t="str">
        <f>TEXT(orders[[#This Row],[Order Date]],"mmmm")</f>
        <v>February</v>
      </c>
      <c r="P1321" t="str">
        <f>IF(orders[[#This Row],[Customer Gender]]="M","Male", IF(orders[[#This Row],[Customer Gender]]="F","Female", IF(orders[[#This Row],[Customer Gender]]= "O", "Other","Unknown")))</f>
        <v>Male</v>
      </c>
    </row>
    <row r="1322" spans="1:16"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s="12" t="str">
        <f>TEXT(orders[[#This Row],[Order Date]],"mmmm")</f>
        <v>February</v>
      </c>
      <c r="P1322" t="str">
        <f>IF(orders[[#This Row],[Customer Gender]]="M","Male", IF(orders[[#This Row],[Customer Gender]]="F","Female", IF(orders[[#This Row],[Customer Gender]]= "O", "Other","Unknown")))</f>
        <v>Male</v>
      </c>
    </row>
    <row r="1323" spans="1:16"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s="12" t="str">
        <f>TEXT(orders[[#This Row],[Order Date]],"mmmm")</f>
        <v>February</v>
      </c>
      <c r="P1323" t="str">
        <f>IF(orders[[#This Row],[Customer Gender]]="M","Male", IF(orders[[#This Row],[Customer Gender]]="F","Female", IF(orders[[#This Row],[Customer Gender]]= "O", "Other","Unknown")))</f>
        <v>Male</v>
      </c>
    </row>
    <row r="1324" spans="1:16"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s="12" t="str">
        <f>TEXT(orders[[#This Row],[Order Date]],"mmmm")</f>
        <v>February</v>
      </c>
      <c r="P1324" t="str">
        <f>IF(orders[[#This Row],[Customer Gender]]="M","Male", IF(orders[[#This Row],[Customer Gender]]="F","Female", IF(orders[[#This Row],[Customer Gender]]= "O", "Other","Unknown")))</f>
        <v>Female</v>
      </c>
    </row>
    <row r="1325" spans="1:16"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s="12" t="str">
        <f>TEXT(orders[[#This Row],[Order Date]],"mmmm")</f>
        <v>February</v>
      </c>
      <c r="P1325" t="str">
        <f>IF(orders[[#This Row],[Customer Gender]]="M","Male", IF(orders[[#This Row],[Customer Gender]]="F","Female", IF(orders[[#This Row],[Customer Gender]]= "O", "Other","Unknown")))</f>
        <v>Male</v>
      </c>
    </row>
    <row r="1326" spans="1:16"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s="12" t="str">
        <f>TEXT(orders[[#This Row],[Order Date]],"mmmm")</f>
        <v>February</v>
      </c>
      <c r="P1326" t="str">
        <f>IF(orders[[#This Row],[Customer Gender]]="M","Male", IF(orders[[#This Row],[Customer Gender]]="F","Female", IF(orders[[#This Row],[Customer Gender]]= "O", "Other","Unknown")))</f>
        <v>Male</v>
      </c>
    </row>
    <row r="1327" spans="1:16"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s="12" t="str">
        <f>TEXT(orders[[#This Row],[Order Date]],"mmmm")</f>
        <v>February</v>
      </c>
      <c r="P1327" t="str">
        <f>IF(orders[[#This Row],[Customer Gender]]="M","Male", IF(orders[[#This Row],[Customer Gender]]="F","Female", IF(orders[[#This Row],[Customer Gender]]= "O", "Other","Unknown")))</f>
        <v>Male</v>
      </c>
    </row>
    <row r="1328" spans="1:16"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s="12" t="str">
        <f>TEXT(orders[[#This Row],[Order Date]],"mmmm")</f>
        <v>February</v>
      </c>
      <c r="P1328" t="str">
        <f>IF(orders[[#This Row],[Customer Gender]]="M","Male", IF(orders[[#This Row],[Customer Gender]]="F","Female", IF(orders[[#This Row],[Customer Gender]]= "O", "Other","Unknown")))</f>
        <v>Male</v>
      </c>
    </row>
    <row r="1329" spans="1:16"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s="12" t="str">
        <f>TEXT(orders[[#This Row],[Order Date]],"mmmm")</f>
        <v>February</v>
      </c>
      <c r="P1329" t="str">
        <f>IF(orders[[#This Row],[Customer Gender]]="M","Male", IF(orders[[#This Row],[Customer Gender]]="F","Female", IF(orders[[#This Row],[Customer Gender]]= "O", "Other","Unknown")))</f>
        <v>Female</v>
      </c>
    </row>
    <row r="1330" spans="1:16"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s="12" t="str">
        <f>TEXT(orders[[#This Row],[Order Date]],"mmmm")</f>
        <v>February</v>
      </c>
      <c r="P1330" t="str">
        <f>IF(orders[[#This Row],[Customer Gender]]="M","Male", IF(orders[[#This Row],[Customer Gender]]="F","Female", IF(orders[[#This Row],[Customer Gender]]= "O", "Other","Unknown")))</f>
        <v>Male</v>
      </c>
    </row>
    <row r="1331" spans="1:16" hidden="1"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s="12" t="str">
        <f>TEXT(orders[[#This Row],[Order Date]],"mmmm")</f>
        <v>February</v>
      </c>
      <c r="P1331" t="str">
        <f>IF(orders[[#This Row],[Customer Gender]]="M","Male", IF(orders[[#This Row],[Customer Gender]]="F","Female", IF(orders[[#This Row],[Customer Gender]]= "O", "Other","Unknown")))</f>
        <v>Unknown</v>
      </c>
    </row>
    <row r="1332" spans="1:16"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s="12" t="str">
        <f>TEXT(orders[[#This Row],[Order Date]],"mmmm")</f>
        <v>February</v>
      </c>
      <c r="P1332" t="str">
        <f>IF(orders[[#This Row],[Customer Gender]]="M","Male", IF(orders[[#This Row],[Customer Gender]]="F","Female", IF(orders[[#This Row],[Customer Gender]]= "O", "Other","Unknown")))</f>
        <v>Male</v>
      </c>
    </row>
    <row r="1333" spans="1:16"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s="12" t="str">
        <f>TEXT(orders[[#This Row],[Order Date]],"mmmm")</f>
        <v>February</v>
      </c>
      <c r="P1333" t="str">
        <f>IF(orders[[#This Row],[Customer Gender]]="M","Male", IF(orders[[#This Row],[Customer Gender]]="F","Female", IF(orders[[#This Row],[Customer Gender]]= "O", "Other","Unknown")))</f>
        <v>Female</v>
      </c>
    </row>
    <row r="1334" spans="1:16"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s="12" t="str">
        <f>TEXT(orders[[#This Row],[Order Date]],"mmmm")</f>
        <v>February</v>
      </c>
      <c r="P1334" t="str">
        <f>IF(orders[[#This Row],[Customer Gender]]="M","Male", IF(orders[[#This Row],[Customer Gender]]="F","Female", IF(orders[[#This Row],[Customer Gender]]= "O", "Other","Unknown")))</f>
        <v>Female</v>
      </c>
    </row>
    <row r="1335" spans="1:16"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s="12" t="str">
        <f>TEXT(orders[[#This Row],[Order Date]],"mmmm")</f>
        <v>February</v>
      </c>
      <c r="P1335" t="str">
        <f>IF(orders[[#This Row],[Customer Gender]]="M","Male", IF(orders[[#This Row],[Customer Gender]]="F","Female", IF(orders[[#This Row],[Customer Gender]]= "O", "Other","Unknown")))</f>
        <v>Male</v>
      </c>
    </row>
    <row r="1336" spans="1:16"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s="12" t="str">
        <f>TEXT(orders[[#This Row],[Order Date]],"mmmm")</f>
        <v>February</v>
      </c>
      <c r="P1336" t="str">
        <f>IF(orders[[#This Row],[Customer Gender]]="M","Male", IF(orders[[#This Row],[Customer Gender]]="F","Female", IF(orders[[#This Row],[Customer Gender]]= "O", "Other","Unknown")))</f>
        <v>Female</v>
      </c>
    </row>
    <row r="1337" spans="1:16"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s="12" t="str">
        <f>TEXT(orders[[#This Row],[Order Date]],"mmmm")</f>
        <v>February</v>
      </c>
      <c r="P1337" t="str">
        <f>IF(orders[[#This Row],[Customer Gender]]="M","Male", IF(orders[[#This Row],[Customer Gender]]="F","Female", IF(orders[[#This Row],[Customer Gender]]= "O", "Other","Unknown")))</f>
        <v>Male</v>
      </c>
    </row>
    <row r="1338" spans="1:16"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s="12" t="str">
        <f>TEXT(orders[[#This Row],[Order Date]],"mmmm")</f>
        <v>February</v>
      </c>
      <c r="P1338" t="str">
        <f>IF(orders[[#This Row],[Customer Gender]]="M","Male", IF(orders[[#This Row],[Customer Gender]]="F","Female", IF(orders[[#This Row],[Customer Gender]]= "O", "Other","Unknown")))</f>
        <v>Male</v>
      </c>
    </row>
    <row r="1339" spans="1:16"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s="12" t="str">
        <f>TEXT(orders[[#This Row],[Order Date]],"mmmm")</f>
        <v>February</v>
      </c>
      <c r="P1339" t="str">
        <f>IF(orders[[#This Row],[Customer Gender]]="M","Male", IF(orders[[#This Row],[Customer Gender]]="F","Female", IF(orders[[#This Row],[Customer Gender]]= "O", "Other","Unknown")))</f>
        <v>Male</v>
      </c>
    </row>
    <row r="1340" spans="1:16"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s="12" t="str">
        <f>TEXT(orders[[#This Row],[Order Date]],"mmmm")</f>
        <v>February</v>
      </c>
      <c r="P1340" t="str">
        <f>IF(orders[[#This Row],[Customer Gender]]="M","Male", IF(orders[[#This Row],[Customer Gender]]="F","Female", IF(orders[[#This Row],[Customer Gender]]= "O", "Other","Unknown")))</f>
        <v>Male</v>
      </c>
    </row>
    <row r="1341" spans="1:16"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s="12" t="str">
        <f>TEXT(orders[[#This Row],[Order Date]],"mmmm")</f>
        <v>February</v>
      </c>
      <c r="P1341" t="str">
        <f>IF(orders[[#This Row],[Customer Gender]]="M","Male", IF(orders[[#This Row],[Customer Gender]]="F","Female", IF(orders[[#This Row],[Customer Gender]]= "O", "Other","Unknown")))</f>
        <v>Female</v>
      </c>
    </row>
    <row r="1342" spans="1:16"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s="12" t="str">
        <f>TEXT(orders[[#This Row],[Order Date]],"mmmm")</f>
        <v>February</v>
      </c>
      <c r="P1342" t="str">
        <f>IF(orders[[#This Row],[Customer Gender]]="M","Male", IF(orders[[#This Row],[Customer Gender]]="F","Female", IF(orders[[#This Row],[Customer Gender]]= "O", "Other","Unknown")))</f>
        <v>Male</v>
      </c>
    </row>
    <row r="1343" spans="1:16"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s="12" t="str">
        <f>TEXT(orders[[#This Row],[Order Date]],"mmmm")</f>
        <v>February</v>
      </c>
      <c r="P1343" t="str">
        <f>IF(orders[[#This Row],[Customer Gender]]="M","Male", IF(orders[[#This Row],[Customer Gender]]="F","Female", IF(orders[[#This Row],[Customer Gender]]= "O", "Other","Unknown")))</f>
        <v>Male</v>
      </c>
    </row>
    <row r="1344" spans="1:16"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s="12" t="str">
        <f>TEXT(orders[[#This Row],[Order Date]],"mmmm")</f>
        <v>February</v>
      </c>
      <c r="P1344" t="str">
        <f>IF(orders[[#This Row],[Customer Gender]]="M","Male", IF(orders[[#This Row],[Customer Gender]]="F","Female", IF(orders[[#This Row],[Customer Gender]]= "O", "Other","Unknown")))</f>
        <v>Male</v>
      </c>
    </row>
    <row r="1345" spans="1:16"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s="12" t="str">
        <f>TEXT(orders[[#This Row],[Order Date]],"mmmm")</f>
        <v>February</v>
      </c>
      <c r="P1345" t="str">
        <f>IF(orders[[#This Row],[Customer Gender]]="M","Male", IF(orders[[#This Row],[Customer Gender]]="F","Female", IF(orders[[#This Row],[Customer Gender]]= "O", "Other","Unknown")))</f>
        <v>Female</v>
      </c>
    </row>
    <row r="1346" spans="1:16"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s="12" t="str">
        <f>TEXT(orders[[#This Row],[Order Date]],"mmmm")</f>
        <v>February</v>
      </c>
      <c r="P1346" t="str">
        <f>IF(orders[[#This Row],[Customer Gender]]="M","Male", IF(orders[[#This Row],[Customer Gender]]="F","Female", IF(orders[[#This Row],[Customer Gender]]= "O", "Other","Unknown")))</f>
        <v>Male</v>
      </c>
    </row>
    <row r="1347" spans="1:16"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s="12" t="str">
        <f>TEXT(orders[[#This Row],[Order Date]],"mmmm")</f>
        <v>February</v>
      </c>
      <c r="P1347" t="str">
        <f>IF(orders[[#This Row],[Customer Gender]]="M","Male", IF(orders[[#This Row],[Customer Gender]]="F","Female", IF(orders[[#This Row],[Customer Gender]]= "O", "Other","Unknown")))</f>
        <v>Female</v>
      </c>
    </row>
    <row r="1348" spans="1:16"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s="12" t="str">
        <f>TEXT(orders[[#This Row],[Order Date]],"mmmm")</f>
        <v>February</v>
      </c>
      <c r="P1348" t="str">
        <f>IF(orders[[#This Row],[Customer Gender]]="M","Male", IF(orders[[#This Row],[Customer Gender]]="F","Female", IF(orders[[#This Row],[Customer Gender]]= "O", "Other","Unknown")))</f>
        <v>Female</v>
      </c>
    </row>
    <row r="1349" spans="1:16"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s="12" t="str">
        <f>TEXT(orders[[#This Row],[Order Date]],"mmmm")</f>
        <v>February</v>
      </c>
      <c r="P1349" t="str">
        <f>IF(orders[[#This Row],[Customer Gender]]="M","Male", IF(orders[[#This Row],[Customer Gender]]="F","Female", IF(orders[[#This Row],[Customer Gender]]= "O", "Other","Unknown")))</f>
        <v>Female</v>
      </c>
    </row>
    <row r="1350" spans="1:16"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s="12" t="str">
        <f>TEXT(orders[[#This Row],[Order Date]],"mmmm")</f>
        <v>February</v>
      </c>
      <c r="P1350" t="str">
        <f>IF(orders[[#This Row],[Customer Gender]]="M","Male", IF(orders[[#This Row],[Customer Gender]]="F","Female", IF(orders[[#This Row],[Customer Gender]]= "O", "Other","Unknown")))</f>
        <v>Male</v>
      </c>
    </row>
    <row r="1351" spans="1:16"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s="12" t="str">
        <f>TEXT(orders[[#This Row],[Order Date]],"mmmm")</f>
        <v>February</v>
      </c>
      <c r="P1351" t="str">
        <f>IF(orders[[#This Row],[Customer Gender]]="M","Male", IF(orders[[#This Row],[Customer Gender]]="F","Female", IF(orders[[#This Row],[Customer Gender]]= "O", "Other","Unknown")))</f>
        <v>Other</v>
      </c>
    </row>
    <row r="1352" spans="1:16"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s="12" t="str">
        <f>TEXT(orders[[#This Row],[Order Date]],"mmmm")</f>
        <v>February</v>
      </c>
      <c r="P1352" t="str">
        <f>IF(orders[[#This Row],[Customer Gender]]="M","Male", IF(orders[[#This Row],[Customer Gender]]="F","Female", IF(orders[[#This Row],[Customer Gender]]= "O", "Other","Unknown")))</f>
        <v>Female</v>
      </c>
    </row>
    <row r="1353" spans="1:16"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s="12" t="str">
        <f>TEXT(orders[[#This Row],[Order Date]],"mmmm")</f>
        <v>February</v>
      </c>
      <c r="P1353" t="str">
        <f>IF(orders[[#This Row],[Customer Gender]]="M","Male", IF(orders[[#This Row],[Customer Gender]]="F","Female", IF(orders[[#This Row],[Customer Gender]]= "O", "Other","Unknown")))</f>
        <v>Male</v>
      </c>
    </row>
    <row r="1354" spans="1:16"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s="12" t="str">
        <f>TEXT(orders[[#This Row],[Order Date]],"mmmm")</f>
        <v>February</v>
      </c>
      <c r="P1354" t="str">
        <f>IF(orders[[#This Row],[Customer Gender]]="M","Male", IF(orders[[#This Row],[Customer Gender]]="F","Female", IF(orders[[#This Row],[Customer Gender]]= "O", "Other","Unknown")))</f>
        <v>Female</v>
      </c>
    </row>
    <row r="1355" spans="1:16"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s="12" t="str">
        <f>TEXT(orders[[#This Row],[Order Date]],"mmmm")</f>
        <v>February</v>
      </c>
      <c r="P1355" t="str">
        <f>IF(orders[[#This Row],[Customer Gender]]="M","Male", IF(orders[[#This Row],[Customer Gender]]="F","Female", IF(orders[[#This Row],[Customer Gender]]= "O", "Other","Unknown")))</f>
        <v>Male</v>
      </c>
    </row>
    <row r="1356" spans="1:16"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s="12" t="str">
        <f>TEXT(orders[[#This Row],[Order Date]],"mmmm")</f>
        <v>February</v>
      </c>
      <c r="P1356" t="str">
        <f>IF(orders[[#This Row],[Customer Gender]]="M","Male", IF(orders[[#This Row],[Customer Gender]]="F","Female", IF(orders[[#This Row],[Customer Gender]]= "O", "Other","Unknown")))</f>
        <v>Male</v>
      </c>
    </row>
    <row r="1357" spans="1:16"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s="12" t="str">
        <f>TEXT(orders[[#This Row],[Order Date]],"mmmm")</f>
        <v>February</v>
      </c>
      <c r="P1357" t="str">
        <f>IF(orders[[#This Row],[Customer Gender]]="M","Male", IF(orders[[#This Row],[Customer Gender]]="F","Female", IF(orders[[#This Row],[Customer Gender]]= "O", "Other","Unknown")))</f>
        <v>Female</v>
      </c>
    </row>
    <row r="1358" spans="1:16"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s="12" t="str">
        <f>TEXT(orders[[#This Row],[Order Date]],"mmmm")</f>
        <v>February</v>
      </c>
      <c r="P1358" t="str">
        <f>IF(orders[[#This Row],[Customer Gender]]="M","Male", IF(orders[[#This Row],[Customer Gender]]="F","Female", IF(orders[[#This Row],[Customer Gender]]= "O", "Other","Unknown")))</f>
        <v>Female</v>
      </c>
    </row>
    <row r="1359" spans="1:16"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s="12" t="str">
        <f>TEXT(orders[[#This Row],[Order Date]],"mmmm")</f>
        <v>February</v>
      </c>
      <c r="P1359" t="str">
        <f>IF(orders[[#This Row],[Customer Gender]]="M","Male", IF(orders[[#This Row],[Customer Gender]]="F","Female", IF(orders[[#This Row],[Customer Gender]]= "O", "Other","Unknown")))</f>
        <v>Male</v>
      </c>
    </row>
    <row r="1360" spans="1:16" hidden="1"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s="12" t="str">
        <f>TEXT(orders[[#This Row],[Order Date]],"mmmm")</f>
        <v>February</v>
      </c>
      <c r="P1360" t="str">
        <f>IF(orders[[#This Row],[Customer Gender]]="M","Male", IF(orders[[#This Row],[Customer Gender]]="F","Female", IF(orders[[#This Row],[Customer Gender]]= "O", "Other","Unknown")))</f>
        <v>Unknown</v>
      </c>
    </row>
    <row r="1361" spans="1:16"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s="12" t="str">
        <f>TEXT(orders[[#This Row],[Order Date]],"mmmm")</f>
        <v>February</v>
      </c>
      <c r="P1361" t="str">
        <f>IF(orders[[#This Row],[Customer Gender]]="M","Male", IF(orders[[#This Row],[Customer Gender]]="F","Female", IF(orders[[#This Row],[Customer Gender]]= "O", "Other","Unknown")))</f>
        <v>Male</v>
      </c>
    </row>
    <row r="1362" spans="1:16"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s="12" t="str">
        <f>TEXT(orders[[#This Row],[Order Date]],"mmmm")</f>
        <v>February</v>
      </c>
      <c r="P1362" t="str">
        <f>IF(orders[[#This Row],[Customer Gender]]="M","Male", IF(orders[[#This Row],[Customer Gender]]="F","Female", IF(orders[[#This Row],[Customer Gender]]= "O", "Other","Unknown")))</f>
        <v>Female</v>
      </c>
    </row>
    <row r="1363" spans="1:16"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s="12" t="str">
        <f>TEXT(orders[[#This Row],[Order Date]],"mmmm")</f>
        <v>February</v>
      </c>
      <c r="P1363" t="str">
        <f>IF(orders[[#This Row],[Customer Gender]]="M","Male", IF(orders[[#This Row],[Customer Gender]]="F","Female", IF(orders[[#This Row],[Customer Gender]]= "O", "Other","Unknown")))</f>
        <v>Male</v>
      </c>
    </row>
    <row r="1364" spans="1:16" hidden="1"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s="12" t="str">
        <f>TEXT(orders[[#This Row],[Order Date]],"mmmm")</f>
        <v>February</v>
      </c>
      <c r="P1364" t="str">
        <f>IF(orders[[#This Row],[Customer Gender]]="M","Male", IF(orders[[#This Row],[Customer Gender]]="F","Female", IF(orders[[#This Row],[Customer Gender]]= "O", "Other","Unknown")))</f>
        <v>Unknown</v>
      </c>
    </row>
    <row r="1365" spans="1:16"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s="12" t="str">
        <f>TEXT(orders[[#This Row],[Order Date]],"mmmm")</f>
        <v>February</v>
      </c>
      <c r="P1365" t="str">
        <f>IF(orders[[#This Row],[Customer Gender]]="M","Male", IF(orders[[#This Row],[Customer Gender]]="F","Female", IF(orders[[#This Row],[Customer Gender]]= "O", "Other","Unknown")))</f>
        <v>Male</v>
      </c>
    </row>
    <row r="1366" spans="1:16"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s="12" t="str">
        <f>TEXT(orders[[#This Row],[Order Date]],"mmmm")</f>
        <v>February</v>
      </c>
      <c r="P1366" t="str">
        <f>IF(orders[[#This Row],[Customer Gender]]="M","Male", IF(orders[[#This Row],[Customer Gender]]="F","Female", IF(orders[[#This Row],[Customer Gender]]= "O", "Other","Unknown")))</f>
        <v>Male</v>
      </c>
    </row>
    <row r="1367" spans="1:16" hidden="1"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s="12" t="str">
        <f>TEXT(orders[[#This Row],[Order Date]],"mmmm")</f>
        <v>February</v>
      </c>
      <c r="P1367" t="str">
        <f>IF(orders[[#This Row],[Customer Gender]]="M","Male", IF(orders[[#This Row],[Customer Gender]]="F","Female", IF(orders[[#This Row],[Customer Gender]]= "O", "Other","Unknown")))</f>
        <v>Unknown</v>
      </c>
    </row>
    <row r="1368" spans="1:16"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s="12" t="str">
        <f>TEXT(orders[[#This Row],[Order Date]],"mmmm")</f>
        <v>February</v>
      </c>
      <c r="P1368" t="str">
        <f>IF(orders[[#This Row],[Customer Gender]]="M","Male", IF(orders[[#This Row],[Customer Gender]]="F","Female", IF(orders[[#This Row],[Customer Gender]]= "O", "Other","Unknown")))</f>
        <v>Female</v>
      </c>
    </row>
    <row r="1369" spans="1:16"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s="12" t="str">
        <f>TEXT(orders[[#This Row],[Order Date]],"mmmm")</f>
        <v>February</v>
      </c>
      <c r="P1369" t="str">
        <f>IF(orders[[#This Row],[Customer Gender]]="M","Male", IF(orders[[#This Row],[Customer Gender]]="F","Female", IF(orders[[#This Row],[Customer Gender]]= "O", "Other","Unknown")))</f>
        <v>Male</v>
      </c>
    </row>
    <row r="1370" spans="1:16"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s="12" t="str">
        <f>TEXT(orders[[#This Row],[Order Date]],"mmmm")</f>
        <v>February</v>
      </c>
      <c r="P1370" t="str">
        <f>IF(orders[[#This Row],[Customer Gender]]="M","Male", IF(orders[[#This Row],[Customer Gender]]="F","Female", IF(orders[[#This Row],[Customer Gender]]= "O", "Other","Unknown")))</f>
        <v>Male</v>
      </c>
    </row>
    <row r="1371" spans="1:16"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s="12" t="str">
        <f>TEXT(orders[[#This Row],[Order Date]],"mmmm")</f>
        <v>February</v>
      </c>
      <c r="P1371" t="str">
        <f>IF(orders[[#This Row],[Customer Gender]]="M","Male", IF(orders[[#This Row],[Customer Gender]]="F","Female", IF(orders[[#This Row],[Customer Gender]]= "O", "Other","Unknown")))</f>
        <v>Male</v>
      </c>
    </row>
    <row r="1372" spans="1:16"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s="12" t="str">
        <f>TEXT(orders[[#This Row],[Order Date]],"mmmm")</f>
        <v>February</v>
      </c>
      <c r="P1372" t="str">
        <f>IF(orders[[#This Row],[Customer Gender]]="M","Male", IF(orders[[#This Row],[Customer Gender]]="F","Female", IF(orders[[#This Row],[Customer Gender]]= "O", "Other","Unknown")))</f>
        <v>Male</v>
      </c>
    </row>
    <row r="1373" spans="1:16"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s="12" t="str">
        <f>TEXT(orders[[#This Row],[Order Date]],"mmmm")</f>
        <v>February</v>
      </c>
      <c r="P1373" t="str">
        <f>IF(orders[[#This Row],[Customer Gender]]="M","Male", IF(orders[[#This Row],[Customer Gender]]="F","Female", IF(orders[[#This Row],[Customer Gender]]= "O", "Other","Unknown")))</f>
        <v>Female</v>
      </c>
    </row>
    <row r="1374" spans="1:16"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s="12" t="str">
        <f>TEXT(orders[[#This Row],[Order Date]],"mmmm")</f>
        <v>February</v>
      </c>
      <c r="P1374" t="str">
        <f>IF(orders[[#This Row],[Customer Gender]]="M","Male", IF(orders[[#This Row],[Customer Gender]]="F","Female", IF(orders[[#This Row],[Customer Gender]]= "O", "Other","Unknown")))</f>
        <v>Other</v>
      </c>
    </row>
    <row r="1375" spans="1:16"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s="12" t="str">
        <f>TEXT(orders[[#This Row],[Order Date]],"mmmm")</f>
        <v>February</v>
      </c>
      <c r="P1375" t="str">
        <f>IF(orders[[#This Row],[Customer Gender]]="M","Male", IF(orders[[#This Row],[Customer Gender]]="F","Female", IF(orders[[#This Row],[Customer Gender]]= "O", "Other","Unknown")))</f>
        <v>Female</v>
      </c>
    </row>
    <row r="1376" spans="1:16"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s="12" t="str">
        <f>TEXT(orders[[#This Row],[Order Date]],"mmmm")</f>
        <v>February</v>
      </c>
      <c r="P1376" t="str">
        <f>IF(orders[[#This Row],[Customer Gender]]="M","Male", IF(orders[[#This Row],[Customer Gender]]="F","Female", IF(orders[[#This Row],[Customer Gender]]= "O", "Other","Unknown")))</f>
        <v>Female</v>
      </c>
    </row>
    <row r="1377" spans="1:16"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s="12" t="str">
        <f>TEXT(orders[[#This Row],[Order Date]],"mmmm")</f>
        <v>February</v>
      </c>
      <c r="P1377" t="str">
        <f>IF(orders[[#This Row],[Customer Gender]]="M","Male", IF(orders[[#This Row],[Customer Gender]]="F","Female", IF(orders[[#This Row],[Customer Gender]]= "O", "Other","Unknown")))</f>
        <v>Male</v>
      </c>
    </row>
    <row r="1378" spans="1:16"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s="12" t="str">
        <f>TEXT(orders[[#This Row],[Order Date]],"mmmm")</f>
        <v>February</v>
      </c>
      <c r="P1378" t="str">
        <f>IF(orders[[#This Row],[Customer Gender]]="M","Male", IF(orders[[#This Row],[Customer Gender]]="F","Female", IF(orders[[#This Row],[Customer Gender]]= "O", "Other","Unknown")))</f>
        <v>Male</v>
      </c>
    </row>
    <row r="1379" spans="1:16"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s="12" t="str">
        <f>TEXT(orders[[#This Row],[Order Date]],"mmmm")</f>
        <v>February</v>
      </c>
      <c r="P1379" t="str">
        <f>IF(orders[[#This Row],[Customer Gender]]="M","Male", IF(orders[[#This Row],[Customer Gender]]="F","Female", IF(orders[[#This Row],[Customer Gender]]= "O", "Other","Unknown")))</f>
        <v>Male</v>
      </c>
    </row>
    <row r="1380" spans="1:16"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s="12" t="str">
        <f>TEXT(orders[[#This Row],[Order Date]],"mmmm")</f>
        <v>February</v>
      </c>
      <c r="P1380" t="str">
        <f>IF(orders[[#This Row],[Customer Gender]]="M","Male", IF(orders[[#This Row],[Customer Gender]]="F","Female", IF(orders[[#This Row],[Customer Gender]]= "O", "Other","Unknown")))</f>
        <v>Female</v>
      </c>
    </row>
    <row r="1381" spans="1:16"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s="12" t="str">
        <f>TEXT(orders[[#This Row],[Order Date]],"mmmm")</f>
        <v>February</v>
      </c>
      <c r="P1381" t="str">
        <f>IF(orders[[#This Row],[Customer Gender]]="M","Male", IF(orders[[#This Row],[Customer Gender]]="F","Female", IF(orders[[#This Row],[Customer Gender]]= "O", "Other","Unknown")))</f>
        <v>Male</v>
      </c>
    </row>
    <row r="1382" spans="1:16"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s="12" t="str">
        <f>TEXT(orders[[#This Row],[Order Date]],"mmmm")</f>
        <v>February</v>
      </c>
      <c r="P1382" t="str">
        <f>IF(orders[[#This Row],[Customer Gender]]="M","Male", IF(orders[[#This Row],[Customer Gender]]="F","Female", IF(orders[[#This Row],[Customer Gender]]= "O", "Other","Unknown")))</f>
        <v>Male</v>
      </c>
    </row>
    <row r="1383" spans="1:16"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s="12" t="str">
        <f>TEXT(orders[[#This Row],[Order Date]],"mmmm")</f>
        <v>February</v>
      </c>
      <c r="P1383" t="str">
        <f>IF(orders[[#This Row],[Customer Gender]]="M","Male", IF(orders[[#This Row],[Customer Gender]]="F","Female", IF(orders[[#This Row],[Customer Gender]]= "O", "Other","Unknown")))</f>
        <v>Male</v>
      </c>
    </row>
    <row r="1384" spans="1:16"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s="12" t="str">
        <f>TEXT(orders[[#This Row],[Order Date]],"mmmm")</f>
        <v>February</v>
      </c>
      <c r="P1384" t="str">
        <f>IF(orders[[#This Row],[Customer Gender]]="M","Male", IF(orders[[#This Row],[Customer Gender]]="F","Female", IF(orders[[#This Row],[Customer Gender]]= "O", "Other","Unknown")))</f>
        <v>Male</v>
      </c>
    </row>
    <row r="1385" spans="1:16"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s="12" t="str">
        <f>TEXT(orders[[#This Row],[Order Date]],"mmmm")</f>
        <v>February</v>
      </c>
      <c r="P1385" t="str">
        <f>IF(orders[[#This Row],[Customer Gender]]="M","Male", IF(orders[[#This Row],[Customer Gender]]="F","Female", IF(orders[[#This Row],[Customer Gender]]= "O", "Other","Unknown")))</f>
        <v>Male</v>
      </c>
    </row>
    <row r="1386" spans="1:16"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s="12" t="str">
        <f>TEXT(orders[[#This Row],[Order Date]],"mmmm")</f>
        <v>February</v>
      </c>
      <c r="P1386" t="str">
        <f>IF(orders[[#This Row],[Customer Gender]]="M","Male", IF(orders[[#This Row],[Customer Gender]]="F","Female", IF(orders[[#This Row],[Customer Gender]]= "O", "Other","Unknown")))</f>
        <v>Female</v>
      </c>
    </row>
    <row r="1387" spans="1:16"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s="12" t="str">
        <f>TEXT(orders[[#This Row],[Order Date]],"mmmm")</f>
        <v>February</v>
      </c>
      <c r="P1387" t="str">
        <f>IF(orders[[#This Row],[Customer Gender]]="M","Male", IF(orders[[#This Row],[Customer Gender]]="F","Female", IF(orders[[#This Row],[Customer Gender]]= "O", "Other","Unknown")))</f>
        <v>Male</v>
      </c>
    </row>
    <row r="1388" spans="1:16"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s="12" t="str">
        <f>TEXT(orders[[#This Row],[Order Date]],"mmmm")</f>
        <v>February</v>
      </c>
      <c r="P1388" t="str">
        <f>IF(orders[[#This Row],[Customer Gender]]="M","Male", IF(orders[[#This Row],[Customer Gender]]="F","Female", IF(orders[[#This Row],[Customer Gender]]= "O", "Other","Unknown")))</f>
        <v>Male</v>
      </c>
    </row>
    <row r="1389" spans="1:16"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s="12" t="str">
        <f>TEXT(orders[[#This Row],[Order Date]],"mmmm")</f>
        <v>February</v>
      </c>
      <c r="P1389" t="str">
        <f>IF(orders[[#This Row],[Customer Gender]]="M","Male", IF(orders[[#This Row],[Customer Gender]]="F","Female", IF(orders[[#This Row],[Customer Gender]]= "O", "Other","Unknown")))</f>
        <v>Male</v>
      </c>
    </row>
    <row r="1390" spans="1:16" hidden="1"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s="12" t="str">
        <f>TEXT(orders[[#This Row],[Order Date]],"mmmm")</f>
        <v>February</v>
      </c>
      <c r="P1390" t="str">
        <f>IF(orders[[#This Row],[Customer Gender]]="M","Male", IF(orders[[#This Row],[Customer Gender]]="F","Female", IF(orders[[#This Row],[Customer Gender]]= "O", "Other","Unknown")))</f>
        <v>Unknown</v>
      </c>
    </row>
    <row r="1391" spans="1:16"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s="12" t="str">
        <f>TEXT(orders[[#This Row],[Order Date]],"mmmm")</f>
        <v>February</v>
      </c>
      <c r="P1391" t="str">
        <f>IF(orders[[#This Row],[Customer Gender]]="M","Male", IF(orders[[#This Row],[Customer Gender]]="F","Female", IF(orders[[#This Row],[Customer Gender]]= "O", "Other","Unknown")))</f>
        <v>Male</v>
      </c>
    </row>
    <row r="1392" spans="1:16"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s="12" t="str">
        <f>TEXT(orders[[#This Row],[Order Date]],"mmmm")</f>
        <v>February</v>
      </c>
      <c r="P1392" t="str">
        <f>IF(orders[[#This Row],[Customer Gender]]="M","Male", IF(orders[[#This Row],[Customer Gender]]="F","Female", IF(orders[[#This Row],[Customer Gender]]= "O", "Other","Unknown")))</f>
        <v>Male</v>
      </c>
    </row>
    <row r="1393" spans="1:16"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s="12" t="str">
        <f>TEXT(orders[[#This Row],[Order Date]],"mmmm")</f>
        <v>February</v>
      </c>
      <c r="P1393" t="str">
        <f>IF(orders[[#This Row],[Customer Gender]]="M","Male", IF(orders[[#This Row],[Customer Gender]]="F","Female", IF(orders[[#This Row],[Customer Gender]]= "O", "Other","Unknown")))</f>
        <v>Female</v>
      </c>
    </row>
    <row r="1394" spans="1:16"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s="12" t="str">
        <f>TEXT(orders[[#This Row],[Order Date]],"mmmm")</f>
        <v>February</v>
      </c>
      <c r="P1394" t="str">
        <f>IF(orders[[#This Row],[Customer Gender]]="M","Male", IF(orders[[#This Row],[Customer Gender]]="F","Female", IF(orders[[#This Row],[Customer Gender]]= "O", "Other","Unknown")))</f>
        <v>Male</v>
      </c>
    </row>
    <row r="1395" spans="1:16"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s="12" t="str">
        <f>TEXT(orders[[#This Row],[Order Date]],"mmmm")</f>
        <v>February</v>
      </c>
      <c r="P1395" t="str">
        <f>IF(orders[[#This Row],[Customer Gender]]="M","Male", IF(orders[[#This Row],[Customer Gender]]="F","Female", IF(orders[[#This Row],[Customer Gender]]= "O", "Other","Unknown")))</f>
        <v>Male</v>
      </c>
    </row>
    <row r="1396" spans="1:16"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s="12" t="str">
        <f>TEXT(orders[[#This Row],[Order Date]],"mmmm")</f>
        <v>February</v>
      </c>
      <c r="P1396" t="str">
        <f>IF(orders[[#This Row],[Customer Gender]]="M","Male", IF(orders[[#This Row],[Customer Gender]]="F","Female", IF(orders[[#This Row],[Customer Gender]]= "O", "Other","Unknown")))</f>
        <v>Male</v>
      </c>
    </row>
    <row r="1397" spans="1:16"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s="12" t="str">
        <f>TEXT(orders[[#This Row],[Order Date]],"mmmm")</f>
        <v>February</v>
      </c>
      <c r="P1397" t="str">
        <f>IF(orders[[#This Row],[Customer Gender]]="M","Male", IF(orders[[#This Row],[Customer Gender]]="F","Female", IF(orders[[#This Row],[Customer Gender]]= "O", "Other","Unknown")))</f>
        <v>Male</v>
      </c>
    </row>
    <row r="1398" spans="1:16"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s="12" t="str">
        <f>TEXT(orders[[#This Row],[Order Date]],"mmmm")</f>
        <v>February</v>
      </c>
      <c r="P1398" t="str">
        <f>IF(orders[[#This Row],[Customer Gender]]="M","Male", IF(orders[[#This Row],[Customer Gender]]="F","Female", IF(orders[[#This Row],[Customer Gender]]= "O", "Other","Unknown")))</f>
        <v>Male</v>
      </c>
    </row>
    <row r="1399" spans="1:16"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s="12" t="str">
        <f>TEXT(orders[[#This Row],[Order Date]],"mmmm")</f>
        <v>February</v>
      </c>
      <c r="P1399" t="str">
        <f>IF(orders[[#This Row],[Customer Gender]]="M","Male", IF(orders[[#This Row],[Customer Gender]]="F","Female", IF(orders[[#This Row],[Customer Gender]]= "O", "Other","Unknown")))</f>
        <v>Female</v>
      </c>
    </row>
    <row r="1400" spans="1:16"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s="12" t="str">
        <f>TEXT(orders[[#This Row],[Order Date]],"mmmm")</f>
        <v>February</v>
      </c>
      <c r="P1400" t="str">
        <f>IF(orders[[#This Row],[Customer Gender]]="M","Male", IF(orders[[#This Row],[Customer Gender]]="F","Female", IF(orders[[#This Row],[Customer Gender]]= "O", "Other","Unknown")))</f>
        <v>Female</v>
      </c>
    </row>
    <row r="1401" spans="1:16"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s="12" t="str">
        <f>TEXT(orders[[#This Row],[Order Date]],"mmmm")</f>
        <v>February</v>
      </c>
      <c r="P1401" t="str">
        <f>IF(orders[[#This Row],[Customer Gender]]="M","Male", IF(orders[[#This Row],[Customer Gender]]="F","Female", IF(orders[[#This Row],[Customer Gender]]= "O", "Other","Unknown")))</f>
        <v>Male</v>
      </c>
    </row>
    <row r="1402" spans="1:16"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s="12" t="str">
        <f>TEXT(orders[[#This Row],[Order Date]],"mmmm")</f>
        <v>February</v>
      </c>
      <c r="P1402" t="str">
        <f>IF(orders[[#This Row],[Customer Gender]]="M","Male", IF(orders[[#This Row],[Customer Gender]]="F","Female", IF(orders[[#This Row],[Customer Gender]]= "O", "Other","Unknown")))</f>
        <v>Female</v>
      </c>
    </row>
    <row r="1403" spans="1:16"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s="12" t="str">
        <f>TEXT(orders[[#This Row],[Order Date]],"mmmm")</f>
        <v>February</v>
      </c>
      <c r="P1403" t="str">
        <f>IF(orders[[#This Row],[Customer Gender]]="M","Male", IF(orders[[#This Row],[Customer Gender]]="F","Female", IF(orders[[#This Row],[Customer Gender]]= "O", "Other","Unknown")))</f>
        <v>Female</v>
      </c>
    </row>
    <row r="1404" spans="1:16"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s="12" t="str">
        <f>TEXT(orders[[#This Row],[Order Date]],"mmmm")</f>
        <v>February</v>
      </c>
      <c r="P1404" t="str">
        <f>IF(orders[[#This Row],[Customer Gender]]="M","Male", IF(orders[[#This Row],[Customer Gender]]="F","Female", IF(orders[[#This Row],[Customer Gender]]= "O", "Other","Unknown")))</f>
        <v>Male</v>
      </c>
    </row>
    <row r="1405" spans="1:16"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s="12" t="str">
        <f>TEXT(orders[[#This Row],[Order Date]],"mmmm")</f>
        <v>February</v>
      </c>
      <c r="P1405" t="str">
        <f>IF(orders[[#This Row],[Customer Gender]]="M","Male", IF(orders[[#This Row],[Customer Gender]]="F","Female", IF(orders[[#This Row],[Customer Gender]]= "O", "Other","Unknown")))</f>
        <v>Male</v>
      </c>
    </row>
    <row r="1406" spans="1:16"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s="12" t="str">
        <f>TEXT(orders[[#This Row],[Order Date]],"mmmm")</f>
        <v>February</v>
      </c>
      <c r="P1406" t="str">
        <f>IF(orders[[#This Row],[Customer Gender]]="M","Male", IF(orders[[#This Row],[Customer Gender]]="F","Female", IF(orders[[#This Row],[Customer Gender]]= "O", "Other","Unknown")))</f>
        <v>Female</v>
      </c>
    </row>
    <row r="1407" spans="1:16"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s="12" t="str">
        <f>TEXT(orders[[#This Row],[Order Date]],"mmmm")</f>
        <v>February</v>
      </c>
      <c r="P1407" t="str">
        <f>IF(orders[[#This Row],[Customer Gender]]="M","Male", IF(orders[[#This Row],[Customer Gender]]="F","Female", IF(orders[[#This Row],[Customer Gender]]= "O", "Other","Unknown")))</f>
        <v>Female</v>
      </c>
    </row>
    <row r="1408" spans="1:16"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s="12" t="str">
        <f>TEXT(orders[[#This Row],[Order Date]],"mmmm")</f>
        <v>February</v>
      </c>
      <c r="P1408" t="str">
        <f>IF(orders[[#This Row],[Customer Gender]]="M","Male", IF(orders[[#This Row],[Customer Gender]]="F","Female", IF(orders[[#This Row],[Customer Gender]]= "O", "Other","Unknown")))</f>
        <v>Female</v>
      </c>
    </row>
    <row r="1409" spans="1:16"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s="12" t="str">
        <f>TEXT(orders[[#This Row],[Order Date]],"mmmm")</f>
        <v>February</v>
      </c>
      <c r="P1409" t="str">
        <f>IF(orders[[#This Row],[Customer Gender]]="M","Male", IF(orders[[#This Row],[Customer Gender]]="F","Female", IF(orders[[#This Row],[Customer Gender]]= "O", "Other","Unknown")))</f>
        <v>Male</v>
      </c>
    </row>
    <row r="1410" spans="1:16"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s="12" t="str">
        <f>TEXT(orders[[#This Row],[Order Date]],"mmmm")</f>
        <v>February</v>
      </c>
      <c r="P1410" t="str">
        <f>IF(orders[[#This Row],[Customer Gender]]="M","Male", IF(orders[[#This Row],[Customer Gender]]="F","Female", IF(orders[[#This Row],[Customer Gender]]= "O", "Other","Unknown")))</f>
        <v>Male</v>
      </c>
    </row>
    <row r="1411" spans="1:16"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s="12" t="str">
        <f>TEXT(orders[[#This Row],[Order Date]],"mmmm")</f>
        <v>February</v>
      </c>
      <c r="P1411" t="str">
        <f>IF(orders[[#This Row],[Customer Gender]]="M","Male", IF(orders[[#This Row],[Customer Gender]]="F","Female", IF(orders[[#This Row],[Customer Gender]]= "O", "Other","Unknown")))</f>
        <v>Other</v>
      </c>
    </row>
    <row r="1412" spans="1:16"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s="12" t="str">
        <f>TEXT(orders[[#This Row],[Order Date]],"mmmm")</f>
        <v>February</v>
      </c>
      <c r="P1412" t="str">
        <f>IF(orders[[#This Row],[Customer Gender]]="M","Male", IF(orders[[#This Row],[Customer Gender]]="F","Female", IF(orders[[#This Row],[Customer Gender]]= "O", "Other","Unknown")))</f>
        <v>Female</v>
      </c>
    </row>
    <row r="1413" spans="1:16"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s="12" t="str">
        <f>TEXT(orders[[#This Row],[Order Date]],"mmmm")</f>
        <v>February</v>
      </c>
      <c r="P1413" t="str">
        <f>IF(orders[[#This Row],[Customer Gender]]="M","Male", IF(orders[[#This Row],[Customer Gender]]="F","Female", IF(orders[[#This Row],[Customer Gender]]= "O", "Other","Unknown")))</f>
        <v>Other</v>
      </c>
    </row>
    <row r="1414" spans="1:16"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s="12" t="str">
        <f>TEXT(orders[[#This Row],[Order Date]],"mmmm")</f>
        <v>February</v>
      </c>
      <c r="P1414" t="str">
        <f>IF(orders[[#This Row],[Customer Gender]]="M","Male", IF(orders[[#This Row],[Customer Gender]]="F","Female", IF(orders[[#This Row],[Customer Gender]]= "O", "Other","Unknown")))</f>
        <v>Female</v>
      </c>
    </row>
    <row r="1415" spans="1:16"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s="12" t="str">
        <f>TEXT(orders[[#This Row],[Order Date]],"mmmm")</f>
        <v>February</v>
      </c>
      <c r="P1415" t="str">
        <f>IF(orders[[#This Row],[Customer Gender]]="M","Male", IF(orders[[#This Row],[Customer Gender]]="F","Female", IF(orders[[#This Row],[Customer Gender]]= "O", "Other","Unknown")))</f>
        <v>Female</v>
      </c>
    </row>
    <row r="1416" spans="1:16"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s="12" t="str">
        <f>TEXT(orders[[#This Row],[Order Date]],"mmmm")</f>
        <v>February</v>
      </c>
      <c r="P1416" t="str">
        <f>IF(orders[[#This Row],[Customer Gender]]="M","Male", IF(orders[[#This Row],[Customer Gender]]="F","Female", IF(orders[[#This Row],[Customer Gender]]= "O", "Other","Unknown")))</f>
        <v>Female</v>
      </c>
    </row>
    <row r="1417" spans="1:16"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s="12" t="str">
        <f>TEXT(orders[[#This Row],[Order Date]],"mmmm")</f>
        <v>February</v>
      </c>
      <c r="P1417" t="str">
        <f>IF(orders[[#This Row],[Customer Gender]]="M","Male", IF(orders[[#This Row],[Customer Gender]]="F","Female", IF(orders[[#This Row],[Customer Gender]]= "O", "Other","Unknown")))</f>
        <v>Female</v>
      </c>
    </row>
    <row r="1418" spans="1:16"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s="12" t="str">
        <f>TEXT(orders[[#This Row],[Order Date]],"mmmm")</f>
        <v>February</v>
      </c>
      <c r="P1418" t="str">
        <f>IF(orders[[#This Row],[Customer Gender]]="M","Male", IF(orders[[#This Row],[Customer Gender]]="F","Female", IF(orders[[#This Row],[Customer Gender]]= "O", "Other","Unknown")))</f>
        <v>Female</v>
      </c>
    </row>
    <row r="1419" spans="1:16"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s="12" t="str">
        <f>TEXT(orders[[#This Row],[Order Date]],"mmmm")</f>
        <v>February</v>
      </c>
      <c r="P1419" t="str">
        <f>IF(orders[[#This Row],[Customer Gender]]="M","Male", IF(orders[[#This Row],[Customer Gender]]="F","Female", IF(orders[[#This Row],[Customer Gender]]= "O", "Other","Unknown")))</f>
        <v>Male</v>
      </c>
    </row>
    <row r="1420" spans="1:16"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s="12" t="str">
        <f>TEXT(orders[[#This Row],[Order Date]],"mmmm")</f>
        <v>February</v>
      </c>
      <c r="P1420" t="str">
        <f>IF(orders[[#This Row],[Customer Gender]]="M","Male", IF(orders[[#This Row],[Customer Gender]]="F","Female", IF(orders[[#This Row],[Customer Gender]]= "O", "Other","Unknown")))</f>
        <v>Female</v>
      </c>
    </row>
    <row r="1421" spans="1:16"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s="12" t="str">
        <f>TEXT(orders[[#This Row],[Order Date]],"mmmm")</f>
        <v>February</v>
      </c>
      <c r="P1421" t="str">
        <f>IF(orders[[#This Row],[Customer Gender]]="M","Male", IF(orders[[#This Row],[Customer Gender]]="F","Female", IF(orders[[#This Row],[Customer Gender]]= "O", "Other","Unknown")))</f>
        <v>Female</v>
      </c>
    </row>
    <row r="1422" spans="1:16"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s="12" t="str">
        <f>TEXT(orders[[#This Row],[Order Date]],"mmmm")</f>
        <v>February</v>
      </c>
      <c r="P1422" t="str">
        <f>IF(orders[[#This Row],[Customer Gender]]="M","Male", IF(orders[[#This Row],[Customer Gender]]="F","Female", IF(orders[[#This Row],[Customer Gender]]= "O", "Other","Unknown")))</f>
        <v>Male</v>
      </c>
    </row>
    <row r="1423" spans="1:16"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s="12" t="str">
        <f>TEXT(orders[[#This Row],[Order Date]],"mmmm")</f>
        <v>February</v>
      </c>
      <c r="P1423" t="str">
        <f>IF(orders[[#This Row],[Customer Gender]]="M","Male", IF(orders[[#This Row],[Customer Gender]]="F","Female", IF(orders[[#This Row],[Customer Gender]]= "O", "Other","Unknown")))</f>
        <v>Female</v>
      </c>
    </row>
    <row r="1424" spans="1:16"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s="12" t="str">
        <f>TEXT(orders[[#This Row],[Order Date]],"mmmm")</f>
        <v>February</v>
      </c>
      <c r="P1424" t="str">
        <f>IF(orders[[#This Row],[Customer Gender]]="M","Male", IF(orders[[#This Row],[Customer Gender]]="F","Female", IF(orders[[#This Row],[Customer Gender]]= "O", "Other","Unknown")))</f>
        <v>Female</v>
      </c>
    </row>
    <row r="1425" spans="1:16"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s="12" t="str">
        <f>TEXT(orders[[#This Row],[Order Date]],"mmmm")</f>
        <v>February</v>
      </c>
      <c r="P1425" t="str">
        <f>IF(orders[[#This Row],[Customer Gender]]="M","Male", IF(orders[[#This Row],[Customer Gender]]="F","Female", IF(orders[[#This Row],[Customer Gender]]= "O", "Other","Unknown")))</f>
        <v>Female</v>
      </c>
    </row>
    <row r="1426" spans="1:16" hidden="1"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s="12" t="str">
        <f>TEXT(orders[[#This Row],[Order Date]],"mmmm")</f>
        <v>February</v>
      </c>
      <c r="P1426" t="str">
        <f>IF(orders[[#This Row],[Customer Gender]]="M","Male", IF(orders[[#This Row],[Customer Gender]]="F","Female", IF(orders[[#This Row],[Customer Gender]]= "O", "Other","Unknown")))</f>
        <v>Unknown</v>
      </c>
    </row>
    <row r="1427" spans="1:16"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s="12" t="str">
        <f>TEXT(orders[[#This Row],[Order Date]],"mmmm")</f>
        <v>February</v>
      </c>
      <c r="P1427" t="str">
        <f>IF(orders[[#This Row],[Customer Gender]]="M","Male", IF(orders[[#This Row],[Customer Gender]]="F","Female", IF(orders[[#This Row],[Customer Gender]]= "O", "Other","Unknown")))</f>
        <v>Female</v>
      </c>
    </row>
    <row r="1428" spans="1:16"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s="12" t="str">
        <f>TEXT(orders[[#This Row],[Order Date]],"mmmm")</f>
        <v>February</v>
      </c>
      <c r="P1428" t="str">
        <f>IF(orders[[#This Row],[Customer Gender]]="M","Male", IF(orders[[#This Row],[Customer Gender]]="F","Female", IF(orders[[#This Row],[Customer Gender]]= "O", "Other","Unknown")))</f>
        <v>Male</v>
      </c>
    </row>
    <row r="1429" spans="1:16"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s="12" t="str">
        <f>TEXT(orders[[#This Row],[Order Date]],"mmmm")</f>
        <v>February</v>
      </c>
      <c r="P1429" t="str">
        <f>IF(orders[[#This Row],[Customer Gender]]="M","Male", IF(orders[[#This Row],[Customer Gender]]="F","Female", IF(orders[[#This Row],[Customer Gender]]= "O", "Other","Unknown")))</f>
        <v>Male</v>
      </c>
    </row>
    <row r="1430" spans="1:16"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s="12" t="str">
        <f>TEXT(orders[[#This Row],[Order Date]],"mmmm")</f>
        <v>February</v>
      </c>
      <c r="P1430" t="str">
        <f>IF(orders[[#This Row],[Customer Gender]]="M","Male", IF(orders[[#This Row],[Customer Gender]]="F","Female", IF(orders[[#This Row],[Customer Gender]]= "O", "Other","Unknown")))</f>
        <v>Male</v>
      </c>
    </row>
    <row r="1431" spans="1:16"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s="12" t="str">
        <f>TEXT(orders[[#This Row],[Order Date]],"mmmm")</f>
        <v>February</v>
      </c>
      <c r="P1431" t="str">
        <f>IF(orders[[#This Row],[Customer Gender]]="M","Male", IF(orders[[#This Row],[Customer Gender]]="F","Female", IF(orders[[#This Row],[Customer Gender]]= "O", "Other","Unknown")))</f>
        <v>Male</v>
      </c>
    </row>
    <row r="1432" spans="1:16"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s="12" t="str">
        <f>TEXT(orders[[#This Row],[Order Date]],"mmmm")</f>
        <v>February</v>
      </c>
      <c r="P1432" t="str">
        <f>IF(orders[[#This Row],[Customer Gender]]="M","Male", IF(orders[[#This Row],[Customer Gender]]="F","Female", IF(orders[[#This Row],[Customer Gender]]= "O", "Other","Unknown")))</f>
        <v>Female</v>
      </c>
    </row>
    <row r="1433" spans="1:16"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s="12" t="str">
        <f>TEXT(orders[[#This Row],[Order Date]],"mmmm")</f>
        <v>February</v>
      </c>
      <c r="P1433" t="str">
        <f>IF(orders[[#This Row],[Customer Gender]]="M","Male", IF(orders[[#This Row],[Customer Gender]]="F","Female", IF(orders[[#This Row],[Customer Gender]]= "O", "Other","Unknown")))</f>
        <v>Female</v>
      </c>
    </row>
    <row r="1434" spans="1:16"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s="12" t="str">
        <f>TEXT(orders[[#This Row],[Order Date]],"mmmm")</f>
        <v>February</v>
      </c>
      <c r="P1434" t="str">
        <f>IF(orders[[#This Row],[Customer Gender]]="M","Male", IF(orders[[#This Row],[Customer Gender]]="F","Female", IF(orders[[#This Row],[Customer Gender]]= "O", "Other","Unknown")))</f>
        <v>Female</v>
      </c>
    </row>
    <row r="1435" spans="1:16"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s="12" t="str">
        <f>TEXT(orders[[#This Row],[Order Date]],"mmmm")</f>
        <v>February</v>
      </c>
      <c r="P1435" t="str">
        <f>IF(orders[[#This Row],[Customer Gender]]="M","Male", IF(orders[[#This Row],[Customer Gender]]="F","Female", IF(orders[[#This Row],[Customer Gender]]= "O", "Other","Unknown")))</f>
        <v>Male</v>
      </c>
    </row>
    <row r="1436" spans="1:16"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s="12" t="str">
        <f>TEXT(orders[[#This Row],[Order Date]],"mmmm")</f>
        <v>February</v>
      </c>
      <c r="P1436" t="str">
        <f>IF(orders[[#This Row],[Customer Gender]]="M","Male", IF(orders[[#This Row],[Customer Gender]]="F","Female", IF(orders[[#This Row],[Customer Gender]]= "O", "Other","Unknown")))</f>
        <v>Female</v>
      </c>
    </row>
    <row r="1437" spans="1:16"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s="12" t="str">
        <f>TEXT(orders[[#This Row],[Order Date]],"mmmm")</f>
        <v>February</v>
      </c>
      <c r="P1437" t="str">
        <f>IF(orders[[#This Row],[Customer Gender]]="M","Male", IF(orders[[#This Row],[Customer Gender]]="F","Female", IF(orders[[#This Row],[Customer Gender]]= "O", "Other","Unknown")))</f>
        <v>Female</v>
      </c>
    </row>
    <row r="1438" spans="1:16"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s="12" t="str">
        <f>TEXT(orders[[#This Row],[Order Date]],"mmmm")</f>
        <v>February</v>
      </c>
      <c r="P1438" t="str">
        <f>IF(orders[[#This Row],[Customer Gender]]="M","Male", IF(orders[[#This Row],[Customer Gender]]="F","Female", IF(orders[[#This Row],[Customer Gender]]= "O", "Other","Unknown")))</f>
        <v>Female</v>
      </c>
    </row>
    <row r="1439" spans="1:16"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s="12" t="str">
        <f>TEXT(orders[[#This Row],[Order Date]],"mmmm")</f>
        <v>February</v>
      </c>
      <c r="P1439" t="str">
        <f>IF(orders[[#This Row],[Customer Gender]]="M","Male", IF(orders[[#This Row],[Customer Gender]]="F","Female", IF(orders[[#This Row],[Customer Gender]]= "O", "Other","Unknown")))</f>
        <v>Female</v>
      </c>
    </row>
    <row r="1440" spans="1:16"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s="12" t="str">
        <f>TEXT(orders[[#This Row],[Order Date]],"mmmm")</f>
        <v>February</v>
      </c>
      <c r="P1440" t="str">
        <f>IF(orders[[#This Row],[Customer Gender]]="M","Male", IF(orders[[#This Row],[Customer Gender]]="F","Female", IF(orders[[#This Row],[Customer Gender]]= "O", "Other","Unknown")))</f>
        <v>Male</v>
      </c>
    </row>
    <row r="1441" spans="1:16"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s="12" t="str">
        <f>TEXT(orders[[#This Row],[Order Date]],"mmmm")</f>
        <v>February</v>
      </c>
      <c r="P1441" t="str">
        <f>IF(orders[[#This Row],[Customer Gender]]="M","Male", IF(orders[[#This Row],[Customer Gender]]="F","Female", IF(orders[[#This Row],[Customer Gender]]= "O", "Other","Unknown")))</f>
        <v>Male</v>
      </c>
    </row>
    <row r="1442" spans="1:16"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s="12" t="str">
        <f>TEXT(orders[[#This Row],[Order Date]],"mmmm")</f>
        <v>February</v>
      </c>
      <c r="P1442" t="str">
        <f>IF(orders[[#This Row],[Customer Gender]]="M","Male", IF(orders[[#This Row],[Customer Gender]]="F","Female", IF(orders[[#This Row],[Customer Gender]]= "O", "Other","Unknown")))</f>
        <v>Other</v>
      </c>
    </row>
    <row r="1443" spans="1:16"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s="12" t="str">
        <f>TEXT(orders[[#This Row],[Order Date]],"mmmm")</f>
        <v>February</v>
      </c>
      <c r="P1443" t="str">
        <f>IF(orders[[#This Row],[Customer Gender]]="M","Male", IF(orders[[#This Row],[Customer Gender]]="F","Female", IF(orders[[#This Row],[Customer Gender]]= "O", "Other","Unknown")))</f>
        <v>Female</v>
      </c>
    </row>
    <row r="1444" spans="1:16"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s="12" t="str">
        <f>TEXT(orders[[#This Row],[Order Date]],"mmmm")</f>
        <v>February</v>
      </c>
      <c r="P1444" t="str">
        <f>IF(orders[[#This Row],[Customer Gender]]="M","Male", IF(orders[[#This Row],[Customer Gender]]="F","Female", IF(orders[[#This Row],[Customer Gender]]= "O", "Other","Unknown")))</f>
        <v>Female</v>
      </c>
    </row>
    <row r="1445" spans="1:16"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s="12" t="str">
        <f>TEXT(orders[[#This Row],[Order Date]],"mmmm")</f>
        <v>February</v>
      </c>
      <c r="P1445" t="str">
        <f>IF(orders[[#This Row],[Customer Gender]]="M","Male", IF(orders[[#This Row],[Customer Gender]]="F","Female", IF(orders[[#This Row],[Customer Gender]]= "O", "Other","Unknown")))</f>
        <v>Female</v>
      </c>
    </row>
    <row r="1446" spans="1:16"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s="12" t="str">
        <f>TEXT(orders[[#This Row],[Order Date]],"mmmm")</f>
        <v>February</v>
      </c>
      <c r="P1446" t="str">
        <f>IF(orders[[#This Row],[Customer Gender]]="M","Male", IF(orders[[#This Row],[Customer Gender]]="F","Female", IF(orders[[#This Row],[Customer Gender]]= "O", "Other","Unknown")))</f>
        <v>Male</v>
      </c>
    </row>
    <row r="1447" spans="1:16"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s="12" t="str">
        <f>TEXT(orders[[#This Row],[Order Date]],"mmmm")</f>
        <v>February</v>
      </c>
      <c r="P1447" t="str">
        <f>IF(orders[[#This Row],[Customer Gender]]="M","Male", IF(orders[[#This Row],[Customer Gender]]="F","Female", IF(orders[[#This Row],[Customer Gender]]= "O", "Other","Unknown")))</f>
        <v>Female</v>
      </c>
    </row>
    <row r="1448" spans="1:16"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s="12" t="str">
        <f>TEXT(orders[[#This Row],[Order Date]],"mmmm")</f>
        <v>February</v>
      </c>
      <c r="P1448" t="str">
        <f>IF(orders[[#This Row],[Customer Gender]]="M","Male", IF(orders[[#This Row],[Customer Gender]]="F","Female", IF(orders[[#This Row],[Customer Gender]]= "O", "Other","Unknown")))</f>
        <v>Male</v>
      </c>
    </row>
    <row r="1449" spans="1:16" hidden="1"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s="12" t="str">
        <f>TEXT(orders[[#This Row],[Order Date]],"mmmm")</f>
        <v>February</v>
      </c>
      <c r="P1449" t="str">
        <f>IF(orders[[#This Row],[Customer Gender]]="M","Male", IF(orders[[#This Row],[Customer Gender]]="F","Female", IF(orders[[#This Row],[Customer Gender]]= "O", "Other","Unknown")))</f>
        <v>Unknown</v>
      </c>
    </row>
    <row r="1450" spans="1:16"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s="12" t="str">
        <f>TEXT(orders[[#This Row],[Order Date]],"mmmm")</f>
        <v>February</v>
      </c>
      <c r="P1450" t="str">
        <f>IF(orders[[#This Row],[Customer Gender]]="M","Male", IF(orders[[#This Row],[Customer Gender]]="F","Female", IF(orders[[#This Row],[Customer Gender]]= "O", "Other","Unknown")))</f>
        <v>Male</v>
      </c>
    </row>
    <row r="1451" spans="1:16"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s="12" t="str">
        <f>TEXT(orders[[#This Row],[Order Date]],"mmmm")</f>
        <v>February</v>
      </c>
      <c r="P1451" t="str">
        <f>IF(orders[[#This Row],[Customer Gender]]="M","Male", IF(orders[[#This Row],[Customer Gender]]="F","Female", IF(orders[[#This Row],[Customer Gender]]= "O", "Other","Unknown")))</f>
        <v>Male</v>
      </c>
    </row>
    <row r="1452" spans="1:16"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s="12" t="str">
        <f>TEXT(orders[[#This Row],[Order Date]],"mmmm")</f>
        <v>February</v>
      </c>
      <c r="P1452" t="str">
        <f>IF(orders[[#This Row],[Customer Gender]]="M","Male", IF(orders[[#This Row],[Customer Gender]]="F","Female", IF(orders[[#This Row],[Customer Gender]]= "O", "Other","Unknown")))</f>
        <v>Female</v>
      </c>
    </row>
    <row r="1453" spans="1:16"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s="12" t="str">
        <f>TEXT(orders[[#This Row],[Order Date]],"mmmm")</f>
        <v>February</v>
      </c>
      <c r="P1453" t="str">
        <f>IF(orders[[#This Row],[Customer Gender]]="M","Male", IF(orders[[#This Row],[Customer Gender]]="F","Female", IF(orders[[#This Row],[Customer Gender]]= "O", "Other","Unknown")))</f>
        <v>Male</v>
      </c>
    </row>
    <row r="1454" spans="1:16"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s="12" t="str">
        <f>TEXT(orders[[#This Row],[Order Date]],"mmmm")</f>
        <v>February</v>
      </c>
      <c r="P1454" t="str">
        <f>IF(orders[[#This Row],[Customer Gender]]="M","Male", IF(orders[[#This Row],[Customer Gender]]="F","Female", IF(orders[[#This Row],[Customer Gender]]= "O", "Other","Unknown")))</f>
        <v>Male</v>
      </c>
    </row>
    <row r="1455" spans="1:16"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s="12" t="str">
        <f>TEXT(orders[[#This Row],[Order Date]],"mmmm")</f>
        <v>February</v>
      </c>
      <c r="P1455" t="str">
        <f>IF(orders[[#This Row],[Customer Gender]]="M","Male", IF(orders[[#This Row],[Customer Gender]]="F","Female", IF(orders[[#This Row],[Customer Gender]]= "O", "Other","Unknown")))</f>
        <v>Male</v>
      </c>
    </row>
    <row r="1456" spans="1:16"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s="12" t="str">
        <f>TEXT(orders[[#This Row],[Order Date]],"mmmm")</f>
        <v>February</v>
      </c>
      <c r="P1456" t="str">
        <f>IF(orders[[#This Row],[Customer Gender]]="M","Male", IF(orders[[#This Row],[Customer Gender]]="F","Female", IF(orders[[#This Row],[Customer Gender]]= "O", "Other","Unknown")))</f>
        <v>Male</v>
      </c>
    </row>
    <row r="1457" spans="1:16"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s="12" t="str">
        <f>TEXT(orders[[#This Row],[Order Date]],"mmmm")</f>
        <v>February</v>
      </c>
      <c r="P1457" t="str">
        <f>IF(orders[[#This Row],[Customer Gender]]="M","Male", IF(orders[[#This Row],[Customer Gender]]="F","Female", IF(orders[[#This Row],[Customer Gender]]= "O", "Other","Unknown")))</f>
        <v>Female</v>
      </c>
    </row>
    <row r="1458" spans="1:16"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s="12" t="str">
        <f>TEXT(orders[[#This Row],[Order Date]],"mmmm")</f>
        <v>February</v>
      </c>
      <c r="P1458" t="str">
        <f>IF(orders[[#This Row],[Customer Gender]]="M","Male", IF(orders[[#This Row],[Customer Gender]]="F","Female", IF(orders[[#This Row],[Customer Gender]]= "O", "Other","Unknown")))</f>
        <v>Female</v>
      </c>
    </row>
    <row r="1459" spans="1:16"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s="12" t="str">
        <f>TEXT(orders[[#This Row],[Order Date]],"mmmm")</f>
        <v>February</v>
      </c>
      <c r="P1459" t="str">
        <f>IF(orders[[#This Row],[Customer Gender]]="M","Male", IF(orders[[#This Row],[Customer Gender]]="F","Female", IF(orders[[#This Row],[Customer Gender]]= "O", "Other","Unknown")))</f>
        <v>Male</v>
      </c>
    </row>
    <row r="1460" spans="1:16"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s="12" t="str">
        <f>TEXT(orders[[#This Row],[Order Date]],"mmmm")</f>
        <v>February</v>
      </c>
      <c r="P1460" t="str">
        <f>IF(orders[[#This Row],[Customer Gender]]="M","Male", IF(orders[[#This Row],[Customer Gender]]="F","Female", IF(orders[[#This Row],[Customer Gender]]= "O", "Other","Unknown")))</f>
        <v>Female</v>
      </c>
    </row>
    <row r="1461" spans="1:16"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s="12" t="str">
        <f>TEXT(orders[[#This Row],[Order Date]],"mmmm")</f>
        <v>February</v>
      </c>
      <c r="P1461" t="str">
        <f>IF(orders[[#This Row],[Customer Gender]]="M","Male", IF(orders[[#This Row],[Customer Gender]]="F","Female", IF(orders[[#This Row],[Customer Gender]]= "O", "Other","Unknown")))</f>
        <v>Female</v>
      </c>
    </row>
    <row r="1462" spans="1:16"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s="12" t="str">
        <f>TEXT(orders[[#This Row],[Order Date]],"mmmm")</f>
        <v>February</v>
      </c>
      <c r="P1462" t="str">
        <f>IF(orders[[#This Row],[Customer Gender]]="M","Male", IF(orders[[#This Row],[Customer Gender]]="F","Female", IF(orders[[#This Row],[Customer Gender]]= "O", "Other","Unknown")))</f>
        <v>Male</v>
      </c>
    </row>
    <row r="1463" spans="1:16"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s="12" t="str">
        <f>TEXT(orders[[#This Row],[Order Date]],"mmmm")</f>
        <v>February</v>
      </c>
      <c r="P1463" t="str">
        <f>IF(orders[[#This Row],[Customer Gender]]="M","Male", IF(orders[[#This Row],[Customer Gender]]="F","Female", IF(orders[[#This Row],[Customer Gender]]= "O", "Other","Unknown")))</f>
        <v>Male</v>
      </c>
    </row>
    <row r="1464" spans="1:16"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s="12" t="str">
        <f>TEXT(orders[[#This Row],[Order Date]],"mmmm")</f>
        <v>February</v>
      </c>
      <c r="P1464" t="str">
        <f>IF(orders[[#This Row],[Customer Gender]]="M","Male", IF(orders[[#This Row],[Customer Gender]]="F","Female", IF(orders[[#This Row],[Customer Gender]]= "O", "Other","Unknown")))</f>
        <v>Female</v>
      </c>
    </row>
    <row r="1465" spans="1:16" hidden="1"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s="12" t="str">
        <f>TEXT(orders[[#This Row],[Order Date]],"mmmm")</f>
        <v>February</v>
      </c>
      <c r="P1465" t="str">
        <f>IF(orders[[#This Row],[Customer Gender]]="M","Male", IF(orders[[#This Row],[Customer Gender]]="F","Female", IF(orders[[#This Row],[Customer Gender]]= "O", "Other","Unknown")))</f>
        <v>Unknown</v>
      </c>
    </row>
    <row r="1466" spans="1:16" hidden="1"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s="12" t="str">
        <f>TEXT(orders[[#This Row],[Order Date]],"mmmm")</f>
        <v>February</v>
      </c>
      <c r="P1466" t="str">
        <f>IF(orders[[#This Row],[Customer Gender]]="M","Male", IF(orders[[#This Row],[Customer Gender]]="F","Female", IF(orders[[#This Row],[Customer Gender]]= "O", "Other","Unknown")))</f>
        <v>Unknown</v>
      </c>
    </row>
    <row r="1467" spans="1:16"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s="12" t="str">
        <f>TEXT(orders[[#This Row],[Order Date]],"mmmm")</f>
        <v>February</v>
      </c>
      <c r="P1467" t="str">
        <f>IF(orders[[#This Row],[Customer Gender]]="M","Male", IF(orders[[#This Row],[Customer Gender]]="F","Female", IF(orders[[#This Row],[Customer Gender]]= "O", "Other","Unknown")))</f>
        <v>Male</v>
      </c>
    </row>
    <row r="1468" spans="1:16"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s="12" t="str">
        <f>TEXT(orders[[#This Row],[Order Date]],"mmmm")</f>
        <v>February</v>
      </c>
      <c r="P1468" t="str">
        <f>IF(orders[[#This Row],[Customer Gender]]="M","Male", IF(orders[[#This Row],[Customer Gender]]="F","Female", IF(orders[[#This Row],[Customer Gender]]= "O", "Other","Unknown")))</f>
        <v>Male</v>
      </c>
    </row>
    <row r="1469" spans="1:16"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s="12" t="str">
        <f>TEXT(orders[[#This Row],[Order Date]],"mmmm")</f>
        <v>February</v>
      </c>
      <c r="P1469" t="str">
        <f>IF(orders[[#This Row],[Customer Gender]]="M","Male", IF(orders[[#This Row],[Customer Gender]]="F","Female", IF(orders[[#This Row],[Customer Gender]]= "O", "Other","Unknown")))</f>
        <v>Male</v>
      </c>
    </row>
    <row r="1470" spans="1:16"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s="12" t="str">
        <f>TEXT(orders[[#This Row],[Order Date]],"mmmm")</f>
        <v>February</v>
      </c>
      <c r="P1470" t="str">
        <f>IF(orders[[#This Row],[Customer Gender]]="M","Male", IF(orders[[#This Row],[Customer Gender]]="F","Female", IF(orders[[#This Row],[Customer Gender]]= "O", "Other","Unknown")))</f>
        <v>Female</v>
      </c>
    </row>
    <row r="1471" spans="1:16"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s="12" t="str">
        <f>TEXT(orders[[#This Row],[Order Date]],"mmmm")</f>
        <v>February</v>
      </c>
      <c r="P1471" t="str">
        <f>IF(orders[[#This Row],[Customer Gender]]="M","Male", IF(orders[[#This Row],[Customer Gender]]="F","Female", IF(orders[[#This Row],[Customer Gender]]= "O", "Other","Unknown")))</f>
        <v>Female</v>
      </c>
    </row>
    <row r="1472" spans="1:16"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s="12" t="str">
        <f>TEXT(orders[[#This Row],[Order Date]],"mmmm")</f>
        <v>February</v>
      </c>
      <c r="P1472" t="str">
        <f>IF(orders[[#This Row],[Customer Gender]]="M","Male", IF(orders[[#This Row],[Customer Gender]]="F","Female", IF(orders[[#This Row],[Customer Gender]]= "O", "Other","Unknown")))</f>
        <v>Male</v>
      </c>
    </row>
    <row r="1473" spans="1:16"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s="12" t="str">
        <f>TEXT(orders[[#This Row],[Order Date]],"mmmm")</f>
        <v>February</v>
      </c>
      <c r="P1473" t="str">
        <f>IF(orders[[#This Row],[Customer Gender]]="M","Male", IF(orders[[#This Row],[Customer Gender]]="F","Female", IF(orders[[#This Row],[Customer Gender]]= "O", "Other","Unknown")))</f>
        <v>Female</v>
      </c>
    </row>
    <row r="1474" spans="1:16"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s="12" t="str">
        <f>TEXT(orders[[#This Row],[Order Date]],"mmmm")</f>
        <v>February</v>
      </c>
      <c r="P1474" t="str">
        <f>IF(orders[[#This Row],[Customer Gender]]="M","Male", IF(orders[[#This Row],[Customer Gender]]="F","Female", IF(orders[[#This Row],[Customer Gender]]= "O", "Other","Unknown")))</f>
        <v>Male</v>
      </c>
    </row>
    <row r="1475" spans="1:16"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s="12" t="str">
        <f>TEXT(orders[[#This Row],[Order Date]],"mmmm")</f>
        <v>February</v>
      </c>
      <c r="P1475" t="str">
        <f>IF(orders[[#This Row],[Customer Gender]]="M","Male", IF(orders[[#This Row],[Customer Gender]]="F","Female", IF(orders[[#This Row],[Customer Gender]]= "O", "Other","Unknown")))</f>
        <v>Male</v>
      </c>
    </row>
    <row r="1476" spans="1:16"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s="12" t="str">
        <f>TEXT(orders[[#This Row],[Order Date]],"mmmm")</f>
        <v>February</v>
      </c>
      <c r="P1476" t="str">
        <f>IF(orders[[#This Row],[Customer Gender]]="M","Male", IF(orders[[#This Row],[Customer Gender]]="F","Female", IF(orders[[#This Row],[Customer Gender]]= "O", "Other","Unknown")))</f>
        <v>Female</v>
      </c>
    </row>
    <row r="1477" spans="1:16"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s="12" t="str">
        <f>TEXT(orders[[#This Row],[Order Date]],"mmmm")</f>
        <v>February</v>
      </c>
      <c r="P1477" t="str">
        <f>IF(orders[[#This Row],[Customer Gender]]="M","Male", IF(orders[[#This Row],[Customer Gender]]="F","Female", IF(orders[[#This Row],[Customer Gender]]= "O", "Other","Unknown")))</f>
        <v>Male</v>
      </c>
    </row>
    <row r="1478" spans="1:16"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s="12" t="str">
        <f>TEXT(orders[[#This Row],[Order Date]],"mmmm")</f>
        <v>February</v>
      </c>
      <c r="P1478" t="str">
        <f>IF(orders[[#This Row],[Customer Gender]]="M","Male", IF(orders[[#This Row],[Customer Gender]]="F","Female", IF(orders[[#This Row],[Customer Gender]]= "O", "Other","Unknown")))</f>
        <v>Female</v>
      </c>
    </row>
    <row r="1479" spans="1:16"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s="12" t="str">
        <f>TEXT(orders[[#This Row],[Order Date]],"mmmm")</f>
        <v>February</v>
      </c>
      <c r="P1479" t="str">
        <f>IF(orders[[#This Row],[Customer Gender]]="M","Male", IF(orders[[#This Row],[Customer Gender]]="F","Female", IF(orders[[#This Row],[Customer Gender]]= "O", "Other","Unknown")))</f>
        <v>Male</v>
      </c>
    </row>
    <row r="1480" spans="1:16"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s="12" t="str">
        <f>TEXT(orders[[#This Row],[Order Date]],"mmmm")</f>
        <v>February</v>
      </c>
      <c r="P1480" t="str">
        <f>IF(orders[[#This Row],[Customer Gender]]="M","Male", IF(orders[[#This Row],[Customer Gender]]="F","Female", IF(orders[[#This Row],[Customer Gender]]= "O", "Other","Unknown")))</f>
        <v>Female</v>
      </c>
    </row>
    <row r="1481" spans="1:16"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s="12" t="str">
        <f>TEXT(orders[[#This Row],[Order Date]],"mmmm")</f>
        <v>February</v>
      </c>
      <c r="P1481" t="str">
        <f>IF(orders[[#This Row],[Customer Gender]]="M","Male", IF(orders[[#This Row],[Customer Gender]]="F","Female", IF(orders[[#This Row],[Customer Gender]]= "O", "Other","Unknown")))</f>
        <v>Female</v>
      </c>
    </row>
    <row r="1482" spans="1:16"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s="12" t="str">
        <f>TEXT(orders[[#This Row],[Order Date]],"mmmm")</f>
        <v>February</v>
      </c>
      <c r="P1482" t="str">
        <f>IF(orders[[#This Row],[Customer Gender]]="M","Male", IF(orders[[#This Row],[Customer Gender]]="F","Female", IF(orders[[#This Row],[Customer Gender]]= "O", "Other","Unknown")))</f>
        <v>Male</v>
      </c>
    </row>
    <row r="1483" spans="1:16"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s="12" t="str">
        <f>TEXT(orders[[#This Row],[Order Date]],"mmmm")</f>
        <v>February</v>
      </c>
      <c r="P1483" t="str">
        <f>IF(orders[[#This Row],[Customer Gender]]="M","Male", IF(orders[[#This Row],[Customer Gender]]="F","Female", IF(orders[[#This Row],[Customer Gender]]= "O", "Other","Unknown")))</f>
        <v>Female</v>
      </c>
    </row>
    <row r="1484" spans="1:16"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s="12" t="str">
        <f>TEXT(orders[[#This Row],[Order Date]],"mmmm")</f>
        <v>February</v>
      </c>
      <c r="P1484" t="str">
        <f>IF(orders[[#This Row],[Customer Gender]]="M","Male", IF(orders[[#This Row],[Customer Gender]]="F","Female", IF(orders[[#This Row],[Customer Gender]]= "O", "Other","Unknown")))</f>
        <v>Male</v>
      </c>
    </row>
    <row r="1485" spans="1:16"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s="12" t="str">
        <f>TEXT(orders[[#This Row],[Order Date]],"mmmm")</f>
        <v>February</v>
      </c>
      <c r="P1485" t="str">
        <f>IF(orders[[#This Row],[Customer Gender]]="M","Male", IF(orders[[#This Row],[Customer Gender]]="F","Female", IF(orders[[#This Row],[Customer Gender]]= "O", "Other","Unknown")))</f>
        <v>Female</v>
      </c>
    </row>
    <row r="1486" spans="1:16"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s="12" t="str">
        <f>TEXT(orders[[#This Row],[Order Date]],"mmmm")</f>
        <v>February</v>
      </c>
      <c r="P1486" t="str">
        <f>IF(orders[[#This Row],[Customer Gender]]="M","Male", IF(orders[[#This Row],[Customer Gender]]="F","Female", IF(orders[[#This Row],[Customer Gender]]= "O", "Other","Unknown")))</f>
        <v>Other</v>
      </c>
    </row>
    <row r="1487" spans="1:16"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s="12" t="str">
        <f>TEXT(orders[[#This Row],[Order Date]],"mmmm")</f>
        <v>February</v>
      </c>
      <c r="P1487" t="str">
        <f>IF(orders[[#This Row],[Customer Gender]]="M","Male", IF(orders[[#This Row],[Customer Gender]]="F","Female", IF(orders[[#This Row],[Customer Gender]]= "O", "Other","Unknown")))</f>
        <v>Female</v>
      </c>
    </row>
    <row r="1488" spans="1:16"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s="12" t="str">
        <f>TEXT(orders[[#This Row],[Order Date]],"mmmm")</f>
        <v>February</v>
      </c>
      <c r="P1488" t="str">
        <f>IF(orders[[#This Row],[Customer Gender]]="M","Male", IF(orders[[#This Row],[Customer Gender]]="F","Female", IF(orders[[#This Row],[Customer Gender]]= "O", "Other","Unknown")))</f>
        <v>Female</v>
      </c>
    </row>
    <row r="1489" spans="1:16"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s="12" t="str">
        <f>TEXT(orders[[#This Row],[Order Date]],"mmmm")</f>
        <v>February</v>
      </c>
      <c r="P1489" t="str">
        <f>IF(orders[[#This Row],[Customer Gender]]="M","Male", IF(orders[[#This Row],[Customer Gender]]="F","Female", IF(orders[[#This Row],[Customer Gender]]= "O", "Other","Unknown")))</f>
        <v>Female</v>
      </c>
    </row>
    <row r="1490" spans="1:16"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s="12" t="str">
        <f>TEXT(orders[[#This Row],[Order Date]],"mmmm")</f>
        <v>February</v>
      </c>
      <c r="P1490" t="str">
        <f>IF(orders[[#This Row],[Customer Gender]]="M","Male", IF(orders[[#This Row],[Customer Gender]]="F","Female", IF(orders[[#This Row],[Customer Gender]]= "O", "Other","Unknown")))</f>
        <v>Female</v>
      </c>
    </row>
    <row r="1491" spans="1:16"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s="12" t="str">
        <f>TEXT(orders[[#This Row],[Order Date]],"mmmm")</f>
        <v>February</v>
      </c>
      <c r="P1491" t="str">
        <f>IF(orders[[#This Row],[Customer Gender]]="M","Male", IF(orders[[#This Row],[Customer Gender]]="F","Female", IF(orders[[#This Row],[Customer Gender]]= "O", "Other","Unknown")))</f>
        <v>Male</v>
      </c>
    </row>
    <row r="1492" spans="1:16"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s="12" t="str">
        <f>TEXT(orders[[#This Row],[Order Date]],"mmmm")</f>
        <v>February</v>
      </c>
      <c r="P1492" t="str">
        <f>IF(orders[[#This Row],[Customer Gender]]="M","Male", IF(orders[[#This Row],[Customer Gender]]="F","Female", IF(orders[[#This Row],[Customer Gender]]= "O", "Other","Unknown")))</f>
        <v>Male</v>
      </c>
    </row>
    <row r="1493" spans="1:16"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s="12" t="str">
        <f>TEXT(orders[[#This Row],[Order Date]],"mmmm")</f>
        <v>February</v>
      </c>
      <c r="P1493" t="str">
        <f>IF(orders[[#This Row],[Customer Gender]]="M","Male", IF(orders[[#This Row],[Customer Gender]]="F","Female", IF(orders[[#This Row],[Customer Gender]]= "O", "Other","Unknown")))</f>
        <v>Female</v>
      </c>
    </row>
    <row r="1494" spans="1:16"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s="12" t="str">
        <f>TEXT(orders[[#This Row],[Order Date]],"mmmm")</f>
        <v>February</v>
      </c>
      <c r="P1494" t="str">
        <f>IF(orders[[#This Row],[Customer Gender]]="M","Male", IF(orders[[#This Row],[Customer Gender]]="F","Female", IF(orders[[#This Row],[Customer Gender]]= "O", "Other","Unknown")))</f>
        <v>Male</v>
      </c>
    </row>
    <row r="1495" spans="1:16" hidden="1"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s="12" t="str">
        <f>TEXT(orders[[#This Row],[Order Date]],"mmmm")</f>
        <v>February</v>
      </c>
      <c r="P1495" t="str">
        <f>IF(orders[[#This Row],[Customer Gender]]="M","Male", IF(orders[[#This Row],[Customer Gender]]="F","Female", IF(orders[[#This Row],[Customer Gender]]= "O", "Other","Unknown")))</f>
        <v>Unknown</v>
      </c>
    </row>
    <row r="1496" spans="1:16"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s="12" t="str">
        <f>TEXT(orders[[#This Row],[Order Date]],"mmmm")</f>
        <v>February</v>
      </c>
      <c r="P1496" t="str">
        <f>IF(orders[[#This Row],[Customer Gender]]="M","Male", IF(orders[[#This Row],[Customer Gender]]="F","Female", IF(orders[[#This Row],[Customer Gender]]= "O", "Other","Unknown")))</f>
        <v>Female</v>
      </c>
    </row>
    <row r="1497" spans="1:16"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s="12" t="str">
        <f>TEXT(orders[[#This Row],[Order Date]],"mmmm")</f>
        <v>February</v>
      </c>
      <c r="P1497" t="str">
        <f>IF(orders[[#This Row],[Customer Gender]]="M","Male", IF(orders[[#This Row],[Customer Gender]]="F","Female", IF(orders[[#This Row],[Customer Gender]]= "O", "Other","Unknown")))</f>
        <v>Male</v>
      </c>
    </row>
    <row r="1498" spans="1:16"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s="12" t="str">
        <f>TEXT(orders[[#This Row],[Order Date]],"mmmm")</f>
        <v>February</v>
      </c>
      <c r="P1498" t="str">
        <f>IF(orders[[#This Row],[Customer Gender]]="M","Male", IF(orders[[#This Row],[Customer Gender]]="F","Female", IF(orders[[#This Row],[Customer Gender]]= "O", "Other","Unknown")))</f>
        <v>Female</v>
      </c>
    </row>
    <row r="1499" spans="1:16" hidden="1"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s="12" t="str">
        <f>TEXT(orders[[#This Row],[Order Date]],"mmmm")</f>
        <v>February</v>
      </c>
      <c r="P1499" t="str">
        <f>IF(orders[[#This Row],[Customer Gender]]="M","Male", IF(orders[[#This Row],[Customer Gender]]="F","Female", IF(orders[[#This Row],[Customer Gender]]= "O", "Other","Unknown")))</f>
        <v>Unknown</v>
      </c>
    </row>
    <row r="1500" spans="1:16"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s="12" t="str">
        <f>TEXT(orders[[#This Row],[Order Date]],"mmmm")</f>
        <v>February</v>
      </c>
      <c r="P1500" t="str">
        <f>IF(orders[[#This Row],[Customer Gender]]="M","Male", IF(orders[[#This Row],[Customer Gender]]="F","Female", IF(orders[[#This Row],[Customer Gender]]= "O", "Other","Unknown")))</f>
        <v>Male</v>
      </c>
    </row>
    <row r="1501" spans="1:16"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s="12" t="str">
        <f>TEXT(orders[[#This Row],[Order Date]],"mmmm")</f>
        <v>February</v>
      </c>
      <c r="P1501" t="str">
        <f>IF(orders[[#This Row],[Customer Gender]]="M","Male", IF(orders[[#This Row],[Customer Gender]]="F","Female", IF(orders[[#This Row],[Customer Gender]]= "O", "Other","Unknown")))</f>
        <v>Female</v>
      </c>
    </row>
    <row r="1502" spans="1:16"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s="12" t="str">
        <f>TEXT(orders[[#This Row],[Order Date]],"mmmm")</f>
        <v>February</v>
      </c>
      <c r="P1502" t="str">
        <f>IF(orders[[#This Row],[Customer Gender]]="M","Male", IF(orders[[#This Row],[Customer Gender]]="F","Female", IF(orders[[#This Row],[Customer Gender]]= "O", "Other","Unknown")))</f>
        <v>Female</v>
      </c>
    </row>
    <row r="1503" spans="1:16"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s="12" t="str">
        <f>TEXT(orders[[#This Row],[Order Date]],"mmmm")</f>
        <v>February</v>
      </c>
      <c r="P1503" t="str">
        <f>IF(orders[[#This Row],[Customer Gender]]="M","Male", IF(orders[[#This Row],[Customer Gender]]="F","Female", IF(orders[[#This Row],[Customer Gender]]= "O", "Other","Unknown")))</f>
        <v>Female</v>
      </c>
    </row>
    <row r="1504" spans="1:16"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s="12" t="str">
        <f>TEXT(orders[[#This Row],[Order Date]],"mmmm")</f>
        <v>February</v>
      </c>
      <c r="P1504" t="str">
        <f>IF(orders[[#This Row],[Customer Gender]]="M","Male", IF(orders[[#This Row],[Customer Gender]]="F","Female", IF(orders[[#This Row],[Customer Gender]]= "O", "Other","Unknown")))</f>
        <v>Female</v>
      </c>
    </row>
    <row r="1505" spans="1:16"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s="12" t="str">
        <f>TEXT(orders[[#This Row],[Order Date]],"mmmm")</f>
        <v>February</v>
      </c>
      <c r="P1505" t="str">
        <f>IF(orders[[#This Row],[Customer Gender]]="M","Male", IF(orders[[#This Row],[Customer Gender]]="F","Female", IF(orders[[#This Row],[Customer Gender]]= "O", "Other","Unknown")))</f>
        <v>Male</v>
      </c>
    </row>
    <row r="1506" spans="1:16"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s="12" t="str">
        <f>TEXT(orders[[#This Row],[Order Date]],"mmmm")</f>
        <v>February</v>
      </c>
      <c r="P1506" t="str">
        <f>IF(orders[[#This Row],[Customer Gender]]="M","Male", IF(orders[[#This Row],[Customer Gender]]="F","Female", IF(orders[[#This Row],[Customer Gender]]= "O", "Other","Unknown")))</f>
        <v>Female</v>
      </c>
    </row>
    <row r="1507" spans="1:16"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s="12" t="str">
        <f>TEXT(orders[[#This Row],[Order Date]],"mmmm")</f>
        <v>February</v>
      </c>
      <c r="P1507" t="str">
        <f>IF(orders[[#This Row],[Customer Gender]]="M","Male", IF(orders[[#This Row],[Customer Gender]]="F","Female", IF(orders[[#This Row],[Customer Gender]]= "O", "Other","Unknown")))</f>
        <v>Male</v>
      </c>
    </row>
    <row r="1508" spans="1:16"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s="12" t="str">
        <f>TEXT(orders[[#This Row],[Order Date]],"mmmm")</f>
        <v>February</v>
      </c>
      <c r="P1508" t="str">
        <f>IF(orders[[#This Row],[Customer Gender]]="M","Male", IF(orders[[#This Row],[Customer Gender]]="F","Female", IF(orders[[#This Row],[Customer Gender]]= "O", "Other","Unknown")))</f>
        <v>Male</v>
      </c>
    </row>
    <row r="1509" spans="1:16"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s="12" t="str">
        <f>TEXT(orders[[#This Row],[Order Date]],"mmmm")</f>
        <v>February</v>
      </c>
      <c r="P1509" t="str">
        <f>IF(orders[[#This Row],[Customer Gender]]="M","Male", IF(orders[[#This Row],[Customer Gender]]="F","Female", IF(orders[[#This Row],[Customer Gender]]= "O", "Other","Unknown")))</f>
        <v>Male</v>
      </c>
    </row>
    <row r="1510" spans="1:16"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s="12" t="str">
        <f>TEXT(orders[[#This Row],[Order Date]],"mmmm")</f>
        <v>February</v>
      </c>
      <c r="P1510" t="str">
        <f>IF(orders[[#This Row],[Customer Gender]]="M","Male", IF(orders[[#This Row],[Customer Gender]]="F","Female", IF(orders[[#This Row],[Customer Gender]]= "O", "Other","Unknown")))</f>
        <v>Male</v>
      </c>
    </row>
    <row r="1511" spans="1:16"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s="12" t="str">
        <f>TEXT(orders[[#This Row],[Order Date]],"mmmm")</f>
        <v>February</v>
      </c>
      <c r="P1511" t="str">
        <f>IF(orders[[#This Row],[Customer Gender]]="M","Male", IF(orders[[#This Row],[Customer Gender]]="F","Female", IF(orders[[#This Row],[Customer Gender]]= "O", "Other","Unknown")))</f>
        <v>Male</v>
      </c>
    </row>
    <row r="1512" spans="1:16"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s="12" t="str">
        <f>TEXT(orders[[#This Row],[Order Date]],"mmmm")</f>
        <v>February</v>
      </c>
      <c r="P1512" t="str">
        <f>IF(orders[[#This Row],[Customer Gender]]="M","Male", IF(orders[[#This Row],[Customer Gender]]="F","Female", IF(orders[[#This Row],[Customer Gender]]= "O", "Other","Unknown")))</f>
        <v>Male</v>
      </c>
    </row>
    <row r="1513" spans="1:16"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s="12" t="str">
        <f>TEXT(orders[[#This Row],[Order Date]],"mmmm")</f>
        <v>February</v>
      </c>
      <c r="P1513" t="str">
        <f>IF(orders[[#This Row],[Customer Gender]]="M","Male", IF(orders[[#This Row],[Customer Gender]]="F","Female", IF(orders[[#This Row],[Customer Gender]]= "O", "Other","Unknown")))</f>
        <v>Female</v>
      </c>
    </row>
    <row r="1514" spans="1:16"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s="12" t="str">
        <f>TEXT(orders[[#This Row],[Order Date]],"mmmm")</f>
        <v>February</v>
      </c>
      <c r="P1514" t="str">
        <f>IF(orders[[#This Row],[Customer Gender]]="M","Male", IF(orders[[#This Row],[Customer Gender]]="F","Female", IF(orders[[#This Row],[Customer Gender]]= "O", "Other","Unknown")))</f>
        <v>Female</v>
      </c>
    </row>
    <row r="1515" spans="1:16"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s="12" t="str">
        <f>TEXT(orders[[#This Row],[Order Date]],"mmmm")</f>
        <v>February</v>
      </c>
      <c r="P1515" t="str">
        <f>IF(orders[[#This Row],[Customer Gender]]="M","Male", IF(orders[[#This Row],[Customer Gender]]="F","Female", IF(orders[[#This Row],[Customer Gender]]= "O", "Other","Unknown")))</f>
        <v>Female</v>
      </c>
    </row>
    <row r="1516" spans="1:16"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s="12" t="str">
        <f>TEXT(orders[[#This Row],[Order Date]],"mmmm")</f>
        <v>February</v>
      </c>
      <c r="P1516" t="str">
        <f>IF(orders[[#This Row],[Customer Gender]]="M","Male", IF(orders[[#This Row],[Customer Gender]]="F","Female", IF(orders[[#This Row],[Customer Gender]]= "O", "Other","Unknown")))</f>
        <v>Female</v>
      </c>
    </row>
    <row r="1517" spans="1:16"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s="12" t="str">
        <f>TEXT(orders[[#This Row],[Order Date]],"mmmm")</f>
        <v>February</v>
      </c>
      <c r="P1517" t="str">
        <f>IF(orders[[#This Row],[Customer Gender]]="M","Male", IF(orders[[#This Row],[Customer Gender]]="F","Female", IF(orders[[#This Row],[Customer Gender]]= "O", "Other","Unknown")))</f>
        <v>Female</v>
      </c>
    </row>
    <row r="1518" spans="1:16"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s="12" t="str">
        <f>TEXT(orders[[#This Row],[Order Date]],"mmmm")</f>
        <v>February</v>
      </c>
      <c r="P1518" t="str">
        <f>IF(orders[[#This Row],[Customer Gender]]="M","Male", IF(orders[[#This Row],[Customer Gender]]="F","Female", IF(orders[[#This Row],[Customer Gender]]= "O", "Other","Unknown")))</f>
        <v>Male</v>
      </c>
    </row>
    <row r="1519" spans="1:16"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s="12" t="str">
        <f>TEXT(orders[[#This Row],[Order Date]],"mmmm")</f>
        <v>February</v>
      </c>
      <c r="P1519" t="str">
        <f>IF(orders[[#This Row],[Customer Gender]]="M","Male", IF(orders[[#This Row],[Customer Gender]]="F","Female", IF(orders[[#This Row],[Customer Gender]]= "O", "Other","Unknown")))</f>
        <v>Female</v>
      </c>
    </row>
    <row r="1520" spans="1:16"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s="12" t="str">
        <f>TEXT(orders[[#This Row],[Order Date]],"mmmm")</f>
        <v>February</v>
      </c>
      <c r="P1520" t="str">
        <f>IF(orders[[#This Row],[Customer Gender]]="M","Male", IF(orders[[#This Row],[Customer Gender]]="F","Female", IF(orders[[#This Row],[Customer Gender]]= "O", "Other","Unknown")))</f>
        <v>Male</v>
      </c>
    </row>
    <row r="1521" spans="1:16"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s="12" t="str">
        <f>TEXT(orders[[#This Row],[Order Date]],"mmmm")</f>
        <v>February</v>
      </c>
      <c r="P1521" t="str">
        <f>IF(orders[[#This Row],[Customer Gender]]="M","Male", IF(orders[[#This Row],[Customer Gender]]="F","Female", IF(orders[[#This Row],[Customer Gender]]= "O", "Other","Unknown")))</f>
        <v>Female</v>
      </c>
    </row>
    <row r="1522" spans="1:16"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s="12" t="str">
        <f>TEXT(orders[[#This Row],[Order Date]],"mmmm")</f>
        <v>February</v>
      </c>
      <c r="P1522" t="str">
        <f>IF(orders[[#This Row],[Customer Gender]]="M","Male", IF(orders[[#This Row],[Customer Gender]]="F","Female", IF(orders[[#This Row],[Customer Gender]]= "O", "Other","Unknown")))</f>
        <v>Male</v>
      </c>
    </row>
    <row r="1523" spans="1:16"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s="12" t="str">
        <f>TEXT(orders[[#This Row],[Order Date]],"mmmm")</f>
        <v>February</v>
      </c>
      <c r="P1523" t="str">
        <f>IF(orders[[#This Row],[Customer Gender]]="M","Male", IF(orders[[#This Row],[Customer Gender]]="F","Female", IF(orders[[#This Row],[Customer Gender]]= "O", "Other","Unknown")))</f>
        <v>Male</v>
      </c>
    </row>
    <row r="1524" spans="1:16"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s="12" t="str">
        <f>TEXT(orders[[#This Row],[Order Date]],"mmmm")</f>
        <v>February</v>
      </c>
      <c r="P1524" t="str">
        <f>IF(orders[[#This Row],[Customer Gender]]="M","Male", IF(orders[[#This Row],[Customer Gender]]="F","Female", IF(orders[[#This Row],[Customer Gender]]= "O", "Other","Unknown")))</f>
        <v>Female</v>
      </c>
    </row>
    <row r="1525" spans="1:16" hidden="1"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s="12" t="str">
        <f>TEXT(orders[[#This Row],[Order Date]],"mmmm")</f>
        <v>February</v>
      </c>
      <c r="P1525" t="str">
        <f>IF(orders[[#This Row],[Customer Gender]]="M","Male", IF(orders[[#This Row],[Customer Gender]]="F","Female", IF(orders[[#This Row],[Customer Gender]]= "O", "Other","Unknown")))</f>
        <v>Unknown</v>
      </c>
    </row>
    <row r="1526" spans="1:16" hidden="1"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s="12" t="str">
        <f>TEXT(orders[[#This Row],[Order Date]],"mmmm")</f>
        <v>February</v>
      </c>
      <c r="P1526" t="str">
        <f>IF(orders[[#This Row],[Customer Gender]]="M","Male", IF(orders[[#This Row],[Customer Gender]]="F","Female", IF(orders[[#This Row],[Customer Gender]]= "O", "Other","Unknown")))</f>
        <v>Unknown</v>
      </c>
    </row>
    <row r="1527" spans="1:16"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s="12" t="str">
        <f>TEXT(orders[[#This Row],[Order Date]],"mmmm")</f>
        <v>February</v>
      </c>
      <c r="P1527" t="str">
        <f>IF(orders[[#This Row],[Customer Gender]]="M","Male", IF(orders[[#This Row],[Customer Gender]]="F","Female", IF(orders[[#This Row],[Customer Gender]]= "O", "Other","Unknown")))</f>
        <v>Male</v>
      </c>
    </row>
    <row r="1528" spans="1:16"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s="12" t="str">
        <f>TEXT(orders[[#This Row],[Order Date]],"mmmm")</f>
        <v>February</v>
      </c>
      <c r="P1528" t="str">
        <f>IF(orders[[#This Row],[Customer Gender]]="M","Male", IF(orders[[#This Row],[Customer Gender]]="F","Female", IF(orders[[#This Row],[Customer Gender]]= "O", "Other","Unknown")))</f>
        <v>Male</v>
      </c>
    </row>
    <row r="1529" spans="1:16"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s="12" t="str">
        <f>TEXT(orders[[#This Row],[Order Date]],"mmmm")</f>
        <v>February</v>
      </c>
      <c r="P1529" t="str">
        <f>IF(orders[[#This Row],[Customer Gender]]="M","Male", IF(orders[[#This Row],[Customer Gender]]="F","Female", IF(orders[[#This Row],[Customer Gender]]= "O", "Other","Unknown")))</f>
        <v>Male</v>
      </c>
    </row>
    <row r="1530" spans="1:16" hidden="1"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s="12" t="str">
        <f>TEXT(orders[[#This Row],[Order Date]],"mmmm")</f>
        <v>February</v>
      </c>
      <c r="P1530" t="str">
        <f>IF(orders[[#This Row],[Customer Gender]]="M","Male", IF(orders[[#This Row],[Customer Gender]]="F","Female", IF(orders[[#This Row],[Customer Gender]]= "O", "Other","Unknown")))</f>
        <v>Unknown</v>
      </c>
    </row>
    <row r="1531" spans="1:16"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s="12" t="str">
        <f>TEXT(orders[[#This Row],[Order Date]],"mmmm")</f>
        <v>February</v>
      </c>
      <c r="P1531" t="str">
        <f>IF(orders[[#This Row],[Customer Gender]]="M","Male", IF(orders[[#This Row],[Customer Gender]]="F","Female", IF(orders[[#This Row],[Customer Gender]]= "O", "Other","Unknown")))</f>
        <v>Male</v>
      </c>
    </row>
    <row r="1532" spans="1:16" hidden="1"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s="12" t="str">
        <f>TEXT(orders[[#This Row],[Order Date]],"mmmm")</f>
        <v>February</v>
      </c>
      <c r="P1532" t="str">
        <f>IF(orders[[#This Row],[Customer Gender]]="M","Male", IF(orders[[#This Row],[Customer Gender]]="F","Female", IF(orders[[#This Row],[Customer Gender]]= "O", "Other","Unknown")))</f>
        <v>Unknown</v>
      </c>
    </row>
    <row r="1533" spans="1:16"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s="12" t="str">
        <f>TEXT(orders[[#This Row],[Order Date]],"mmmm")</f>
        <v>February</v>
      </c>
      <c r="P1533" t="str">
        <f>IF(orders[[#This Row],[Customer Gender]]="M","Male", IF(orders[[#This Row],[Customer Gender]]="F","Female", IF(orders[[#This Row],[Customer Gender]]= "O", "Other","Unknown")))</f>
        <v>Male</v>
      </c>
    </row>
    <row r="1534" spans="1:16" hidden="1"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s="12" t="str">
        <f>TEXT(orders[[#This Row],[Order Date]],"mmmm")</f>
        <v>February</v>
      </c>
      <c r="P1534" t="str">
        <f>IF(orders[[#This Row],[Customer Gender]]="M","Male", IF(orders[[#This Row],[Customer Gender]]="F","Female", IF(orders[[#This Row],[Customer Gender]]= "O", "Other","Unknown")))</f>
        <v>Unknown</v>
      </c>
    </row>
    <row r="1535" spans="1:16"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s="12" t="str">
        <f>TEXT(orders[[#This Row],[Order Date]],"mmmm")</f>
        <v>February</v>
      </c>
      <c r="P1535" t="str">
        <f>IF(orders[[#This Row],[Customer Gender]]="M","Male", IF(orders[[#This Row],[Customer Gender]]="F","Female", IF(orders[[#This Row],[Customer Gender]]= "O", "Other","Unknown")))</f>
        <v>Female</v>
      </c>
    </row>
    <row r="1536" spans="1:16"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s="12" t="str">
        <f>TEXT(orders[[#This Row],[Order Date]],"mmmm")</f>
        <v>February</v>
      </c>
      <c r="P1536" t="str">
        <f>IF(orders[[#This Row],[Customer Gender]]="M","Male", IF(orders[[#This Row],[Customer Gender]]="F","Female", IF(orders[[#This Row],[Customer Gender]]= "O", "Other","Unknown")))</f>
        <v>Female</v>
      </c>
    </row>
    <row r="1537" spans="1:16"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s="12" t="str">
        <f>TEXT(orders[[#This Row],[Order Date]],"mmmm")</f>
        <v>February</v>
      </c>
      <c r="P1537" t="str">
        <f>IF(orders[[#This Row],[Customer Gender]]="M","Male", IF(orders[[#This Row],[Customer Gender]]="F","Female", IF(orders[[#This Row],[Customer Gender]]= "O", "Other","Unknown")))</f>
        <v>Male</v>
      </c>
    </row>
    <row r="1538" spans="1:16"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s="12" t="str">
        <f>TEXT(orders[[#This Row],[Order Date]],"mmmm")</f>
        <v>February</v>
      </c>
      <c r="P1538" t="str">
        <f>IF(orders[[#This Row],[Customer Gender]]="M","Male", IF(orders[[#This Row],[Customer Gender]]="F","Female", IF(orders[[#This Row],[Customer Gender]]= "O", "Other","Unknown")))</f>
        <v>Male</v>
      </c>
    </row>
    <row r="1539" spans="1:16"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s="12" t="str">
        <f>TEXT(orders[[#This Row],[Order Date]],"mmmm")</f>
        <v>February</v>
      </c>
      <c r="P1539" t="str">
        <f>IF(orders[[#This Row],[Customer Gender]]="M","Male", IF(orders[[#This Row],[Customer Gender]]="F","Female", IF(orders[[#This Row],[Customer Gender]]= "O", "Other","Unknown")))</f>
        <v>Female</v>
      </c>
    </row>
    <row r="1540" spans="1:16"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s="12" t="str">
        <f>TEXT(orders[[#This Row],[Order Date]],"mmmm")</f>
        <v>February</v>
      </c>
      <c r="P1540" t="str">
        <f>IF(orders[[#This Row],[Customer Gender]]="M","Male", IF(orders[[#This Row],[Customer Gender]]="F","Female", IF(orders[[#This Row],[Customer Gender]]= "O", "Other","Unknown")))</f>
        <v>Female</v>
      </c>
    </row>
    <row r="1541" spans="1:16"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s="12" t="str">
        <f>TEXT(orders[[#This Row],[Order Date]],"mmmm")</f>
        <v>February</v>
      </c>
      <c r="P1541" t="str">
        <f>IF(orders[[#This Row],[Customer Gender]]="M","Male", IF(orders[[#This Row],[Customer Gender]]="F","Female", IF(orders[[#This Row],[Customer Gender]]= "O", "Other","Unknown")))</f>
        <v>Female</v>
      </c>
    </row>
    <row r="1542" spans="1:16"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s="12" t="str">
        <f>TEXT(orders[[#This Row],[Order Date]],"mmmm")</f>
        <v>February</v>
      </c>
      <c r="P1542" t="str">
        <f>IF(orders[[#This Row],[Customer Gender]]="M","Male", IF(orders[[#This Row],[Customer Gender]]="F","Female", IF(orders[[#This Row],[Customer Gender]]= "O", "Other","Unknown")))</f>
        <v>Male</v>
      </c>
    </row>
    <row r="1543" spans="1:16"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s="12" t="str">
        <f>TEXT(orders[[#This Row],[Order Date]],"mmmm")</f>
        <v>February</v>
      </c>
      <c r="P1543" t="str">
        <f>IF(orders[[#This Row],[Customer Gender]]="M","Male", IF(orders[[#This Row],[Customer Gender]]="F","Female", IF(orders[[#This Row],[Customer Gender]]= "O", "Other","Unknown")))</f>
        <v>Male</v>
      </c>
    </row>
    <row r="1544" spans="1:16"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s="12" t="str">
        <f>TEXT(orders[[#This Row],[Order Date]],"mmmm")</f>
        <v>February</v>
      </c>
      <c r="P1544" t="str">
        <f>IF(orders[[#This Row],[Customer Gender]]="M","Male", IF(orders[[#This Row],[Customer Gender]]="F","Female", IF(orders[[#This Row],[Customer Gender]]= "O", "Other","Unknown")))</f>
        <v>Male</v>
      </c>
    </row>
    <row r="1545" spans="1:16"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s="12" t="str">
        <f>TEXT(orders[[#This Row],[Order Date]],"mmmm")</f>
        <v>February</v>
      </c>
      <c r="P1545" t="str">
        <f>IF(orders[[#This Row],[Customer Gender]]="M","Male", IF(orders[[#This Row],[Customer Gender]]="F","Female", IF(orders[[#This Row],[Customer Gender]]= "O", "Other","Unknown")))</f>
        <v>Female</v>
      </c>
    </row>
    <row r="1546" spans="1:16"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s="12" t="str">
        <f>TEXT(orders[[#This Row],[Order Date]],"mmmm")</f>
        <v>February</v>
      </c>
      <c r="P1546" t="str">
        <f>IF(orders[[#This Row],[Customer Gender]]="M","Male", IF(orders[[#This Row],[Customer Gender]]="F","Female", IF(orders[[#This Row],[Customer Gender]]= "O", "Other","Unknown")))</f>
        <v>Female</v>
      </c>
    </row>
    <row r="1547" spans="1:16"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s="12" t="str">
        <f>TEXT(orders[[#This Row],[Order Date]],"mmmm")</f>
        <v>February</v>
      </c>
      <c r="P1547" t="str">
        <f>IF(orders[[#This Row],[Customer Gender]]="M","Male", IF(orders[[#This Row],[Customer Gender]]="F","Female", IF(orders[[#This Row],[Customer Gender]]= "O", "Other","Unknown")))</f>
        <v>Female</v>
      </c>
    </row>
    <row r="1548" spans="1:16"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s="12" t="str">
        <f>TEXT(orders[[#This Row],[Order Date]],"mmmm")</f>
        <v>February</v>
      </c>
      <c r="P1548" t="str">
        <f>IF(orders[[#This Row],[Customer Gender]]="M","Male", IF(orders[[#This Row],[Customer Gender]]="F","Female", IF(orders[[#This Row],[Customer Gender]]= "O", "Other","Unknown")))</f>
        <v>Female</v>
      </c>
    </row>
    <row r="1549" spans="1:16"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s="12" t="str">
        <f>TEXT(orders[[#This Row],[Order Date]],"mmmm")</f>
        <v>February</v>
      </c>
      <c r="P1549" t="str">
        <f>IF(orders[[#This Row],[Customer Gender]]="M","Male", IF(orders[[#This Row],[Customer Gender]]="F","Female", IF(orders[[#This Row],[Customer Gender]]= "O", "Other","Unknown")))</f>
        <v>Female</v>
      </c>
    </row>
    <row r="1550" spans="1:16"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s="12" t="str">
        <f>TEXT(orders[[#This Row],[Order Date]],"mmmm")</f>
        <v>February</v>
      </c>
      <c r="P1550" t="str">
        <f>IF(orders[[#This Row],[Customer Gender]]="M","Male", IF(orders[[#This Row],[Customer Gender]]="F","Female", IF(orders[[#This Row],[Customer Gender]]= "O", "Other","Unknown")))</f>
        <v>Female</v>
      </c>
    </row>
    <row r="1551" spans="1:16"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s="12" t="str">
        <f>TEXT(orders[[#This Row],[Order Date]],"mmmm")</f>
        <v>February</v>
      </c>
      <c r="P1551" t="str">
        <f>IF(orders[[#This Row],[Customer Gender]]="M","Male", IF(orders[[#This Row],[Customer Gender]]="F","Female", IF(orders[[#This Row],[Customer Gender]]= "O", "Other","Unknown")))</f>
        <v>Male</v>
      </c>
    </row>
    <row r="1552" spans="1:16"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s="12" t="str">
        <f>TEXT(orders[[#This Row],[Order Date]],"mmmm")</f>
        <v>February</v>
      </c>
      <c r="P1552" t="str">
        <f>IF(orders[[#This Row],[Customer Gender]]="M","Male", IF(orders[[#This Row],[Customer Gender]]="F","Female", IF(orders[[#This Row],[Customer Gender]]= "O", "Other","Unknown")))</f>
        <v>Male</v>
      </c>
    </row>
    <row r="1553" spans="1:16"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s="12" t="str">
        <f>TEXT(orders[[#This Row],[Order Date]],"mmmm")</f>
        <v>February</v>
      </c>
      <c r="P1553" t="str">
        <f>IF(orders[[#This Row],[Customer Gender]]="M","Male", IF(orders[[#This Row],[Customer Gender]]="F","Female", IF(orders[[#This Row],[Customer Gender]]= "O", "Other","Unknown")))</f>
        <v>Male</v>
      </c>
    </row>
    <row r="1554" spans="1:16"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s="12" t="str">
        <f>TEXT(orders[[#This Row],[Order Date]],"mmmm")</f>
        <v>February</v>
      </c>
      <c r="P1554" t="str">
        <f>IF(orders[[#This Row],[Customer Gender]]="M","Male", IF(orders[[#This Row],[Customer Gender]]="F","Female", IF(orders[[#This Row],[Customer Gender]]= "O", "Other","Unknown")))</f>
        <v>Male</v>
      </c>
    </row>
    <row r="1555" spans="1:16"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s="12" t="str">
        <f>TEXT(orders[[#This Row],[Order Date]],"mmmm")</f>
        <v>February</v>
      </c>
      <c r="P1555" t="str">
        <f>IF(orders[[#This Row],[Customer Gender]]="M","Male", IF(orders[[#This Row],[Customer Gender]]="F","Female", IF(orders[[#This Row],[Customer Gender]]= "O", "Other","Unknown")))</f>
        <v>Female</v>
      </c>
    </row>
    <row r="1556" spans="1:16"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s="12" t="str">
        <f>TEXT(orders[[#This Row],[Order Date]],"mmmm")</f>
        <v>February</v>
      </c>
      <c r="P1556" t="str">
        <f>IF(orders[[#This Row],[Customer Gender]]="M","Male", IF(orders[[#This Row],[Customer Gender]]="F","Female", IF(orders[[#This Row],[Customer Gender]]= "O", "Other","Unknown")))</f>
        <v>Female</v>
      </c>
    </row>
    <row r="1557" spans="1:16" hidden="1"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s="12" t="str">
        <f>TEXT(orders[[#This Row],[Order Date]],"mmmm")</f>
        <v>February</v>
      </c>
      <c r="P1557" t="str">
        <f>IF(orders[[#This Row],[Customer Gender]]="M","Male", IF(orders[[#This Row],[Customer Gender]]="F","Female", IF(orders[[#This Row],[Customer Gender]]= "O", "Other","Unknown")))</f>
        <v>Unknown</v>
      </c>
    </row>
    <row r="1558" spans="1:16"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s="12" t="str">
        <f>TEXT(orders[[#This Row],[Order Date]],"mmmm")</f>
        <v>February</v>
      </c>
      <c r="P1558" t="str">
        <f>IF(orders[[#This Row],[Customer Gender]]="M","Male", IF(orders[[#This Row],[Customer Gender]]="F","Female", IF(orders[[#This Row],[Customer Gender]]= "O", "Other","Unknown")))</f>
        <v>Male</v>
      </c>
    </row>
    <row r="1559" spans="1:16"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s="12" t="str">
        <f>TEXT(orders[[#This Row],[Order Date]],"mmmm")</f>
        <v>February</v>
      </c>
      <c r="P1559" t="str">
        <f>IF(orders[[#This Row],[Customer Gender]]="M","Male", IF(orders[[#This Row],[Customer Gender]]="F","Female", IF(orders[[#This Row],[Customer Gender]]= "O", "Other","Unknown")))</f>
        <v>Male</v>
      </c>
    </row>
    <row r="1560" spans="1:16"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s="12" t="str">
        <f>TEXT(orders[[#This Row],[Order Date]],"mmmm")</f>
        <v>February</v>
      </c>
      <c r="P1560" t="str">
        <f>IF(orders[[#This Row],[Customer Gender]]="M","Male", IF(orders[[#This Row],[Customer Gender]]="F","Female", IF(orders[[#This Row],[Customer Gender]]= "O", "Other","Unknown")))</f>
        <v>Other</v>
      </c>
    </row>
    <row r="1561" spans="1:16"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s="12" t="str">
        <f>TEXT(orders[[#This Row],[Order Date]],"mmmm")</f>
        <v>February</v>
      </c>
      <c r="P1561" t="str">
        <f>IF(orders[[#This Row],[Customer Gender]]="M","Male", IF(orders[[#This Row],[Customer Gender]]="F","Female", IF(orders[[#This Row],[Customer Gender]]= "O", "Other","Unknown")))</f>
        <v>Female</v>
      </c>
    </row>
    <row r="1562" spans="1:16"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s="12" t="str">
        <f>TEXT(orders[[#This Row],[Order Date]],"mmmm")</f>
        <v>February</v>
      </c>
      <c r="P1562" t="str">
        <f>IF(orders[[#This Row],[Customer Gender]]="M","Male", IF(orders[[#This Row],[Customer Gender]]="F","Female", IF(orders[[#This Row],[Customer Gender]]= "O", "Other","Unknown")))</f>
        <v>Female</v>
      </c>
    </row>
    <row r="1563" spans="1:16"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s="12" t="str">
        <f>TEXT(orders[[#This Row],[Order Date]],"mmmm")</f>
        <v>February</v>
      </c>
      <c r="P1563" t="str">
        <f>IF(orders[[#This Row],[Customer Gender]]="M","Male", IF(orders[[#This Row],[Customer Gender]]="F","Female", IF(orders[[#This Row],[Customer Gender]]= "O", "Other","Unknown")))</f>
        <v>Other</v>
      </c>
    </row>
    <row r="1564" spans="1:16"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s="12" t="str">
        <f>TEXT(orders[[#This Row],[Order Date]],"mmmm")</f>
        <v>February</v>
      </c>
      <c r="P1564" t="str">
        <f>IF(orders[[#This Row],[Customer Gender]]="M","Male", IF(orders[[#This Row],[Customer Gender]]="F","Female", IF(orders[[#This Row],[Customer Gender]]= "O", "Other","Unknown")))</f>
        <v>Female</v>
      </c>
    </row>
    <row r="1565" spans="1:16"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s="12" t="str">
        <f>TEXT(orders[[#This Row],[Order Date]],"mmmm")</f>
        <v>February</v>
      </c>
      <c r="P1565" t="str">
        <f>IF(orders[[#This Row],[Customer Gender]]="M","Male", IF(orders[[#This Row],[Customer Gender]]="F","Female", IF(orders[[#This Row],[Customer Gender]]= "O", "Other","Unknown")))</f>
        <v>Female</v>
      </c>
    </row>
    <row r="1566" spans="1:16"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s="12" t="str">
        <f>TEXT(orders[[#This Row],[Order Date]],"mmmm")</f>
        <v>February</v>
      </c>
      <c r="P1566" t="str">
        <f>IF(orders[[#This Row],[Customer Gender]]="M","Male", IF(orders[[#This Row],[Customer Gender]]="F","Female", IF(orders[[#This Row],[Customer Gender]]= "O", "Other","Unknown")))</f>
        <v>Male</v>
      </c>
    </row>
    <row r="1567" spans="1:16"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s="12" t="str">
        <f>TEXT(orders[[#This Row],[Order Date]],"mmmm")</f>
        <v>February</v>
      </c>
      <c r="P1567" t="str">
        <f>IF(orders[[#This Row],[Customer Gender]]="M","Male", IF(orders[[#This Row],[Customer Gender]]="F","Female", IF(orders[[#This Row],[Customer Gender]]= "O", "Other","Unknown")))</f>
        <v>Male</v>
      </c>
    </row>
    <row r="1568" spans="1:16"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s="12" t="str">
        <f>TEXT(orders[[#This Row],[Order Date]],"mmmm")</f>
        <v>February</v>
      </c>
      <c r="P1568" t="str">
        <f>IF(orders[[#This Row],[Customer Gender]]="M","Male", IF(orders[[#This Row],[Customer Gender]]="F","Female", IF(orders[[#This Row],[Customer Gender]]= "O", "Other","Unknown")))</f>
        <v>Female</v>
      </c>
    </row>
    <row r="1569" spans="1:16"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s="12" t="str">
        <f>TEXT(orders[[#This Row],[Order Date]],"mmmm")</f>
        <v>February</v>
      </c>
      <c r="P1569" t="str">
        <f>IF(orders[[#This Row],[Customer Gender]]="M","Male", IF(orders[[#This Row],[Customer Gender]]="F","Female", IF(orders[[#This Row],[Customer Gender]]= "O", "Other","Unknown")))</f>
        <v>Male</v>
      </c>
    </row>
    <row r="1570" spans="1:16"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s="12" t="str">
        <f>TEXT(orders[[#This Row],[Order Date]],"mmmm")</f>
        <v>February</v>
      </c>
      <c r="P1570" t="str">
        <f>IF(orders[[#This Row],[Customer Gender]]="M","Male", IF(orders[[#This Row],[Customer Gender]]="F","Female", IF(orders[[#This Row],[Customer Gender]]= "O", "Other","Unknown")))</f>
        <v>Female</v>
      </c>
    </row>
    <row r="1571" spans="1:16"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s="12" t="str">
        <f>TEXT(orders[[#This Row],[Order Date]],"mmmm")</f>
        <v>February</v>
      </c>
      <c r="P1571" t="str">
        <f>IF(orders[[#This Row],[Customer Gender]]="M","Male", IF(orders[[#This Row],[Customer Gender]]="F","Female", IF(orders[[#This Row],[Customer Gender]]= "O", "Other","Unknown")))</f>
        <v>Male</v>
      </c>
    </row>
    <row r="1572" spans="1:16"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s="12" t="str">
        <f>TEXT(orders[[#This Row],[Order Date]],"mmmm")</f>
        <v>February</v>
      </c>
      <c r="P1572" t="str">
        <f>IF(orders[[#This Row],[Customer Gender]]="M","Male", IF(orders[[#This Row],[Customer Gender]]="F","Female", IF(orders[[#This Row],[Customer Gender]]= "O", "Other","Unknown")))</f>
        <v>Male</v>
      </c>
    </row>
    <row r="1573" spans="1:16"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s="12" t="str">
        <f>TEXT(orders[[#This Row],[Order Date]],"mmmm")</f>
        <v>February</v>
      </c>
      <c r="P1573" t="str">
        <f>IF(orders[[#This Row],[Customer Gender]]="M","Male", IF(orders[[#This Row],[Customer Gender]]="F","Female", IF(orders[[#This Row],[Customer Gender]]= "O", "Other","Unknown")))</f>
        <v>Male</v>
      </c>
    </row>
    <row r="1574" spans="1:16"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s="12" t="str">
        <f>TEXT(orders[[#This Row],[Order Date]],"mmmm")</f>
        <v>February</v>
      </c>
      <c r="P1574" t="str">
        <f>IF(orders[[#This Row],[Customer Gender]]="M","Male", IF(orders[[#This Row],[Customer Gender]]="F","Female", IF(orders[[#This Row],[Customer Gender]]= "O", "Other","Unknown")))</f>
        <v>Female</v>
      </c>
    </row>
    <row r="1575" spans="1:16"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s="12" t="str">
        <f>TEXT(orders[[#This Row],[Order Date]],"mmmm")</f>
        <v>February</v>
      </c>
      <c r="P1575" t="str">
        <f>IF(orders[[#This Row],[Customer Gender]]="M","Male", IF(orders[[#This Row],[Customer Gender]]="F","Female", IF(orders[[#This Row],[Customer Gender]]= "O", "Other","Unknown")))</f>
        <v>Female</v>
      </c>
    </row>
    <row r="1576" spans="1:16"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s="12" t="str">
        <f>TEXT(orders[[#This Row],[Order Date]],"mmmm")</f>
        <v>February</v>
      </c>
      <c r="P1576" t="str">
        <f>IF(orders[[#This Row],[Customer Gender]]="M","Male", IF(orders[[#This Row],[Customer Gender]]="F","Female", IF(orders[[#This Row],[Customer Gender]]= "O", "Other","Unknown")))</f>
        <v>Female</v>
      </c>
    </row>
    <row r="1577" spans="1:16"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s="12" t="str">
        <f>TEXT(orders[[#This Row],[Order Date]],"mmmm")</f>
        <v>February</v>
      </c>
      <c r="P1577" t="str">
        <f>IF(orders[[#This Row],[Customer Gender]]="M","Male", IF(orders[[#This Row],[Customer Gender]]="F","Female", IF(orders[[#This Row],[Customer Gender]]= "O", "Other","Unknown")))</f>
        <v>Female</v>
      </c>
    </row>
    <row r="1578" spans="1:16"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s="12" t="str">
        <f>TEXT(orders[[#This Row],[Order Date]],"mmmm")</f>
        <v>February</v>
      </c>
      <c r="P1578" t="str">
        <f>IF(orders[[#This Row],[Customer Gender]]="M","Male", IF(orders[[#This Row],[Customer Gender]]="F","Female", IF(orders[[#This Row],[Customer Gender]]= "O", "Other","Unknown")))</f>
        <v>Female</v>
      </c>
    </row>
    <row r="1579" spans="1:16"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s="12" t="str">
        <f>TEXT(orders[[#This Row],[Order Date]],"mmmm")</f>
        <v>February</v>
      </c>
      <c r="P1579" t="str">
        <f>IF(orders[[#This Row],[Customer Gender]]="M","Male", IF(orders[[#This Row],[Customer Gender]]="F","Female", IF(orders[[#This Row],[Customer Gender]]= "O", "Other","Unknown")))</f>
        <v>Female</v>
      </c>
    </row>
    <row r="1580" spans="1:16"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s="12" t="str">
        <f>TEXT(orders[[#This Row],[Order Date]],"mmmm")</f>
        <v>February</v>
      </c>
      <c r="P1580" t="str">
        <f>IF(orders[[#This Row],[Customer Gender]]="M","Male", IF(orders[[#This Row],[Customer Gender]]="F","Female", IF(orders[[#This Row],[Customer Gender]]= "O", "Other","Unknown")))</f>
        <v>Female</v>
      </c>
    </row>
    <row r="1581" spans="1:16"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s="12" t="str">
        <f>TEXT(orders[[#This Row],[Order Date]],"mmmm")</f>
        <v>February</v>
      </c>
      <c r="P1581" t="str">
        <f>IF(orders[[#This Row],[Customer Gender]]="M","Male", IF(orders[[#This Row],[Customer Gender]]="F","Female", IF(orders[[#This Row],[Customer Gender]]= "O", "Other","Unknown")))</f>
        <v>Female</v>
      </c>
    </row>
    <row r="1582" spans="1:16"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s="12" t="str">
        <f>TEXT(orders[[#This Row],[Order Date]],"mmmm")</f>
        <v>February</v>
      </c>
      <c r="P1582" t="str">
        <f>IF(orders[[#This Row],[Customer Gender]]="M","Male", IF(orders[[#This Row],[Customer Gender]]="F","Female", IF(orders[[#This Row],[Customer Gender]]= "O", "Other","Unknown")))</f>
        <v>Male</v>
      </c>
    </row>
    <row r="1583" spans="1:16"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s="12" t="str">
        <f>TEXT(orders[[#This Row],[Order Date]],"mmmm")</f>
        <v>February</v>
      </c>
      <c r="P1583" t="str">
        <f>IF(orders[[#This Row],[Customer Gender]]="M","Male", IF(orders[[#This Row],[Customer Gender]]="F","Female", IF(orders[[#This Row],[Customer Gender]]= "O", "Other","Unknown")))</f>
        <v>Female</v>
      </c>
    </row>
    <row r="1584" spans="1:16"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s="12" t="str">
        <f>TEXT(orders[[#This Row],[Order Date]],"mmmm")</f>
        <v>February</v>
      </c>
      <c r="P1584" t="str">
        <f>IF(orders[[#This Row],[Customer Gender]]="M","Male", IF(orders[[#This Row],[Customer Gender]]="F","Female", IF(orders[[#This Row],[Customer Gender]]= "O", "Other","Unknown")))</f>
        <v>Male</v>
      </c>
    </row>
    <row r="1585" spans="1:16"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s="12" t="str">
        <f>TEXT(orders[[#This Row],[Order Date]],"mmmm")</f>
        <v>February</v>
      </c>
      <c r="P1585" t="str">
        <f>IF(orders[[#This Row],[Customer Gender]]="M","Male", IF(orders[[#This Row],[Customer Gender]]="F","Female", IF(orders[[#This Row],[Customer Gender]]= "O", "Other","Unknown")))</f>
        <v>Female</v>
      </c>
    </row>
    <row r="1586" spans="1:16" hidden="1"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s="12" t="str">
        <f>TEXT(orders[[#This Row],[Order Date]],"mmmm")</f>
        <v>February</v>
      </c>
      <c r="P1586" t="str">
        <f>IF(orders[[#This Row],[Customer Gender]]="M","Male", IF(orders[[#This Row],[Customer Gender]]="F","Female", IF(orders[[#This Row],[Customer Gender]]= "O", "Other","Unknown")))</f>
        <v>Unknown</v>
      </c>
    </row>
    <row r="1587" spans="1:16"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s="12" t="str">
        <f>TEXT(orders[[#This Row],[Order Date]],"mmmm")</f>
        <v>February</v>
      </c>
      <c r="P1587" t="str">
        <f>IF(orders[[#This Row],[Customer Gender]]="M","Male", IF(orders[[#This Row],[Customer Gender]]="F","Female", IF(orders[[#This Row],[Customer Gender]]= "O", "Other","Unknown")))</f>
        <v>Male</v>
      </c>
    </row>
    <row r="1588" spans="1:16"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s="12" t="str">
        <f>TEXT(orders[[#This Row],[Order Date]],"mmmm")</f>
        <v>February</v>
      </c>
      <c r="P1588" t="str">
        <f>IF(orders[[#This Row],[Customer Gender]]="M","Male", IF(orders[[#This Row],[Customer Gender]]="F","Female", IF(orders[[#This Row],[Customer Gender]]= "O", "Other","Unknown")))</f>
        <v>Female</v>
      </c>
    </row>
    <row r="1589" spans="1:16"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s="12" t="str">
        <f>TEXT(orders[[#This Row],[Order Date]],"mmmm")</f>
        <v>February</v>
      </c>
      <c r="P1589" t="str">
        <f>IF(orders[[#This Row],[Customer Gender]]="M","Male", IF(orders[[#This Row],[Customer Gender]]="F","Female", IF(orders[[#This Row],[Customer Gender]]= "O", "Other","Unknown")))</f>
        <v>Male</v>
      </c>
    </row>
    <row r="1590" spans="1:16"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s="12" t="str">
        <f>TEXT(orders[[#This Row],[Order Date]],"mmmm")</f>
        <v>February</v>
      </c>
      <c r="P1590" t="str">
        <f>IF(orders[[#This Row],[Customer Gender]]="M","Male", IF(orders[[#This Row],[Customer Gender]]="F","Female", IF(orders[[#This Row],[Customer Gender]]= "O", "Other","Unknown")))</f>
        <v>Other</v>
      </c>
    </row>
    <row r="1591" spans="1:16"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s="12" t="str">
        <f>TEXT(orders[[#This Row],[Order Date]],"mmmm")</f>
        <v>February</v>
      </c>
      <c r="P1591" t="str">
        <f>IF(orders[[#This Row],[Customer Gender]]="M","Male", IF(orders[[#This Row],[Customer Gender]]="F","Female", IF(orders[[#This Row],[Customer Gender]]= "O", "Other","Unknown")))</f>
        <v>Female</v>
      </c>
    </row>
    <row r="1592" spans="1:16"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s="12" t="str">
        <f>TEXT(orders[[#This Row],[Order Date]],"mmmm")</f>
        <v>February</v>
      </c>
      <c r="P1592" t="str">
        <f>IF(orders[[#This Row],[Customer Gender]]="M","Male", IF(orders[[#This Row],[Customer Gender]]="F","Female", IF(orders[[#This Row],[Customer Gender]]= "O", "Other","Unknown")))</f>
        <v>Female</v>
      </c>
    </row>
    <row r="1593" spans="1:16"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s="12" t="str">
        <f>TEXT(orders[[#This Row],[Order Date]],"mmmm")</f>
        <v>March</v>
      </c>
      <c r="P1593" t="str">
        <f>IF(orders[[#This Row],[Customer Gender]]="M","Male", IF(orders[[#This Row],[Customer Gender]]="F","Female", IF(orders[[#This Row],[Customer Gender]]= "O", "Other","Unknown")))</f>
        <v>Female</v>
      </c>
    </row>
    <row r="1594" spans="1:16"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s="12" t="str">
        <f>TEXT(orders[[#This Row],[Order Date]],"mmmm")</f>
        <v>March</v>
      </c>
      <c r="P1594" t="str">
        <f>IF(orders[[#This Row],[Customer Gender]]="M","Male", IF(orders[[#This Row],[Customer Gender]]="F","Female", IF(orders[[#This Row],[Customer Gender]]= "O", "Other","Unknown")))</f>
        <v>Female</v>
      </c>
    </row>
    <row r="1595" spans="1:16"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s="12" t="str">
        <f>TEXT(orders[[#This Row],[Order Date]],"mmmm")</f>
        <v>March</v>
      </c>
      <c r="P1595" t="str">
        <f>IF(orders[[#This Row],[Customer Gender]]="M","Male", IF(orders[[#This Row],[Customer Gender]]="F","Female", IF(orders[[#This Row],[Customer Gender]]= "O", "Other","Unknown")))</f>
        <v>Male</v>
      </c>
    </row>
    <row r="1596" spans="1:16"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s="12" t="str">
        <f>TEXT(orders[[#This Row],[Order Date]],"mmmm")</f>
        <v>March</v>
      </c>
      <c r="P1596" t="str">
        <f>IF(orders[[#This Row],[Customer Gender]]="M","Male", IF(orders[[#This Row],[Customer Gender]]="F","Female", IF(orders[[#This Row],[Customer Gender]]= "O", "Other","Unknown")))</f>
        <v>Female</v>
      </c>
    </row>
    <row r="1597" spans="1:16"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s="12" t="str">
        <f>TEXT(orders[[#This Row],[Order Date]],"mmmm")</f>
        <v>March</v>
      </c>
      <c r="P1597" t="str">
        <f>IF(orders[[#This Row],[Customer Gender]]="M","Male", IF(orders[[#This Row],[Customer Gender]]="F","Female", IF(orders[[#This Row],[Customer Gender]]= "O", "Other","Unknown")))</f>
        <v>Male</v>
      </c>
    </row>
    <row r="1598" spans="1:16" hidden="1"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s="12" t="str">
        <f>TEXT(orders[[#This Row],[Order Date]],"mmmm")</f>
        <v>March</v>
      </c>
      <c r="P1598" t="str">
        <f>IF(orders[[#This Row],[Customer Gender]]="M","Male", IF(orders[[#This Row],[Customer Gender]]="F","Female", IF(orders[[#This Row],[Customer Gender]]= "O", "Other","Unknown")))</f>
        <v>Unknown</v>
      </c>
    </row>
    <row r="1599" spans="1:16"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s="12" t="str">
        <f>TEXT(orders[[#This Row],[Order Date]],"mmmm")</f>
        <v>March</v>
      </c>
      <c r="P1599" t="str">
        <f>IF(orders[[#This Row],[Customer Gender]]="M","Male", IF(orders[[#This Row],[Customer Gender]]="F","Female", IF(orders[[#This Row],[Customer Gender]]= "O", "Other","Unknown")))</f>
        <v>Female</v>
      </c>
    </row>
    <row r="1600" spans="1:16"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s="12" t="str">
        <f>TEXT(orders[[#This Row],[Order Date]],"mmmm")</f>
        <v>March</v>
      </c>
      <c r="P1600" t="str">
        <f>IF(orders[[#This Row],[Customer Gender]]="M","Male", IF(orders[[#This Row],[Customer Gender]]="F","Female", IF(orders[[#This Row],[Customer Gender]]= "O", "Other","Unknown")))</f>
        <v>Female</v>
      </c>
    </row>
    <row r="1601" spans="1:16"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s="12" t="str">
        <f>TEXT(orders[[#This Row],[Order Date]],"mmmm")</f>
        <v>March</v>
      </c>
      <c r="P1601" t="str">
        <f>IF(orders[[#This Row],[Customer Gender]]="M","Male", IF(orders[[#This Row],[Customer Gender]]="F","Female", IF(orders[[#This Row],[Customer Gender]]= "O", "Other","Unknown")))</f>
        <v>Female</v>
      </c>
    </row>
    <row r="1602" spans="1:16"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s="12" t="str">
        <f>TEXT(orders[[#This Row],[Order Date]],"mmmm")</f>
        <v>March</v>
      </c>
      <c r="P1602" t="str">
        <f>IF(orders[[#This Row],[Customer Gender]]="M","Male", IF(orders[[#This Row],[Customer Gender]]="F","Female", IF(orders[[#This Row],[Customer Gender]]= "O", "Other","Unknown")))</f>
        <v>Male</v>
      </c>
    </row>
    <row r="1603" spans="1:16"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s="12" t="str">
        <f>TEXT(orders[[#This Row],[Order Date]],"mmmm")</f>
        <v>March</v>
      </c>
      <c r="P1603" t="str">
        <f>IF(orders[[#This Row],[Customer Gender]]="M","Male", IF(orders[[#This Row],[Customer Gender]]="F","Female", IF(orders[[#This Row],[Customer Gender]]= "O", "Other","Unknown")))</f>
        <v>Male</v>
      </c>
    </row>
    <row r="1604" spans="1:16"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s="12" t="str">
        <f>TEXT(orders[[#This Row],[Order Date]],"mmmm")</f>
        <v>March</v>
      </c>
      <c r="P1604" t="str">
        <f>IF(orders[[#This Row],[Customer Gender]]="M","Male", IF(orders[[#This Row],[Customer Gender]]="F","Female", IF(orders[[#This Row],[Customer Gender]]= "O", "Other","Unknown")))</f>
        <v>Female</v>
      </c>
    </row>
    <row r="1605" spans="1:16"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s="12" t="str">
        <f>TEXT(orders[[#This Row],[Order Date]],"mmmm")</f>
        <v>March</v>
      </c>
      <c r="P1605" t="str">
        <f>IF(orders[[#This Row],[Customer Gender]]="M","Male", IF(orders[[#This Row],[Customer Gender]]="F","Female", IF(orders[[#This Row],[Customer Gender]]= "O", "Other","Unknown")))</f>
        <v>Male</v>
      </c>
    </row>
    <row r="1606" spans="1:16"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s="12" t="str">
        <f>TEXT(orders[[#This Row],[Order Date]],"mmmm")</f>
        <v>March</v>
      </c>
      <c r="P1606" t="str">
        <f>IF(orders[[#This Row],[Customer Gender]]="M","Male", IF(orders[[#This Row],[Customer Gender]]="F","Female", IF(orders[[#This Row],[Customer Gender]]= "O", "Other","Unknown")))</f>
        <v>Male</v>
      </c>
    </row>
    <row r="1607" spans="1:16"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s="12" t="str">
        <f>TEXT(orders[[#This Row],[Order Date]],"mmmm")</f>
        <v>March</v>
      </c>
      <c r="P1607" t="str">
        <f>IF(orders[[#This Row],[Customer Gender]]="M","Male", IF(orders[[#This Row],[Customer Gender]]="F","Female", IF(orders[[#This Row],[Customer Gender]]= "O", "Other","Unknown")))</f>
        <v>Male</v>
      </c>
    </row>
    <row r="1608" spans="1:16"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s="12" t="str">
        <f>TEXT(orders[[#This Row],[Order Date]],"mmmm")</f>
        <v>March</v>
      </c>
      <c r="P1608" t="str">
        <f>IF(orders[[#This Row],[Customer Gender]]="M","Male", IF(orders[[#This Row],[Customer Gender]]="F","Female", IF(orders[[#This Row],[Customer Gender]]= "O", "Other","Unknown")))</f>
        <v>Female</v>
      </c>
    </row>
    <row r="1609" spans="1:16"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s="12" t="str">
        <f>TEXT(orders[[#This Row],[Order Date]],"mmmm")</f>
        <v>March</v>
      </c>
      <c r="P1609" t="str">
        <f>IF(orders[[#This Row],[Customer Gender]]="M","Male", IF(orders[[#This Row],[Customer Gender]]="F","Female", IF(orders[[#This Row],[Customer Gender]]= "O", "Other","Unknown")))</f>
        <v>Female</v>
      </c>
    </row>
    <row r="1610" spans="1:16"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s="12" t="str">
        <f>TEXT(orders[[#This Row],[Order Date]],"mmmm")</f>
        <v>March</v>
      </c>
      <c r="P1610" t="str">
        <f>IF(orders[[#This Row],[Customer Gender]]="M","Male", IF(orders[[#This Row],[Customer Gender]]="F","Female", IF(orders[[#This Row],[Customer Gender]]= "O", "Other","Unknown")))</f>
        <v>Male</v>
      </c>
    </row>
    <row r="1611" spans="1:16"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s="12" t="str">
        <f>TEXT(orders[[#This Row],[Order Date]],"mmmm")</f>
        <v>March</v>
      </c>
      <c r="P1611" t="str">
        <f>IF(orders[[#This Row],[Customer Gender]]="M","Male", IF(orders[[#This Row],[Customer Gender]]="F","Female", IF(orders[[#This Row],[Customer Gender]]= "O", "Other","Unknown")))</f>
        <v>Male</v>
      </c>
    </row>
    <row r="1612" spans="1:16"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s="12" t="str">
        <f>TEXT(orders[[#This Row],[Order Date]],"mmmm")</f>
        <v>March</v>
      </c>
      <c r="P1612" t="str">
        <f>IF(orders[[#This Row],[Customer Gender]]="M","Male", IF(orders[[#This Row],[Customer Gender]]="F","Female", IF(orders[[#This Row],[Customer Gender]]= "O", "Other","Unknown")))</f>
        <v>Male</v>
      </c>
    </row>
    <row r="1613" spans="1:16"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s="12" t="str">
        <f>TEXT(orders[[#This Row],[Order Date]],"mmmm")</f>
        <v>March</v>
      </c>
      <c r="P1613" t="str">
        <f>IF(orders[[#This Row],[Customer Gender]]="M","Male", IF(orders[[#This Row],[Customer Gender]]="F","Female", IF(orders[[#This Row],[Customer Gender]]= "O", "Other","Unknown")))</f>
        <v>Male</v>
      </c>
    </row>
    <row r="1614" spans="1:16"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s="12" t="str">
        <f>TEXT(orders[[#This Row],[Order Date]],"mmmm")</f>
        <v>March</v>
      </c>
      <c r="P1614" t="str">
        <f>IF(orders[[#This Row],[Customer Gender]]="M","Male", IF(orders[[#This Row],[Customer Gender]]="F","Female", IF(orders[[#This Row],[Customer Gender]]= "O", "Other","Unknown")))</f>
        <v>Female</v>
      </c>
    </row>
    <row r="1615" spans="1:16"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s="12" t="str">
        <f>TEXT(orders[[#This Row],[Order Date]],"mmmm")</f>
        <v>March</v>
      </c>
      <c r="P1615" t="str">
        <f>IF(orders[[#This Row],[Customer Gender]]="M","Male", IF(orders[[#This Row],[Customer Gender]]="F","Female", IF(orders[[#This Row],[Customer Gender]]= "O", "Other","Unknown")))</f>
        <v>Female</v>
      </c>
    </row>
    <row r="1616" spans="1:16"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s="12" t="str">
        <f>TEXT(orders[[#This Row],[Order Date]],"mmmm")</f>
        <v>March</v>
      </c>
      <c r="P1616" t="str">
        <f>IF(orders[[#This Row],[Customer Gender]]="M","Male", IF(orders[[#This Row],[Customer Gender]]="F","Female", IF(orders[[#This Row],[Customer Gender]]= "O", "Other","Unknown")))</f>
        <v>Female</v>
      </c>
    </row>
    <row r="1617" spans="1:16"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s="12" t="str">
        <f>TEXT(orders[[#This Row],[Order Date]],"mmmm")</f>
        <v>March</v>
      </c>
      <c r="P1617" t="str">
        <f>IF(orders[[#This Row],[Customer Gender]]="M","Male", IF(orders[[#This Row],[Customer Gender]]="F","Female", IF(orders[[#This Row],[Customer Gender]]= "O", "Other","Unknown")))</f>
        <v>Female</v>
      </c>
    </row>
    <row r="1618" spans="1:16"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s="12" t="str">
        <f>TEXT(orders[[#This Row],[Order Date]],"mmmm")</f>
        <v>March</v>
      </c>
      <c r="P1618" t="str">
        <f>IF(orders[[#This Row],[Customer Gender]]="M","Male", IF(orders[[#This Row],[Customer Gender]]="F","Female", IF(orders[[#This Row],[Customer Gender]]= "O", "Other","Unknown")))</f>
        <v>Female</v>
      </c>
    </row>
    <row r="1619" spans="1:16"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s="12" t="str">
        <f>TEXT(orders[[#This Row],[Order Date]],"mmmm")</f>
        <v>March</v>
      </c>
      <c r="P1619" t="str">
        <f>IF(orders[[#This Row],[Customer Gender]]="M","Male", IF(orders[[#This Row],[Customer Gender]]="F","Female", IF(orders[[#This Row],[Customer Gender]]= "O", "Other","Unknown")))</f>
        <v>Other</v>
      </c>
    </row>
    <row r="1620" spans="1:16"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s="12" t="str">
        <f>TEXT(orders[[#This Row],[Order Date]],"mmmm")</f>
        <v>March</v>
      </c>
      <c r="P1620" t="str">
        <f>IF(orders[[#This Row],[Customer Gender]]="M","Male", IF(orders[[#This Row],[Customer Gender]]="F","Female", IF(orders[[#This Row],[Customer Gender]]= "O", "Other","Unknown")))</f>
        <v>Male</v>
      </c>
    </row>
    <row r="1621" spans="1:16"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s="12" t="str">
        <f>TEXT(orders[[#This Row],[Order Date]],"mmmm")</f>
        <v>March</v>
      </c>
      <c r="P1621" t="str">
        <f>IF(orders[[#This Row],[Customer Gender]]="M","Male", IF(orders[[#This Row],[Customer Gender]]="F","Female", IF(orders[[#This Row],[Customer Gender]]= "O", "Other","Unknown")))</f>
        <v>Female</v>
      </c>
    </row>
    <row r="1622" spans="1:16"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s="12" t="str">
        <f>TEXT(orders[[#This Row],[Order Date]],"mmmm")</f>
        <v>March</v>
      </c>
      <c r="P1622" t="str">
        <f>IF(orders[[#This Row],[Customer Gender]]="M","Male", IF(orders[[#This Row],[Customer Gender]]="F","Female", IF(orders[[#This Row],[Customer Gender]]= "O", "Other","Unknown")))</f>
        <v>Male</v>
      </c>
    </row>
    <row r="1623" spans="1:16"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s="12" t="str">
        <f>TEXT(orders[[#This Row],[Order Date]],"mmmm")</f>
        <v>March</v>
      </c>
      <c r="P1623" t="str">
        <f>IF(orders[[#This Row],[Customer Gender]]="M","Male", IF(orders[[#This Row],[Customer Gender]]="F","Female", IF(orders[[#This Row],[Customer Gender]]= "O", "Other","Unknown")))</f>
        <v>Male</v>
      </c>
    </row>
    <row r="1624" spans="1:16"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s="12" t="str">
        <f>TEXT(orders[[#This Row],[Order Date]],"mmmm")</f>
        <v>March</v>
      </c>
      <c r="P1624" t="str">
        <f>IF(orders[[#This Row],[Customer Gender]]="M","Male", IF(orders[[#This Row],[Customer Gender]]="F","Female", IF(orders[[#This Row],[Customer Gender]]= "O", "Other","Unknown")))</f>
        <v>Female</v>
      </c>
    </row>
    <row r="1625" spans="1:16"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s="12" t="str">
        <f>TEXT(orders[[#This Row],[Order Date]],"mmmm")</f>
        <v>March</v>
      </c>
      <c r="P1625" t="str">
        <f>IF(orders[[#This Row],[Customer Gender]]="M","Male", IF(orders[[#This Row],[Customer Gender]]="F","Female", IF(orders[[#This Row],[Customer Gender]]= "O", "Other","Unknown")))</f>
        <v>Other</v>
      </c>
    </row>
    <row r="1626" spans="1:16"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s="12" t="str">
        <f>TEXT(orders[[#This Row],[Order Date]],"mmmm")</f>
        <v>March</v>
      </c>
      <c r="P1626" t="str">
        <f>IF(orders[[#This Row],[Customer Gender]]="M","Male", IF(orders[[#This Row],[Customer Gender]]="F","Female", IF(orders[[#This Row],[Customer Gender]]= "O", "Other","Unknown")))</f>
        <v>Other</v>
      </c>
    </row>
    <row r="1627" spans="1:16"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s="12" t="str">
        <f>TEXT(orders[[#This Row],[Order Date]],"mmmm")</f>
        <v>March</v>
      </c>
      <c r="P1627" t="str">
        <f>IF(orders[[#This Row],[Customer Gender]]="M","Male", IF(orders[[#This Row],[Customer Gender]]="F","Female", IF(orders[[#This Row],[Customer Gender]]= "O", "Other","Unknown")))</f>
        <v>Female</v>
      </c>
    </row>
    <row r="1628" spans="1:16"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s="12" t="str">
        <f>TEXT(orders[[#This Row],[Order Date]],"mmmm")</f>
        <v>March</v>
      </c>
      <c r="P1628" t="str">
        <f>IF(orders[[#This Row],[Customer Gender]]="M","Male", IF(orders[[#This Row],[Customer Gender]]="F","Female", IF(orders[[#This Row],[Customer Gender]]= "O", "Other","Unknown")))</f>
        <v>Female</v>
      </c>
    </row>
    <row r="1629" spans="1:16"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s="12" t="str">
        <f>TEXT(orders[[#This Row],[Order Date]],"mmmm")</f>
        <v>March</v>
      </c>
      <c r="P1629" t="str">
        <f>IF(orders[[#This Row],[Customer Gender]]="M","Male", IF(orders[[#This Row],[Customer Gender]]="F","Female", IF(orders[[#This Row],[Customer Gender]]= "O", "Other","Unknown")))</f>
        <v>Male</v>
      </c>
    </row>
    <row r="1630" spans="1:16"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s="12" t="str">
        <f>TEXT(orders[[#This Row],[Order Date]],"mmmm")</f>
        <v>March</v>
      </c>
      <c r="P1630" t="str">
        <f>IF(orders[[#This Row],[Customer Gender]]="M","Male", IF(orders[[#This Row],[Customer Gender]]="F","Female", IF(orders[[#This Row],[Customer Gender]]= "O", "Other","Unknown")))</f>
        <v>Male</v>
      </c>
    </row>
    <row r="1631" spans="1:16"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s="12" t="str">
        <f>TEXT(orders[[#This Row],[Order Date]],"mmmm")</f>
        <v>March</v>
      </c>
      <c r="P1631" t="str">
        <f>IF(orders[[#This Row],[Customer Gender]]="M","Male", IF(orders[[#This Row],[Customer Gender]]="F","Female", IF(orders[[#This Row],[Customer Gender]]= "O", "Other","Unknown")))</f>
        <v>Female</v>
      </c>
    </row>
    <row r="1632" spans="1:16"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s="12" t="str">
        <f>TEXT(orders[[#This Row],[Order Date]],"mmmm")</f>
        <v>March</v>
      </c>
      <c r="P1632" t="str">
        <f>IF(orders[[#This Row],[Customer Gender]]="M","Male", IF(orders[[#This Row],[Customer Gender]]="F","Female", IF(orders[[#This Row],[Customer Gender]]= "O", "Other","Unknown")))</f>
        <v>Female</v>
      </c>
    </row>
    <row r="1633" spans="1:16"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s="12" t="str">
        <f>TEXT(orders[[#This Row],[Order Date]],"mmmm")</f>
        <v>March</v>
      </c>
      <c r="P1633" t="str">
        <f>IF(orders[[#This Row],[Customer Gender]]="M","Male", IF(orders[[#This Row],[Customer Gender]]="F","Female", IF(orders[[#This Row],[Customer Gender]]= "O", "Other","Unknown")))</f>
        <v>Female</v>
      </c>
    </row>
    <row r="1634" spans="1:16"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s="12" t="str">
        <f>TEXT(orders[[#This Row],[Order Date]],"mmmm")</f>
        <v>March</v>
      </c>
      <c r="P1634" t="str">
        <f>IF(orders[[#This Row],[Customer Gender]]="M","Male", IF(orders[[#This Row],[Customer Gender]]="F","Female", IF(orders[[#This Row],[Customer Gender]]= "O", "Other","Unknown")))</f>
        <v>Female</v>
      </c>
    </row>
    <row r="1635" spans="1:16" hidden="1"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s="12" t="str">
        <f>TEXT(orders[[#This Row],[Order Date]],"mmmm")</f>
        <v>March</v>
      </c>
      <c r="P1635" t="str">
        <f>IF(orders[[#This Row],[Customer Gender]]="M","Male", IF(orders[[#This Row],[Customer Gender]]="F","Female", IF(orders[[#This Row],[Customer Gender]]= "O", "Other","Unknown")))</f>
        <v>Unknown</v>
      </c>
    </row>
    <row r="1636" spans="1:16"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s="12" t="str">
        <f>TEXT(orders[[#This Row],[Order Date]],"mmmm")</f>
        <v>March</v>
      </c>
      <c r="P1636" t="str">
        <f>IF(orders[[#This Row],[Customer Gender]]="M","Male", IF(orders[[#This Row],[Customer Gender]]="F","Female", IF(orders[[#This Row],[Customer Gender]]= "O", "Other","Unknown")))</f>
        <v>Male</v>
      </c>
    </row>
    <row r="1637" spans="1:16"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s="12" t="str">
        <f>TEXT(orders[[#This Row],[Order Date]],"mmmm")</f>
        <v>March</v>
      </c>
      <c r="P1637" t="str">
        <f>IF(orders[[#This Row],[Customer Gender]]="M","Male", IF(orders[[#This Row],[Customer Gender]]="F","Female", IF(orders[[#This Row],[Customer Gender]]= "O", "Other","Unknown")))</f>
        <v>Male</v>
      </c>
    </row>
    <row r="1638" spans="1:16"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s="12" t="str">
        <f>TEXT(orders[[#This Row],[Order Date]],"mmmm")</f>
        <v>March</v>
      </c>
      <c r="P1638" t="str">
        <f>IF(orders[[#This Row],[Customer Gender]]="M","Male", IF(orders[[#This Row],[Customer Gender]]="F","Female", IF(orders[[#This Row],[Customer Gender]]= "O", "Other","Unknown")))</f>
        <v>Male</v>
      </c>
    </row>
    <row r="1639" spans="1:16"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s="12" t="str">
        <f>TEXT(orders[[#This Row],[Order Date]],"mmmm")</f>
        <v>March</v>
      </c>
      <c r="P1639" t="str">
        <f>IF(orders[[#This Row],[Customer Gender]]="M","Male", IF(orders[[#This Row],[Customer Gender]]="F","Female", IF(orders[[#This Row],[Customer Gender]]= "O", "Other","Unknown")))</f>
        <v>Other</v>
      </c>
    </row>
    <row r="1640" spans="1:16"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s="12" t="str">
        <f>TEXT(orders[[#This Row],[Order Date]],"mmmm")</f>
        <v>March</v>
      </c>
      <c r="P1640" t="str">
        <f>IF(orders[[#This Row],[Customer Gender]]="M","Male", IF(orders[[#This Row],[Customer Gender]]="F","Female", IF(orders[[#This Row],[Customer Gender]]= "O", "Other","Unknown")))</f>
        <v>Male</v>
      </c>
    </row>
    <row r="1641" spans="1:16"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s="12" t="str">
        <f>TEXT(orders[[#This Row],[Order Date]],"mmmm")</f>
        <v>March</v>
      </c>
      <c r="P1641" t="str">
        <f>IF(orders[[#This Row],[Customer Gender]]="M","Male", IF(orders[[#This Row],[Customer Gender]]="F","Female", IF(orders[[#This Row],[Customer Gender]]= "O", "Other","Unknown")))</f>
        <v>Male</v>
      </c>
    </row>
    <row r="1642" spans="1:16"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s="12" t="str">
        <f>TEXT(orders[[#This Row],[Order Date]],"mmmm")</f>
        <v>March</v>
      </c>
      <c r="P1642" t="str">
        <f>IF(orders[[#This Row],[Customer Gender]]="M","Male", IF(orders[[#This Row],[Customer Gender]]="F","Female", IF(orders[[#This Row],[Customer Gender]]= "O", "Other","Unknown")))</f>
        <v>Male</v>
      </c>
    </row>
    <row r="1643" spans="1:16"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s="12" t="str">
        <f>TEXT(orders[[#This Row],[Order Date]],"mmmm")</f>
        <v>March</v>
      </c>
      <c r="P1643" t="str">
        <f>IF(orders[[#This Row],[Customer Gender]]="M","Male", IF(orders[[#This Row],[Customer Gender]]="F","Female", IF(orders[[#This Row],[Customer Gender]]= "O", "Other","Unknown")))</f>
        <v>Female</v>
      </c>
    </row>
    <row r="1644" spans="1:16"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s="12" t="str">
        <f>TEXT(orders[[#This Row],[Order Date]],"mmmm")</f>
        <v>March</v>
      </c>
      <c r="P1644" t="str">
        <f>IF(orders[[#This Row],[Customer Gender]]="M","Male", IF(orders[[#This Row],[Customer Gender]]="F","Female", IF(orders[[#This Row],[Customer Gender]]= "O", "Other","Unknown")))</f>
        <v>Male</v>
      </c>
    </row>
    <row r="1645" spans="1:16"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s="12" t="str">
        <f>TEXT(orders[[#This Row],[Order Date]],"mmmm")</f>
        <v>March</v>
      </c>
      <c r="P1645" t="str">
        <f>IF(orders[[#This Row],[Customer Gender]]="M","Male", IF(orders[[#This Row],[Customer Gender]]="F","Female", IF(orders[[#This Row],[Customer Gender]]= "O", "Other","Unknown")))</f>
        <v>Male</v>
      </c>
    </row>
    <row r="1646" spans="1:16"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s="12" t="str">
        <f>TEXT(orders[[#This Row],[Order Date]],"mmmm")</f>
        <v>March</v>
      </c>
      <c r="P1646" t="str">
        <f>IF(orders[[#This Row],[Customer Gender]]="M","Male", IF(orders[[#This Row],[Customer Gender]]="F","Female", IF(orders[[#This Row],[Customer Gender]]= "O", "Other","Unknown")))</f>
        <v>Male</v>
      </c>
    </row>
    <row r="1647" spans="1:16"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s="12" t="str">
        <f>TEXT(orders[[#This Row],[Order Date]],"mmmm")</f>
        <v>March</v>
      </c>
      <c r="P1647" t="str">
        <f>IF(orders[[#This Row],[Customer Gender]]="M","Male", IF(orders[[#This Row],[Customer Gender]]="F","Female", IF(orders[[#This Row],[Customer Gender]]= "O", "Other","Unknown")))</f>
        <v>Male</v>
      </c>
    </row>
    <row r="1648" spans="1:16"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s="12" t="str">
        <f>TEXT(orders[[#This Row],[Order Date]],"mmmm")</f>
        <v>March</v>
      </c>
      <c r="P1648" t="str">
        <f>IF(orders[[#This Row],[Customer Gender]]="M","Male", IF(orders[[#This Row],[Customer Gender]]="F","Female", IF(orders[[#This Row],[Customer Gender]]= "O", "Other","Unknown")))</f>
        <v>Male</v>
      </c>
    </row>
    <row r="1649" spans="1:16"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s="12" t="str">
        <f>TEXT(orders[[#This Row],[Order Date]],"mmmm")</f>
        <v>March</v>
      </c>
      <c r="P1649" t="str">
        <f>IF(orders[[#This Row],[Customer Gender]]="M","Male", IF(orders[[#This Row],[Customer Gender]]="F","Female", IF(orders[[#This Row],[Customer Gender]]= "O", "Other","Unknown")))</f>
        <v>Male</v>
      </c>
    </row>
    <row r="1650" spans="1:16"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s="12" t="str">
        <f>TEXT(orders[[#This Row],[Order Date]],"mmmm")</f>
        <v>March</v>
      </c>
      <c r="P1650" t="str">
        <f>IF(orders[[#This Row],[Customer Gender]]="M","Male", IF(orders[[#This Row],[Customer Gender]]="F","Female", IF(orders[[#This Row],[Customer Gender]]= "O", "Other","Unknown")))</f>
        <v>Female</v>
      </c>
    </row>
    <row r="1651" spans="1:16"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s="12" t="str">
        <f>TEXT(orders[[#This Row],[Order Date]],"mmmm")</f>
        <v>March</v>
      </c>
      <c r="P1651" t="str">
        <f>IF(orders[[#This Row],[Customer Gender]]="M","Male", IF(orders[[#This Row],[Customer Gender]]="F","Female", IF(orders[[#This Row],[Customer Gender]]= "O", "Other","Unknown")))</f>
        <v>Female</v>
      </c>
    </row>
    <row r="1652" spans="1:16"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s="12" t="str">
        <f>TEXT(orders[[#This Row],[Order Date]],"mmmm")</f>
        <v>March</v>
      </c>
      <c r="P1652" t="str">
        <f>IF(orders[[#This Row],[Customer Gender]]="M","Male", IF(orders[[#This Row],[Customer Gender]]="F","Female", IF(orders[[#This Row],[Customer Gender]]= "O", "Other","Unknown")))</f>
        <v>Female</v>
      </c>
    </row>
    <row r="1653" spans="1:16"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s="12" t="str">
        <f>TEXT(orders[[#This Row],[Order Date]],"mmmm")</f>
        <v>March</v>
      </c>
      <c r="P1653" t="str">
        <f>IF(orders[[#This Row],[Customer Gender]]="M","Male", IF(orders[[#This Row],[Customer Gender]]="F","Female", IF(orders[[#This Row],[Customer Gender]]= "O", "Other","Unknown")))</f>
        <v>Female</v>
      </c>
    </row>
    <row r="1654" spans="1:16"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s="12" t="str">
        <f>TEXT(orders[[#This Row],[Order Date]],"mmmm")</f>
        <v>March</v>
      </c>
      <c r="P1654" t="str">
        <f>IF(orders[[#This Row],[Customer Gender]]="M","Male", IF(orders[[#This Row],[Customer Gender]]="F","Female", IF(orders[[#This Row],[Customer Gender]]= "O", "Other","Unknown")))</f>
        <v>Male</v>
      </c>
    </row>
    <row r="1655" spans="1:16"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s="12" t="str">
        <f>TEXT(orders[[#This Row],[Order Date]],"mmmm")</f>
        <v>March</v>
      </c>
      <c r="P1655" t="str">
        <f>IF(orders[[#This Row],[Customer Gender]]="M","Male", IF(orders[[#This Row],[Customer Gender]]="F","Female", IF(orders[[#This Row],[Customer Gender]]= "O", "Other","Unknown")))</f>
        <v>Female</v>
      </c>
    </row>
    <row r="1656" spans="1:16"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s="12" t="str">
        <f>TEXT(orders[[#This Row],[Order Date]],"mmmm")</f>
        <v>March</v>
      </c>
      <c r="P1656" t="str">
        <f>IF(orders[[#This Row],[Customer Gender]]="M","Male", IF(orders[[#This Row],[Customer Gender]]="F","Female", IF(orders[[#This Row],[Customer Gender]]= "O", "Other","Unknown")))</f>
        <v>Male</v>
      </c>
    </row>
    <row r="1657" spans="1:16"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s="12" t="str">
        <f>TEXT(orders[[#This Row],[Order Date]],"mmmm")</f>
        <v>March</v>
      </c>
      <c r="P1657" t="str">
        <f>IF(orders[[#This Row],[Customer Gender]]="M","Male", IF(orders[[#This Row],[Customer Gender]]="F","Female", IF(orders[[#This Row],[Customer Gender]]= "O", "Other","Unknown")))</f>
        <v>Female</v>
      </c>
    </row>
    <row r="1658" spans="1:16"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s="12" t="str">
        <f>TEXT(orders[[#This Row],[Order Date]],"mmmm")</f>
        <v>March</v>
      </c>
      <c r="P1658" t="str">
        <f>IF(orders[[#This Row],[Customer Gender]]="M","Male", IF(orders[[#This Row],[Customer Gender]]="F","Female", IF(orders[[#This Row],[Customer Gender]]= "O", "Other","Unknown")))</f>
        <v>Male</v>
      </c>
    </row>
    <row r="1659" spans="1:16"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s="12" t="str">
        <f>TEXT(orders[[#This Row],[Order Date]],"mmmm")</f>
        <v>March</v>
      </c>
      <c r="P1659" t="str">
        <f>IF(orders[[#This Row],[Customer Gender]]="M","Male", IF(orders[[#This Row],[Customer Gender]]="F","Female", IF(orders[[#This Row],[Customer Gender]]= "O", "Other","Unknown")))</f>
        <v>Female</v>
      </c>
    </row>
    <row r="1660" spans="1:16"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s="12" t="str">
        <f>TEXT(orders[[#This Row],[Order Date]],"mmmm")</f>
        <v>March</v>
      </c>
      <c r="P1660" t="str">
        <f>IF(orders[[#This Row],[Customer Gender]]="M","Male", IF(orders[[#This Row],[Customer Gender]]="F","Female", IF(orders[[#This Row],[Customer Gender]]= "O", "Other","Unknown")))</f>
        <v>Male</v>
      </c>
    </row>
    <row r="1661" spans="1:16"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s="12" t="str">
        <f>TEXT(orders[[#This Row],[Order Date]],"mmmm")</f>
        <v>March</v>
      </c>
      <c r="P1661" t="str">
        <f>IF(orders[[#This Row],[Customer Gender]]="M","Male", IF(orders[[#This Row],[Customer Gender]]="F","Female", IF(orders[[#This Row],[Customer Gender]]= "O", "Other","Unknown")))</f>
        <v>Female</v>
      </c>
    </row>
    <row r="1662" spans="1:16"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s="12" t="str">
        <f>TEXT(orders[[#This Row],[Order Date]],"mmmm")</f>
        <v>March</v>
      </c>
      <c r="P1662" t="str">
        <f>IF(orders[[#This Row],[Customer Gender]]="M","Male", IF(orders[[#This Row],[Customer Gender]]="F","Female", IF(orders[[#This Row],[Customer Gender]]= "O", "Other","Unknown")))</f>
        <v>Female</v>
      </c>
    </row>
    <row r="1663" spans="1:16"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s="12" t="str">
        <f>TEXT(orders[[#This Row],[Order Date]],"mmmm")</f>
        <v>March</v>
      </c>
      <c r="P1663" t="str">
        <f>IF(orders[[#This Row],[Customer Gender]]="M","Male", IF(orders[[#This Row],[Customer Gender]]="F","Female", IF(orders[[#This Row],[Customer Gender]]= "O", "Other","Unknown")))</f>
        <v>Male</v>
      </c>
    </row>
    <row r="1664" spans="1:16"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s="12" t="str">
        <f>TEXT(orders[[#This Row],[Order Date]],"mmmm")</f>
        <v>March</v>
      </c>
      <c r="P1664" t="str">
        <f>IF(orders[[#This Row],[Customer Gender]]="M","Male", IF(orders[[#This Row],[Customer Gender]]="F","Female", IF(orders[[#This Row],[Customer Gender]]= "O", "Other","Unknown")))</f>
        <v>Male</v>
      </c>
    </row>
    <row r="1665" spans="1:16"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s="12" t="str">
        <f>TEXT(orders[[#This Row],[Order Date]],"mmmm")</f>
        <v>March</v>
      </c>
      <c r="P1665" t="str">
        <f>IF(orders[[#This Row],[Customer Gender]]="M","Male", IF(orders[[#This Row],[Customer Gender]]="F","Female", IF(orders[[#This Row],[Customer Gender]]= "O", "Other","Unknown")))</f>
        <v>Female</v>
      </c>
    </row>
    <row r="1666" spans="1:16"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s="12" t="str">
        <f>TEXT(orders[[#This Row],[Order Date]],"mmmm")</f>
        <v>March</v>
      </c>
      <c r="P1666" t="str">
        <f>IF(orders[[#This Row],[Customer Gender]]="M","Male", IF(orders[[#This Row],[Customer Gender]]="F","Female", IF(orders[[#This Row],[Customer Gender]]= "O", "Other","Unknown")))</f>
        <v>Female</v>
      </c>
    </row>
    <row r="1667" spans="1:16"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s="12" t="str">
        <f>TEXT(orders[[#This Row],[Order Date]],"mmmm")</f>
        <v>March</v>
      </c>
      <c r="P1667" t="str">
        <f>IF(orders[[#This Row],[Customer Gender]]="M","Male", IF(orders[[#This Row],[Customer Gender]]="F","Female", IF(orders[[#This Row],[Customer Gender]]= "O", "Other","Unknown")))</f>
        <v>Female</v>
      </c>
    </row>
    <row r="1668" spans="1:16"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s="12" t="str">
        <f>TEXT(orders[[#This Row],[Order Date]],"mmmm")</f>
        <v>March</v>
      </c>
      <c r="P1668" t="str">
        <f>IF(orders[[#This Row],[Customer Gender]]="M","Male", IF(orders[[#This Row],[Customer Gender]]="F","Female", IF(orders[[#This Row],[Customer Gender]]= "O", "Other","Unknown")))</f>
        <v>Female</v>
      </c>
    </row>
    <row r="1669" spans="1:16"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s="12" t="str">
        <f>TEXT(orders[[#This Row],[Order Date]],"mmmm")</f>
        <v>March</v>
      </c>
      <c r="P1669" t="str">
        <f>IF(orders[[#This Row],[Customer Gender]]="M","Male", IF(orders[[#This Row],[Customer Gender]]="F","Female", IF(orders[[#This Row],[Customer Gender]]= "O", "Other","Unknown")))</f>
        <v>Female</v>
      </c>
    </row>
    <row r="1670" spans="1:16"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s="12" t="str">
        <f>TEXT(orders[[#This Row],[Order Date]],"mmmm")</f>
        <v>March</v>
      </c>
      <c r="P1670" t="str">
        <f>IF(orders[[#This Row],[Customer Gender]]="M","Male", IF(orders[[#This Row],[Customer Gender]]="F","Female", IF(orders[[#This Row],[Customer Gender]]= "O", "Other","Unknown")))</f>
        <v>Male</v>
      </c>
    </row>
    <row r="1671" spans="1:16"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s="12" t="str">
        <f>TEXT(orders[[#This Row],[Order Date]],"mmmm")</f>
        <v>March</v>
      </c>
      <c r="P1671" t="str">
        <f>IF(orders[[#This Row],[Customer Gender]]="M","Male", IF(orders[[#This Row],[Customer Gender]]="F","Female", IF(orders[[#This Row],[Customer Gender]]= "O", "Other","Unknown")))</f>
        <v>Male</v>
      </c>
    </row>
    <row r="1672" spans="1:16"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s="12" t="str">
        <f>TEXT(orders[[#This Row],[Order Date]],"mmmm")</f>
        <v>March</v>
      </c>
      <c r="P1672" t="str">
        <f>IF(orders[[#This Row],[Customer Gender]]="M","Male", IF(orders[[#This Row],[Customer Gender]]="F","Female", IF(orders[[#This Row],[Customer Gender]]= "O", "Other","Unknown")))</f>
        <v>Female</v>
      </c>
    </row>
    <row r="1673" spans="1:16"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s="12" t="str">
        <f>TEXT(orders[[#This Row],[Order Date]],"mmmm")</f>
        <v>March</v>
      </c>
      <c r="P1673" t="str">
        <f>IF(orders[[#This Row],[Customer Gender]]="M","Male", IF(orders[[#This Row],[Customer Gender]]="F","Female", IF(orders[[#This Row],[Customer Gender]]= "O", "Other","Unknown")))</f>
        <v>Male</v>
      </c>
    </row>
    <row r="1674" spans="1:16"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s="12" t="str">
        <f>TEXT(orders[[#This Row],[Order Date]],"mmmm")</f>
        <v>March</v>
      </c>
      <c r="P1674" t="str">
        <f>IF(orders[[#This Row],[Customer Gender]]="M","Male", IF(orders[[#This Row],[Customer Gender]]="F","Female", IF(orders[[#This Row],[Customer Gender]]= "O", "Other","Unknown")))</f>
        <v>Female</v>
      </c>
    </row>
    <row r="1675" spans="1:16"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s="12" t="str">
        <f>TEXT(orders[[#This Row],[Order Date]],"mmmm")</f>
        <v>March</v>
      </c>
      <c r="P1675" t="str">
        <f>IF(orders[[#This Row],[Customer Gender]]="M","Male", IF(orders[[#This Row],[Customer Gender]]="F","Female", IF(orders[[#This Row],[Customer Gender]]= "O", "Other","Unknown")))</f>
        <v>Female</v>
      </c>
    </row>
    <row r="1676" spans="1:16"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s="12" t="str">
        <f>TEXT(orders[[#This Row],[Order Date]],"mmmm")</f>
        <v>March</v>
      </c>
      <c r="P1676" t="str">
        <f>IF(orders[[#This Row],[Customer Gender]]="M","Male", IF(orders[[#This Row],[Customer Gender]]="F","Female", IF(orders[[#This Row],[Customer Gender]]= "O", "Other","Unknown")))</f>
        <v>Female</v>
      </c>
    </row>
    <row r="1677" spans="1:16"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s="12" t="str">
        <f>TEXT(orders[[#This Row],[Order Date]],"mmmm")</f>
        <v>March</v>
      </c>
      <c r="P1677" t="str">
        <f>IF(orders[[#This Row],[Customer Gender]]="M","Male", IF(orders[[#This Row],[Customer Gender]]="F","Female", IF(orders[[#This Row],[Customer Gender]]= "O", "Other","Unknown")))</f>
        <v>Female</v>
      </c>
    </row>
    <row r="1678" spans="1:16"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s="12" t="str">
        <f>TEXT(orders[[#This Row],[Order Date]],"mmmm")</f>
        <v>March</v>
      </c>
      <c r="P1678" t="str">
        <f>IF(orders[[#This Row],[Customer Gender]]="M","Male", IF(orders[[#This Row],[Customer Gender]]="F","Female", IF(orders[[#This Row],[Customer Gender]]= "O", "Other","Unknown")))</f>
        <v>Female</v>
      </c>
    </row>
    <row r="1679" spans="1:16"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s="12" t="str">
        <f>TEXT(orders[[#This Row],[Order Date]],"mmmm")</f>
        <v>March</v>
      </c>
      <c r="P1679" t="str">
        <f>IF(orders[[#This Row],[Customer Gender]]="M","Male", IF(orders[[#This Row],[Customer Gender]]="F","Female", IF(orders[[#This Row],[Customer Gender]]= "O", "Other","Unknown")))</f>
        <v>Other</v>
      </c>
    </row>
    <row r="1680" spans="1:16"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s="12" t="str">
        <f>TEXT(orders[[#This Row],[Order Date]],"mmmm")</f>
        <v>March</v>
      </c>
      <c r="P1680" t="str">
        <f>IF(orders[[#This Row],[Customer Gender]]="M","Male", IF(orders[[#This Row],[Customer Gender]]="F","Female", IF(orders[[#This Row],[Customer Gender]]= "O", "Other","Unknown")))</f>
        <v>Female</v>
      </c>
    </row>
    <row r="1681" spans="1:16"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s="12" t="str">
        <f>TEXT(orders[[#This Row],[Order Date]],"mmmm")</f>
        <v>March</v>
      </c>
      <c r="P1681" t="str">
        <f>IF(orders[[#This Row],[Customer Gender]]="M","Male", IF(orders[[#This Row],[Customer Gender]]="F","Female", IF(orders[[#This Row],[Customer Gender]]= "O", "Other","Unknown")))</f>
        <v>Female</v>
      </c>
    </row>
    <row r="1682" spans="1:16"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s="12" t="str">
        <f>TEXT(orders[[#This Row],[Order Date]],"mmmm")</f>
        <v>March</v>
      </c>
      <c r="P1682" t="str">
        <f>IF(orders[[#This Row],[Customer Gender]]="M","Male", IF(orders[[#This Row],[Customer Gender]]="F","Female", IF(orders[[#This Row],[Customer Gender]]= "O", "Other","Unknown")))</f>
        <v>Male</v>
      </c>
    </row>
    <row r="1683" spans="1:16"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s="12" t="str">
        <f>TEXT(orders[[#This Row],[Order Date]],"mmmm")</f>
        <v>March</v>
      </c>
      <c r="P1683" t="str">
        <f>IF(orders[[#This Row],[Customer Gender]]="M","Male", IF(orders[[#This Row],[Customer Gender]]="F","Female", IF(orders[[#This Row],[Customer Gender]]= "O", "Other","Unknown")))</f>
        <v>Female</v>
      </c>
    </row>
    <row r="1684" spans="1:16"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s="12" t="str">
        <f>TEXT(orders[[#This Row],[Order Date]],"mmmm")</f>
        <v>March</v>
      </c>
      <c r="P1684" t="str">
        <f>IF(orders[[#This Row],[Customer Gender]]="M","Male", IF(orders[[#This Row],[Customer Gender]]="F","Female", IF(orders[[#This Row],[Customer Gender]]= "O", "Other","Unknown")))</f>
        <v>Male</v>
      </c>
    </row>
    <row r="1685" spans="1:16"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s="12" t="str">
        <f>TEXT(orders[[#This Row],[Order Date]],"mmmm")</f>
        <v>March</v>
      </c>
      <c r="P1685" t="str">
        <f>IF(orders[[#This Row],[Customer Gender]]="M","Male", IF(orders[[#This Row],[Customer Gender]]="F","Female", IF(orders[[#This Row],[Customer Gender]]= "O", "Other","Unknown")))</f>
        <v>Female</v>
      </c>
    </row>
    <row r="1686" spans="1:16"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s="12" t="str">
        <f>TEXT(orders[[#This Row],[Order Date]],"mmmm")</f>
        <v>March</v>
      </c>
      <c r="P1686" t="str">
        <f>IF(orders[[#This Row],[Customer Gender]]="M","Male", IF(orders[[#This Row],[Customer Gender]]="F","Female", IF(orders[[#This Row],[Customer Gender]]= "O", "Other","Unknown")))</f>
        <v>Female</v>
      </c>
    </row>
    <row r="1687" spans="1:16" hidden="1"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s="12" t="str">
        <f>TEXT(orders[[#This Row],[Order Date]],"mmmm")</f>
        <v>March</v>
      </c>
      <c r="P1687" t="str">
        <f>IF(orders[[#This Row],[Customer Gender]]="M","Male", IF(orders[[#This Row],[Customer Gender]]="F","Female", IF(orders[[#This Row],[Customer Gender]]= "O", "Other","Unknown")))</f>
        <v>Unknown</v>
      </c>
    </row>
    <row r="1688" spans="1:16"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s="12" t="str">
        <f>TEXT(orders[[#This Row],[Order Date]],"mmmm")</f>
        <v>March</v>
      </c>
      <c r="P1688" t="str">
        <f>IF(orders[[#This Row],[Customer Gender]]="M","Male", IF(orders[[#This Row],[Customer Gender]]="F","Female", IF(orders[[#This Row],[Customer Gender]]= "O", "Other","Unknown")))</f>
        <v>Female</v>
      </c>
    </row>
    <row r="1689" spans="1:16"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s="12" t="str">
        <f>TEXT(orders[[#This Row],[Order Date]],"mmmm")</f>
        <v>March</v>
      </c>
      <c r="P1689" t="str">
        <f>IF(orders[[#This Row],[Customer Gender]]="M","Male", IF(orders[[#This Row],[Customer Gender]]="F","Female", IF(orders[[#This Row],[Customer Gender]]= "O", "Other","Unknown")))</f>
        <v>Female</v>
      </c>
    </row>
    <row r="1690" spans="1:16"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s="12" t="str">
        <f>TEXT(orders[[#This Row],[Order Date]],"mmmm")</f>
        <v>March</v>
      </c>
      <c r="P1690" t="str">
        <f>IF(orders[[#This Row],[Customer Gender]]="M","Male", IF(orders[[#This Row],[Customer Gender]]="F","Female", IF(orders[[#This Row],[Customer Gender]]= "O", "Other","Unknown")))</f>
        <v>Female</v>
      </c>
    </row>
    <row r="1691" spans="1:16"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s="12" t="str">
        <f>TEXT(orders[[#This Row],[Order Date]],"mmmm")</f>
        <v>March</v>
      </c>
      <c r="P1691" t="str">
        <f>IF(orders[[#This Row],[Customer Gender]]="M","Male", IF(orders[[#This Row],[Customer Gender]]="F","Female", IF(orders[[#This Row],[Customer Gender]]= "O", "Other","Unknown")))</f>
        <v>Female</v>
      </c>
    </row>
    <row r="1692" spans="1:16"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s="12" t="str">
        <f>TEXT(orders[[#This Row],[Order Date]],"mmmm")</f>
        <v>March</v>
      </c>
      <c r="P1692" t="str">
        <f>IF(orders[[#This Row],[Customer Gender]]="M","Male", IF(orders[[#This Row],[Customer Gender]]="F","Female", IF(orders[[#This Row],[Customer Gender]]= "O", "Other","Unknown")))</f>
        <v>Female</v>
      </c>
    </row>
    <row r="1693" spans="1:16"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s="12" t="str">
        <f>TEXT(orders[[#This Row],[Order Date]],"mmmm")</f>
        <v>March</v>
      </c>
      <c r="P1693" t="str">
        <f>IF(orders[[#This Row],[Customer Gender]]="M","Male", IF(orders[[#This Row],[Customer Gender]]="F","Female", IF(orders[[#This Row],[Customer Gender]]= "O", "Other","Unknown")))</f>
        <v>Female</v>
      </c>
    </row>
    <row r="1694" spans="1:16"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s="12" t="str">
        <f>TEXT(orders[[#This Row],[Order Date]],"mmmm")</f>
        <v>March</v>
      </c>
      <c r="P1694" t="str">
        <f>IF(orders[[#This Row],[Customer Gender]]="M","Male", IF(orders[[#This Row],[Customer Gender]]="F","Female", IF(orders[[#This Row],[Customer Gender]]= "O", "Other","Unknown")))</f>
        <v>Male</v>
      </c>
    </row>
    <row r="1695" spans="1:16"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s="12" t="str">
        <f>TEXT(orders[[#This Row],[Order Date]],"mmmm")</f>
        <v>March</v>
      </c>
      <c r="P1695" t="str">
        <f>IF(orders[[#This Row],[Customer Gender]]="M","Male", IF(orders[[#This Row],[Customer Gender]]="F","Female", IF(orders[[#This Row],[Customer Gender]]= "O", "Other","Unknown")))</f>
        <v>Female</v>
      </c>
    </row>
    <row r="1696" spans="1:16"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s="12" t="str">
        <f>TEXT(orders[[#This Row],[Order Date]],"mmmm")</f>
        <v>March</v>
      </c>
      <c r="P1696" t="str">
        <f>IF(orders[[#This Row],[Customer Gender]]="M","Male", IF(orders[[#This Row],[Customer Gender]]="F","Female", IF(orders[[#This Row],[Customer Gender]]= "O", "Other","Unknown")))</f>
        <v>Female</v>
      </c>
    </row>
    <row r="1697" spans="1:16"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s="12" t="str">
        <f>TEXT(orders[[#This Row],[Order Date]],"mmmm")</f>
        <v>March</v>
      </c>
      <c r="P1697" t="str">
        <f>IF(orders[[#This Row],[Customer Gender]]="M","Male", IF(orders[[#This Row],[Customer Gender]]="F","Female", IF(orders[[#This Row],[Customer Gender]]= "O", "Other","Unknown")))</f>
        <v>Male</v>
      </c>
    </row>
    <row r="1698" spans="1:16"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s="12" t="str">
        <f>TEXT(orders[[#This Row],[Order Date]],"mmmm")</f>
        <v>March</v>
      </c>
      <c r="P1698" t="str">
        <f>IF(orders[[#This Row],[Customer Gender]]="M","Male", IF(orders[[#This Row],[Customer Gender]]="F","Female", IF(orders[[#This Row],[Customer Gender]]= "O", "Other","Unknown")))</f>
        <v>Female</v>
      </c>
    </row>
    <row r="1699" spans="1:16"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s="12" t="str">
        <f>TEXT(orders[[#This Row],[Order Date]],"mmmm")</f>
        <v>March</v>
      </c>
      <c r="P1699" t="str">
        <f>IF(orders[[#This Row],[Customer Gender]]="M","Male", IF(orders[[#This Row],[Customer Gender]]="F","Female", IF(orders[[#This Row],[Customer Gender]]= "O", "Other","Unknown")))</f>
        <v>Male</v>
      </c>
    </row>
    <row r="1700" spans="1:16"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s="12" t="str">
        <f>TEXT(orders[[#This Row],[Order Date]],"mmmm")</f>
        <v>March</v>
      </c>
      <c r="P1700" t="str">
        <f>IF(orders[[#This Row],[Customer Gender]]="M","Male", IF(orders[[#This Row],[Customer Gender]]="F","Female", IF(orders[[#This Row],[Customer Gender]]= "O", "Other","Unknown")))</f>
        <v>Female</v>
      </c>
    </row>
    <row r="1701" spans="1:16"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s="12" t="str">
        <f>TEXT(orders[[#This Row],[Order Date]],"mmmm")</f>
        <v>March</v>
      </c>
      <c r="P1701" t="str">
        <f>IF(orders[[#This Row],[Customer Gender]]="M","Male", IF(orders[[#This Row],[Customer Gender]]="F","Female", IF(orders[[#This Row],[Customer Gender]]= "O", "Other","Unknown")))</f>
        <v>Female</v>
      </c>
    </row>
    <row r="1702" spans="1:16"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s="12" t="str">
        <f>TEXT(orders[[#This Row],[Order Date]],"mmmm")</f>
        <v>March</v>
      </c>
      <c r="P1702" t="str">
        <f>IF(orders[[#This Row],[Customer Gender]]="M","Male", IF(orders[[#This Row],[Customer Gender]]="F","Female", IF(orders[[#This Row],[Customer Gender]]= "O", "Other","Unknown")))</f>
        <v>Female</v>
      </c>
    </row>
    <row r="1703" spans="1:16"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s="12" t="str">
        <f>TEXT(orders[[#This Row],[Order Date]],"mmmm")</f>
        <v>March</v>
      </c>
      <c r="P1703" t="str">
        <f>IF(orders[[#This Row],[Customer Gender]]="M","Male", IF(orders[[#This Row],[Customer Gender]]="F","Female", IF(orders[[#This Row],[Customer Gender]]= "O", "Other","Unknown")))</f>
        <v>Male</v>
      </c>
    </row>
    <row r="1704" spans="1:16"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s="12" t="str">
        <f>TEXT(orders[[#This Row],[Order Date]],"mmmm")</f>
        <v>March</v>
      </c>
      <c r="P1704" t="str">
        <f>IF(orders[[#This Row],[Customer Gender]]="M","Male", IF(orders[[#This Row],[Customer Gender]]="F","Female", IF(orders[[#This Row],[Customer Gender]]= "O", "Other","Unknown")))</f>
        <v>Male</v>
      </c>
    </row>
    <row r="1705" spans="1:16"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s="12" t="str">
        <f>TEXT(orders[[#This Row],[Order Date]],"mmmm")</f>
        <v>March</v>
      </c>
      <c r="P1705" t="str">
        <f>IF(orders[[#This Row],[Customer Gender]]="M","Male", IF(orders[[#This Row],[Customer Gender]]="F","Female", IF(orders[[#This Row],[Customer Gender]]= "O", "Other","Unknown")))</f>
        <v>Female</v>
      </c>
    </row>
    <row r="1706" spans="1:16"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s="12" t="str">
        <f>TEXT(orders[[#This Row],[Order Date]],"mmmm")</f>
        <v>March</v>
      </c>
      <c r="P1706" t="str">
        <f>IF(orders[[#This Row],[Customer Gender]]="M","Male", IF(orders[[#This Row],[Customer Gender]]="F","Female", IF(orders[[#This Row],[Customer Gender]]= "O", "Other","Unknown")))</f>
        <v>Female</v>
      </c>
    </row>
    <row r="1707" spans="1:16"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s="12" t="str">
        <f>TEXT(orders[[#This Row],[Order Date]],"mmmm")</f>
        <v>March</v>
      </c>
      <c r="P1707" t="str">
        <f>IF(orders[[#This Row],[Customer Gender]]="M","Male", IF(orders[[#This Row],[Customer Gender]]="F","Female", IF(orders[[#This Row],[Customer Gender]]= "O", "Other","Unknown")))</f>
        <v>Female</v>
      </c>
    </row>
    <row r="1708" spans="1:16"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s="12" t="str">
        <f>TEXT(orders[[#This Row],[Order Date]],"mmmm")</f>
        <v>March</v>
      </c>
      <c r="P1708" t="str">
        <f>IF(orders[[#This Row],[Customer Gender]]="M","Male", IF(orders[[#This Row],[Customer Gender]]="F","Female", IF(orders[[#This Row],[Customer Gender]]= "O", "Other","Unknown")))</f>
        <v>Male</v>
      </c>
    </row>
    <row r="1709" spans="1:16"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s="12" t="str">
        <f>TEXT(orders[[#This Row],[Order Date]],"mmmm")</f>
        <v>March</v>
      </c>
      <c r="P1709" t="str">
        <f>IF(orders[[#This Row],[Customer Gender]]="M","Male", IF(orders[[#This Row],[Customer Gender]]="F","Female", IF(orders[[#This Row],[Customer Gender]]= "O", "Other","Unknown")))</f>
        <v>Female</v>
      </c>
    </row>
    <row r="1710" spans="1:16"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s="12" t="str">
        <f>TEXT(orders[[#This Row],[Order Date]],"mmmm")</f>
        <v>March</v>
      </c>
      <c r="P1710" t="str">
        <f>IF(orders[[#This Row],[Customer Gender]]="M","Male", IF(orders[[#This Row],[Customer Gender]]="F","Female", IF(orders[[#This Row],[Customer Gender]]= "O", "Other","Unknown")))</f>
        <v>Female</v>
      </c>
    </row>
    <row r="1711" spans="1:16"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s="12" t="str">
        <f>TEXT(orders[[#This Row],[Order Date]],"mmmm")</f>
        <v>March</v>
      </c>
      <c r="P1711" t="str">
        <f>IF(orders[[#This Row],[Customer Gender]]="M","Male", IF(orders[[#This Row],[Customer Gender]]="F","Female", IF(orders[[#This Row],[Customer Gender]]= "O", "Other","Unknown")))</f>
        <v>Female</v>
      </c>
    </row>
    <row r="1712" spans="1:16"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s="12" t="str">
        <f>TEXT(orders[[#This Row],[Order Date]],"mmmm")</f>
        <v>March</v>
      </c>
      <c r="P1712" t="str">
        <f>IF(orders[[#This Row],[Customer Gender]]="M","Male", IF(orders[[#This Row],[Customer Gender]]="F","Female", IF(orders[[#This Row],[Customer Gender]]= "O", "Other","Unknown")))</f>
        <v>Male</v>
      </c>
    </row>
    <row r="1713" spans="1:16"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s="12" t="str">
        <f>TEXT(orders[[#This Row],[Order Date]],"mmmm")</f>
        <v>March</v>
      </c>
      <c r="P1713" t="str">
        <f>IF(orders[[#This Row],[Customer Gender]]="M","Male", IF(orders[[#This Row],[Customer Gender]]="F","Female", IF(orders[[#This Row],[Customer Gender]]= "O", "Other","Unknown")))</f>
        <v>Male</v>
      </c>
    </row>
    <row r="1714" spans="1:16"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s="12" t="str">
        <f>TEXT(orders[[#This Row],[Order Date]],"mmmm")</f>
        <v>March</v>
      </c>
      <c r="P1714" t="str">
        <f>IF(orders[[#This Row],[Customer Gender]]="M","Male", IF(orders[[#This Row],[Customer Gender]]="F","Female", IF(orders[[#This Row],[Customer Gender]]= "O", "Other","Unknown")))</f>
        <v>Female</v>
      </c>
    </row>
    <row r="1715" spans="1:16"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s="12" t="str">
        <f>TEXT(orders[[#This Row],[Order Date]],"mmmm")</f>
        <v>March</v>
      </c>
      <c r="P1715" t="str">
        <f>IF(orders[[#This Row],[Customer Gender]]="M","Male", IF(orders[[#This Row],[Customer Gender]]="F","Female", IF(orders[[#This Row],[Customer Gender]]= "O", "Other","Unknown")))</f>
        <v>Male</v>
      </c>
    </row>
    <row r="1716" spans="1:16"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s="12" t="str">
        <f>TEXT(orders[[#This Row],[Order Date]],"mmmm")</f>
        <v>March</v>
      </c>
      <c r="P1716" t="str">
        <f>IF(orders[[#This Row],[Customer Gender]]="M","Male", IF(orders[[#This Row],[Customer Gender]]="F","Female", IF(orders[[#This Row],[Customer Gender]]= "O", "Other","Unknown")))</f>
        <v>Female</v>
      </c>
    </row>
    <row r="1717" spans="1:16"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s="12" t="str">
        <f>TEXT(orders[[#This Row],[Order Date]],"mmmm")</f>
        <v>March</v>
      </c>
      <c r="P1717" t="str">
        <f>IF(orders[[#This Row],[Customer Gender]]="M","Male", IF(orders[[#This Row],[Customer Gender]]="F","Female", IF(orders[[#This Row],[Customer Gender]]= "O", "Other","Unknown")))</f>
        <v>Male</v>
      </c>
    </row>
    <row r="1718" spans="1:16"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s="12" t="str">
        <f>TEXT(orders[[#This Row],[Order Date]],"mmmm")</f>
        <v>March</v>
      </c>
      <c r="P1718" t="str">
        <f>IF(orders[[#This Row],[Customer Gender]]="M","Male", IF(orders[[#This Row],[Customer Gender]]="F","Female", IF(orders[[#This Row],[Customer Gender]]= "O", "Other","Unknown")))</f>
        <v>Female</v>
      </c>
    </row>
    <row r="1719" spans="1:16"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s="12" t="str">
        <f>TEXT(orders[[#This Row],[Order Date]],"mmmm")</f>
        <v>March</v>
      </c>
      <c r="P1719" t="str">
        <f>IF(orders[[#This Row],[Customer Gender]]="M","Male", IF(orders[[#This Row],[Customer Gender]]="F","Female", IF(orders[[#This Row],[Customer Gender]]= "O", "Other","Unknown")))</f>
        <v>Female</v>
      </c>
    </row>
    <row r="1720" spans="1:16"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s="12" t="str">
        <f>TEXT(orders[[#This Row],[Order Date]],"mmmm")</f>
        <v>March</v>
      </c>
      <c r="P1720" t="str">
        <f>IF(orders[[#This Row],[Customer Gender]]="M","Male", IF(orders[[#This Row],[Customer Gender]]="F","Female", IF(orders[[#This Row],[Customer Gender]]= "O", "Other","Unknown")))</f>
        <v>Female</v>
      </c>
    </row>
    <row r="1721" spans="1:16"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s="12" t="str">
        <f>TEXT(orders[[#This Row],[Order Date]],"mmmm")</f>
        <v>March</v>
      </c>
      <c r="P1721" t="str">
        <f>IF(orders[[#This Row],[Customer Gender]]="M","Male", IF(orders[[#This Row],[Customer Gender]]="F","Female", IF(orders[[#This Row],[Customer Gender]]= "O", "Other","Unknown")))</f>
        <v>Female</v>
      </c>
    </row>
    <row r="1722" spans="1:16"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s="12" t="str">
        <f>TEXT(orders[[#This Row],[Order Date]],"mmmm")</f>
        <v>March</v>
      </c>
      <c r="P1722" t="str">
        <f>IF(orders[[#This Row],[Customer Gender]]="M","Male", IF(orders[[#This Row],[Customer Gender]]="F","Female", IF(orders[[#This Row],[Customer Gender]]= "O", "Other","Unknown")))</f>
        <v>Female</v>
      </c>
    </row>
    <row r="1723" spans="1:16"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s="12" t="str">
        <f>TEXT(orders[[#This Row],[Order Date]],"mmmm")</f>
        <v>March</v>
      </c>
      <c r="P1723" t="str">
        <f>IF(orders[[#This Row],[Customer Gender]]="M","Male", IF(orders[[#This Row],[Customer Gender]]="F","Female", IF(orders[[#This Row],[Customer Gender]]= "O", "Other","Unknown")))</f>
        <v>Male</v>
      </c>
    </row>
    <row r="1724" spans="1:16"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s="12" t="str">
        <f>TEXT(orders[[#This Row],[Order Date]],"mmmm")</f>
        <v>March</v>
      </c>
      <c r="P1724" t="str">
        <f>IF(orders[[#This Row],[Customer Gender]]="M","Male", IF(orders[[#This Row],[Customer Gender]]="F","Female", IF(orders[[#This Row],[Customer Gender]]= "O", "Other","Unknown")))</f>
        <v>Female</v>
      </c>
    </row>
    <row r="1725" spans="1:16"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s="12" t="str">
        <f>TEXT(orders[[#This Row],[Order Date]],"mmmm")</f>
        <v>March</v>
      </c>
      <c r="P1725" t="str">
        <f>IF(orders[[#This Row],[Customer Gender]]="M","Male", IF(orders[[#This Row],[Customer Gender]]="F","Female", IF(orders[[#This Row],[Customer Gender]]= "O", "Other","Unknown")))</f>
        <v>Male</v>
      </c>
    </row>
    <row r="1726" spans="1:16"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s="12" t="str">
        <f>TEXT(orders[[#This Row],[Order Date]],"mmmm")</f>
        <v>March</v>
      </c>
      <c r="P1726" t="str">
        <f>IF(orders[[#This Row],[Customer Gender]]="M","Male", IF(orders[[#This Row],[Customer Gender]]="F","Female", IF(orders[[#This Row],[Customer Gender]]= "O", "Other","Unknown")))</f>
        <v>Female</v>
      </c>
    </row>
    <row r="1727" spans="1:16"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s="12" t="str">
        <f>TEXT(orders[[#This Row],[Order Date]],"mmmm")</f>
        <v>March</v>
      </c>
      <c r="P1727" t="str">
        <f>IF(orders[[#This Row],[Customer Gender]]="M","Male", IF(orders[[#This Row],[Customer Gender]]="F","Female", IF(orders[[#This Row],[Customer Gender]]= "O", "Other","Unknown")))</f>
        <v>Other</v>
      </c>
    </row>
    <row r="1728" spans="1:16"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s="12" t="str">
        <f>TEXT(orders[[#This Row],[Order Date]],"mmmm")</f>
        <v>March</v>
      </c>
      <c r="P1728" t="str">
        <f>IF(orders[[#This Row],[Customer Gender]]="M","Male", IF(orders[[#This Row],[Customer Gender]]="F","Female", IF(orders[[#This Row],[Customer Gender]]= "O", "Other","Unknown")))</f>
        <v>Male</v>
      </c>
    </row>
    <row r="1729" spans="1:16"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s="12" t="str">
        <f>TEXT(orders[[#This Row],[Order Date]],"mmmm")</f>
        <v>March</v>
      </c>
      <c r="P1729" t="str">
        <f>IF(orders[[#This Row],[Customer Gender]]="M","Male", IF(orders[[#This Row],[Customer Gender]]="F","Female", IF(orders[[#This Row],[Customer Gender]]= "O", "Other","Unknown")))</f>
        <v>Female</v>
      </c>
    </row>
    <row r="1730" spans="1:16" hidden="1"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s="12" t="str">
        <f>TEXT(orders[[#This Row],[Order Date]],"mmmm")</f>
        <v>March</v>
      </c>
      <c r="P1730" t="str">
        <f>IF(orders[[#This Row],[Customer Gender]]="M","Male", IF(orders[[#This Row],[Customer Gender]]="F","Female", IF(orders[[#This Row],[Customer Gender]]= "O", "Other","Unknown")))</f>
        <v>Unknown</v>
      </c>
    </row>
    <row r="1731" spans="1:16"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s="12" t="str">
        <f>TEXT(orders[[#This Row],[Order Date]],"mmmm")</f>
        <v>March</v>
      </c>
      <c r="P1731" t="str">
        <f>IF(orders[[#This Row],[Customer Gender]]="M","Male", IF(orders[[#This Row],[Customer Gender]]="F","Female", IF(orders[[#This Row],[Customer Gender]]= "O", "Other","Unknown")))</f>
        <v>Male</v>
      </c>
    </row>
    <row r="1732" spans="1:16"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s="12" t="str">
        <f>TEXT(orders[[#This Row],[Order Date]],"mmmm")</f>
        <v>March</v>
      </c>
      <c r="P1732" t="str">
        <f>IF(orders[[#This Row],[Customer Gender]]="M","Male", IF(orders[[#This Row],[Customer Gender]]="F","Female", IF(orders[[#This Row],[Customer Gender]]= "O", "Other","Unknown")))</f>
        <v>Female</v>
      </c>
    </row>
    <row r="1733" spans="1:16"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s="12" t="str">
        <f>TEXT(orders[[#This Row],[Order Date]],"mmmm")</f>
        <v>March</v>
      </c>
      <c r="P1733" t="str">
        <f>IF(orders[[#This Row],[Customer Gender]]="M","Male", IF(orders[[#This Row],[Customer Gender]]="F","Female", IF(orders[[#This Row],[Customer Gender]]= "O", "Other","Unknown")))</f>
        <v>Female</v>
      </c>
    </row>
    <row r="1734" spans="1:16"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s="12" t="str">
        <f>TEXT(orders[[#This Row],[Order Date]],"mmmm")</f>
        <v>March</v>
      </c>
      <c r="P1734" t="str">
        <f>IF(orders[[#This Row],[Customer Gender]]="M","Male", IF(orders[[#This Row],[Customer Gender]]="F","Female", IF(orders[[#This Row],[Customer Gender]]= "O", "Other","Unknown")))</f>
        <v>Female</v>
      </c>
    </row>
    <row r="1735" spans="1:16"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s="12" t="str">
        <f>TEXT(orders[[#This Row],[Order Date]],"mmmm")</f>
        <v>March</v>
      </c>
      <c r="P1735" t="str">
        <f>IF(orders[[#This Row],[Customer Gender]]="M","Male", IF(orders[[#This Row],[Customer Gender]]="F","Female", IF(orders[[#This Row],[Customer Gender]]= "O", "Other","Unknown")))</f>
        <v>Male</v>
      </c>
    </row>
    <row r="1736" spans="1:16"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s="12" t="str">
        <f>TEXT(orders[[#This Row],[Order Date]],"mmmm")</f>
        <v>March</v>
      </c>
      <c r="P1736" t="str">
        <f>IF(orders[[#This Row],[Customer Gender]]="M","Male", IF(orders[[#This Row],[Customer Gender]]="F","Female", IF(orders[[#This Row],[Customer Gender]]= "O", "Other","Unknown")))</f>
        <v>Male</v>
      </c>
    </row>
    <row r="1737" spans="1:16"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s="12" t="str">
        <f>TEXT(orders[[#This Row],[Order Date]],"mmmm")</f>
        <v>March</v>
      </c>
      <c r="P1737" t="str">
        <f>IF(orders[[#This Row],[Customer Gender]]="M","Male", IF(orders[[#This Row],[Customer Gender]]="F","Female", IF(orders[[#This Row],[Customer Gender]]= "O", "Other","Unknown")))</f>
        <v>Male</v>
      </c>
    </row>
    <row r="1738" spans="1:16"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s="12" t="str">
        <f>TEXT(orders[[#This Row],[Order Date]],"mmmm")</f>
        <v>March</v>
      </c>
      <c r="P1738" t="str">
        <f>IF(orders[[#This Row],[Customer Gender]]="M","Male", IF(orders[[#This Row],[Customer Gender]]="F","Female", IF(orders[[#This Row],[Customer Gender]]= "O", "Other","Unknown")))</f>
        <v>Female</v>
      </c>
    </row>
    <row r="1739" spans="1:16"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s="12" t="str">
        <f>TEXT(orders[[#This Row],[Order Date]],"mmmm")</f>
        <v>March</v>
      </c>
      <c r="P1739" t="str">
        <f>IF(orders[[#This Row],[Customer Gender]]="M","Male", IF(orders[[#This Row],[Customer Gender]]="F","Female", IF(orders[[#This Row],[Customer Gender]]= "O", "Other","Unknown")))</f>
        <v>Female</v>
      </c>
    </row>
    <row r="1740" spans="1:16"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s="12" t="str">
        <f>TEXT(orders[[#This Row],[Order Date]],"mmmm")</f>
        <v>March</v>
      </c>
      <c r="P1740" t="str">
        <f>IF(orders[[#This Row],[Customer Gender]]="M","Male", IF(orders[[#This Row],[Customer Gender]]="F","Female", IF(orders[[#This Row],[Customer Gender]]= "O", "Other","Unknown")))</f>
        <v>Other</v>
      </c>
    </row>
    <row r="1741" spans="1:16"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s="12" t="str">
        <f>TEXT(orders[[#This Row],[Order Date]],"mmmm")</f>
        <v>March</v>
      </c>
      <c r="P1741" t="str">
        <f>IF(orders[[#This Row],[Customer Gender]]="M","Male", IF(orders[[#This Row],[Customer Gender]]="F","Female", IF(orders[[#This Row],[Customer Gender]]= "O", "Other","Unknown")))</f>
        <v>Female</v>
      </c>
    </row>
    <row r="1742" spans="1:16"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s="12" t="str">
        <f>TEXT(orders[[#This Row],[Order Date]],"mmmm")</f>
        <v>March</v>
      </c>
      <c r="P1742" t="str">
        <f>IF(orders[[#This Row],[Customer Gender]]="M","Male", IF(orders[[#This Row],[Customer Gender]]="F","Female", IF(orders[[#This Row],[Customer Gender]]= "O", "Other","Unknown")))</f>
        <v>Male</v>
      </c>
    </row>
    <row r="1743" spans="1:16"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s="12" t="str">
        <f>TEXT(orders[[#This Row],[Order Date]],"mmmm")</f>
        <v>March</v>
      </c>
      <c r="P1743" t="str">
        <f>IF(orders[[#This Row],[Customer Gender]]="M","Male", IF(orders[[#This Row],[Customer Gender]]="F","Female", IF(orders[[#This Row],[Customer Gender]]= "O", "Other","Unknown")))</f>
        <v>Female</v>
      </c>
    </row>
    <row r="1744" spans="1:16"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s="12" t="str">
        <f>TEXT(orders[[#This Row],[Order Date]],"mmmm")</f>
        <v>March</v>
      </c>
      <c r="P1744" t="str">
        <f>IF(orders[[#This Row],[Customer Gender]]="M","Male", IF(orders[[#This Row],[Customer Gender]]="F","Female", IF(orders[[#This Row],[Customer Gender]]= "O", "Other","Unknown")))</f>
        <v>Male</v>
      </c>
    </row>
    <row r="1745" spans="1:16"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s="12" t="str">
        <f>TEXT(orders[[#This Row],[Order Date]],"mmmm")</f>
        <v>March</v>
      </c>
      <c r="P1745" t="str">
        <f>IF(orders[[#This Row],[Customer Gender]]="M","Male", IF(orders[[#This Row],[Customer Gender]]="F","Female", IF(orders[[#This Row],[Customer Gender]]= "O", "Other","Unknown")))</f>
        <v>Other</v>
      </c>
    </row>
    <row r="1746" spans="1:16"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s="12" t="str">
        <f>TEXT(orders[[#This Row],[Order Date]],"mmmm")</f>
        <v>March</v>
      </c>
      <c r="P1746" t="str">
        <f>IF(orders[[#This Row],[Customer Gender]]="M","Male", IF(orders[[#This Row],[Customer Gender]]="F","Female", IF(orders[[#This Row],[Customer Gender]]= "O", "Other","Unknown")))</f>
        <v>Male</v>
      </c>
    </row>
    <row r="1747" spans="1:16"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s="12" t="str">
        <f>TEXT(orders[[#This Row],[Order Date]],"mmmm")</f>
        <v>March</v>
      </c>
      <c r="P1747" t="str">
        <f>IF(orders[[#This Row],[Customer Gender]]="M","Male", IF(orders[[#This Row],[Customer Gender]]="F","Female", IF(orders[[#This Row],[Customer Gender]]= "O", "Other","Unknown")))</f>
        <v>Female</v>
      </c>
    </row>
    <row r="1748" spans="1:16"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s="12" t="str">
        <f>TEXT(orders[[#This Row],[Order Date]],"mmmm")</f>
        <v>March</v>
      </c>
      <c r="P1748" t="str">
        <f>IF(orders[[#This Row],[Customer Gender]]="M","Male", IF(orders[[#This Row],[Customer Gender]]="F","Female", IF(orders[[#This Row],[Customer Gender]]= "O", "Other","Unknown")))</f>
        <v>Female</v>
      </c>
    </row>
    <row r="1749" spans="1:16"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s="12" t="str">
        <f>TEXT(orders[[#This Row],[Order Date]],"mmmm")</f>
        <v>March</v>
      </c>
      <c r="P1749" t="str">
        <f>IF(orders[[#This Row],[Customer Gender]]="M","Male", IF(orders[[#This Row],[Customer Gender]]="F","Female", IF(orders[[#This Row],[Customer Gender]]= "O", "Other","Unknown")))</f>
        <v>Female</v>
      </c>
    </row>
    <row r="1750" spans="1:16"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s="12" t="str">
        <f>TEXT(orders[[#This Row],[Order Date]],"mmmm")</f>
        <v>March</v>
      </c>
      <c r="P1750" t="str">
        <f>IF(orders[[#This Row],[Customer Gender]]="M","Male", IF(orders[[#This Row],[Customer Gender]]="F","Female", IF(orders[[#This Row],[Customer Gender]]= "O", "Other","Unknown")))</f>
        <v>Male</v>
      </c>
    </row>
    <row r="1751" spans="1:16"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s="12" t="str">
        <f>TEXT(orders[[#This Row],[Order Date]],"mmmm")</f>
        <v>March</v>
      </c>
      <c r="P1751" t="str">
        <f>IF(orders[[#This Row],[Customer Gender]]="M","Male", IF(orders[[#This Row],[Customer Gender]]="F","Female", IF(orders[[#This Row],[Customer Gender]]= "O", "Other","Unknown")))</f>
        <v>Male</v>
      </c>
    </row>
    <row r="1752" spans="1:16"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s="12" t="str">
        <f>TEXT(orders[[#This Row],[Order Date]],"mmmm")</f>
        <v>March</v>
      </c>
      <c r="P1752" t="str">
        <f>IF(orders[[#This Row],[Customer Gender]]="M","Male", IF(orders[[#This Row],[Customer Gender]]="F","Female", IF(orders[[#This Row],[Customer Gender]]= "O", "Other","Unknown")))</f>
        <v>Male</v>
      </c>
    </row>
    <row r="1753" spans="1:16"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s="12" t="str">
        <f>TEXT(orders[[#This Row],[Order Date]],"mmmm")</f>
        <v>March</v>
      </c>
      <c r="P1753" t="str">
        <f>IF(orders[[#This Row],[Customer Gender]]="M","Male", IF(orders[[#This Row],[Customer Gender]]="F","Female", IF(orders[[#This Row],[Customer Gender]]= "O", "Other","Unknown")))</f>
        <v>Female</v>
      </c>
    </row>
    <row r="1754" spans="1:16"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s="12" t="str">
        <f>TEXT(orders[[#This Row],[Order Date]],"mmmm")</f>
        <v>March</v>
      </c>
      <c r="P1754" t="str">
        <f>IF(orders[[#This Row],[Customer Gender]]="M","Male", IF(orders[[#This Row],[Customer Gender]]="F","Female", IF(orders[[#This Row],[Customer Gender]]= "O", "Other","Unknown")))</f>
        <v>Male</v>
      </c>
    </row>
    <row r="1755" spans="1:16"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s="12" t="str">
        <f>TEXT(orders[[#This Row],[Order Date]],"mmmm")</f>
        <v>March</v>
      </c>
      <c r="P1755" t="str">
        <f>IF(orders[[#This Row],[Customer Gender]]="M","Male", IF(orders[[#This Row],[Customer Gender]]="F","Female", IF(orders[[#This Row],[Customer Gender]]= "O", "Other","Unknown")))</f>
        <v>Female</v>
      </c>
    </row>
    <row r="1756" spans="1:16"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s="12" t="str">
        <f>TEXT(orders[[#This Row],[Order Date]],"mmmm")</f>
        <v>March</v>
      </c>
      <c r="P1756" t="str">
        <f>IF(orders[[#This Row],[Customer Gender]]="M","Male", IF(orders[[#This Row],[Customer Gender]]="F","Female", IF(orders[[#This Row],[Customer Gender]]= "O", "Other","Unknown")))</f>
        <v>Male</v>
      </c>
    </row>
    <row r="1757" spans="1:16"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s="12" t="str">
        <f>TEXT(orders[[#This Row],[Order Date]],"mmmm")</f>
        <v>March</v>
      </c>
      <c r="P1757" t="str">
        <f>IF(orders[[#This Row],[Customer Gender]]="M","Male", IF(orders[[#This Row],[Customer Gender]]="F","Female", IF(orders[[#This Row],[Customer Gender]]= "O", "Other","Unknown")))</f>
        <v>Female</v>
      </c>
    </row>
    <row r="1758" spans="1:16"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s="12" t="str">
        <f>TEXT(orders[[#This Row],[Order Date]],"mmmm")</f>
        <v>March</v>
      </c>
      <c r="P1758" t="str">
        <f>IF(orders[[#This Row],[Customer Gender]]="M","Male", IF(orders[[#This Row],[Customer Gender]]="F","Female", IF(orders[[#This Row],[Customer Gender]]= "O", "Other","Unknown")))</f>
        <v>Other</v>
      </c>
    </row>
    <row r="1759" spans="1:16"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s="12" t="str">
        <f>TEXT(orders[[#This Row],[Order Date]],"mmmm")</f>
        <v>March</v>
      </c>
      <c r="P1759" t="str">
        <f>IF(orders[[#This Row],[Customer Gender]]="M","Male", IF(orders[[#This Row],[Customer Gender]]="F","Female", IF(orders[[#This Row],[Customer Gender]]= "O", "Other","Unknown")))</f>
        <v>Male</v>
      </c>
    </row>
    <row r="1760" spans="1:16"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s="12" t="str">
        <f>TEXT(orders[[#This Row],[Order Date]],"mmmm")</f>
        <v>March</v>
      </c>
      <c r="P1760" t="str">
        <f>IF(orders[[#This Row],[Customer Gender]]="M","Male", IF(orders[[#This Row],[Customer Gender]]="F","Female", IF(orders[[#This Row],[Customer Gender]]= "O", "Other","Unknown")))</f>
        <v>Male</v>
      </c>
    </row>
    <row r="1761" spans="1:16"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s="12" t="str">
        <f>TEXT(orders[[#This Row],[Order Date]],"mmmm")</f>
        <v>March</v>
      </c>
      <c r="P1761" t="str">
        <f>IF(orders[[#This Row],[Customer Gender]]="M","Male", IF(orders[[#This Row],[Customer Gender]]="F","Female", IF(orders[[#This Row],[Customer Gender]]= "O", "Other","Unknown")))</f>
        <v>Female</v>
      </c>
    </row>
    <row r="1762" spans="1:16"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s="12" t="str">
        <f>TEXT(orders[[#This Row],[Order Date]],"mmmm")</f>
        <v>March</v>
      </c>
      <c r="P1762" t="str">
        <f>IF(orders[[#This Row],[Customer Gender]]="M","Male", IF(orders[[#This Row],[Customer Gender]]="F","Female", IF(orders[[#This Row],[Customer Gender]]= "O", "Other","Unknown")))</f>
        <v>Male</v>
      </c>
    </row>
    <row r="1763" spans="1:16"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s="12" t="str">
        <f>TEXT(orders[[#This Row],[Order Date]],"mmmm")</f>
        <v>March</v>
      </c>
      <c r="P1763" t="str">
        <f>IF(orders[[#This Row],[Customer Gender]]="M","Male", IF(orders[[#This Row],[Customer Gender]]="F","Female", IF(orders[[#This Row],[Customer Gender]]= "O", "Other","Unknown")))</f>
        <v>Male</v>
      </c>
    </row>
    <row r="1764" spans="1:16"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s="12" t="str">
        <f>TEXT(orders[[#This Row],[Order Date]],"mmmm")</f>
        <v>March</v>
      </c>
      <c r="P1764" t="str">
        <f>IF(orders[[#This Row],[Customer Gender]]="M","Male", IF(orders[[#This Row],[Customer Gender]]="F","Female", IF(orders[[#This Row],[Customer Gender]]= "O", "Other","Unknown")))</f>
        <v>Male</v>
      </c>
    </row>
    <row r="1765" spans="1:16"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s="12" t="str">
        <f>TEXT(orders[[#This Row],[Order Date]],"mmmm")</f>
        <v>March</v>
      </c>
      <c r="P1765" t="str">
        <f>IF(orders[[#This Row],[Customer Gender]]="M","Male", IF(orders[[#This Row],[Customer Gender]]="F","Female", IF(orders[[#This Row],[Customer Gender]]= "O", "Other","Unknown")))</f>
        <v>Male</v>
      </c>
    </row>
    <row r="1766" spans="1:16"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s="12" t="str">
        <f>TEXT(orders[[#This Row],[Order Date]],"mmmm")</f>
        <v>March</v>
      </c>
      <c r="P1766" t="str">
        <f>IF(orders[[#This Row],[Customer Gender]]="M","Male", IF(orders[[#This Row],[Customer Gender]]="F","Female", IF(orders[[#This Row],[Customer Gender]]= "O", "Other","Unknown")))</f>
        <v>Male</v>
      </c>
    </row>
    <row r="1767" spans="1:16"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s="12" t="str">
        <f>TEXT(orders[[#This Row],[Order Date]],"mmmm")</f>
        <v>March</v>
      </c>
      <c r="P1767" t="str">
        <f>IF(orders[[#This Row],[Customer Gender]]="M","Male", IF(orders[[#This Row],[Customer Gender]]="F","Female", IF(orders[[#This Row],[Customer Gender]]= "O", "Other","Unknown")))</f>
        <v>Male</v>
      </c>
    </row>
    <row r="1768" spans="1:16"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s="12" t="str">
        <f>TEXT(orders[[#This Row],[Order Date]],"mmmm")</f>
        <v>March</v>
      </c>
      <c r="P1768" t="str">
        <f>IF(orders[[#This Row],[Customer Gender]]="M","Male", IF(orders[[#This Row],[Customer Gender]]="F","Female", IF(orders[[#This Row],[Customer Gender]]= "O", "Other","Unknown")))</f>
        <v>Male</v>
      </c>
    </row>
    <row r="1769" spans="1:16"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s="12" t="str">
        <f>TEXT(orders[[#This Row],[Order Date]],"mmmm")</f>
        <v>March</v>
      </c>
      <c r="P1769" t="str">
        <f>IF(orders[[#This Row],[Customer Gender]]="M","Male", IF(orders[[#This Row],[Customer Gender]]="F","Female", IF(orders[[#This Row],[Customer Gender]]= "O", "Other","Unknown")))</f>
        <v>Male</v>
      </c>
    </row>
    <row r="1770" spans="1:16"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s="12" t="str">
        <f>TEXT(orders[[#This Row],[Order Date]],"mmmm")</f>
        <v>March</v>
      </c>
      <c r="P1770" t="str">
        <f>IF(orders[[#This Row],[Customer Gender]]="M","Male", IF(orders[[#This Row],[Customer Gender]]="F","Female", IF(orders[[#This Row],[Customer Gender]]= "O", "Other","Unknown")))</f>
        <v>Female</v>
      </c>
    </row>
    <row r="1771" spans="1:16"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s="12" t="str">
        <f>TEXT(orders[[#This Row],[Order Date]],"mmmm")</f>
        <v>March</v>
      </c>
      <c r="P1771" t="str">
        <f>IF(orders[[#This Row],[Customer Gender]]="M","Male", IF(orders[[#This Row],[Customer Gender]]="F","Female", IF(orders[[#This Row],[Customer Gender]]= "O", "Other","Unknown")))</f>
        <v>Female</v>
      </c>
    </row>
    <row r="1772" spans="1:16"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s="12" t="str">
        <f>TEXT(orders[[#This Row],[Order Date]],"mmmm")</f>
        <v>March</v>
      </c>
      <c r="P1772" t="str">
        <f>IF(orders[[#This Row],[Customer Gender]]="M","Male", IF(orders[[#This Row],[Customer Gender]]="F","Female", IF(orders[[#This Row],[Customer Gender]]= "O", "Other","Unknown")))</f>
        <v>Male</v>
      </c>
    </row>
    <row r="1773" spans="1:16"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s="12" t="str">
        <f>TEXT(orders[[#This Row],[Order Date]],"mmmm")</f>
        <v>March</v>
      </c>
      <c r="P1773" t="str">
        <f>IF(orders[[#This Row],[Customer Gender]]="M","Male", IF(orders[[#This Row],[Customer Gender]]="F","Female", IF(orders[[#This Row],[Customer Gender]]= "O", "Other","Unknown")))</f>
        <v>Male</v>
      </c>
    </row>
    <row r="1774" spans="1:16"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s="12" t="str">
        <f>TEXT(orders[[#This Row],[Order Date]],"mmmm")</f>
        <v>March</v>
      </c>
      <c r="P1774" t="str">
        <f>IF(orders[[#This Row],[Customer Gender]]="M","Male", IF(orders[[#This Row],[Customer Gender]]="F","Female", IF(orders[[#This Row],[Customer Gender]]= "O", "Other","Unknown")))</f>
        <v>Female</v>
      </c>
    </row>
    <row r="1775" spans="1:16"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s="12" t="str">
        <f>TEXT(orders[[#This Row],[Order Date]],"mmmm")</f>
        <v>March</v>
      </c>
      <c r="P1775" t="str">
        <f>IF(orders[[#This Row],[Customer Gender]]="M","Male", IF(orders[[#This Row],[Customer Gender]]="F","Female", IF(orders[[#This Row],[Customer Gender]]= "O", "Other","Unknown")))</f>
        <v>Female</v>
      </c>
    </row>
    <row r="1776" spans="1:16"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s="12" t="str">
        <f>TEXT(orders[[#This Row],[Order Date]],"mmmm")</f>
        <v>March</v>
      </c>
      <c r="P1776" t="str">
        <f>IF(orders[[#This Row],[Customer Gender]]="M","Male", IF(orders[[#This Row],[Customer Gender]]="F","Female", IF(orders[[#This Row],[Customer Gender]]= "O", "Other","Unknown")))</f>
        <v>Male</v>
      </c>
    </row>
    <row r="1777" spans="1:16"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s="12" t="str">
        <f>TEXT(orders[[#This Row],[Order Date]],"mmmm")</f>
        <v>March</v>
      </c>
      <c r="P1777" t="str">
        <f>IF(orders[[#This Row],[Customer Gender]]="M","Male", IF(orders[[#This Row],[Customer Gender]]="F","Female", IF(orders[[#This Row],[Customer Gender]]= "O", "Other","Unknown")))</f>
        <v>Male</v>
      </c>
    </row>
    <row r="1778" spans="1:16"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s="12" t="str">
        <f>TEXT(orders[[#This Row],[Order Date]],"mmmm")</f>
        <v>March</v>
      </c>
      <c r="P1778" t="str">
        <f>IF(orders[[#This Row],[Customer Gender]]="M","Male", IF(orders[[#This Row],[Customer Gender]]="F","Female", IF(orders[[#This Row],[Customer Gender]]= "O", "Other","Unknown")))</f>
        <v>Male</v>
      </c>
    </row>
    <row r="1779" spans="1:16"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s="12" t="str">
        <f>TEXT(orders[[#This Row],[Order Date]],"mmmm")</f>
        <v>March</v>
      </c>
      <c r="P1779" t="str">
        <f>IF(orders[[#This Row],[Customer Gender]]="M","Male", IF(orders[[#This Row],[Customer Gender]]="F","Female", IF(orders[[#This Row],[Customer Gender]]= "O", "Other","Unknown")))</f>
        <v>Male</v>
      </c>
    </row>
    <row r="1780" spans="1:16"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s="12" t="str">
        <f>TEXT(orders[[#This Row],[Order Date]],"mmmm")</f>
        <v>March</v>
      </c>
      <c r="P1780" t="str">
        <f>IF(orders[[#This Row],[Customer Gender]]="M","Male", IF(orders[[#This Row],[Customer Gender]]="F","Female", IF(orders[[#This Row],[Customer Gender]]= "O", "Other","Unknown")))</f>
        <v>Female</v>
      </c>
    </row>
    <row r="1781" spans="1:16"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s="12" t="str">
        <f>TEXT(orders[[#This Row],[Order Date]],"mmmm")</f>
        <v>March</v>
      </c>
      <c r="P1781" t="str">
        <f>IF(orders[[#This Row],[Customer Gender]]="M","Male", IF(orders[[#This Row],[Customer Gender]]="F","Female", IF(orders[[#This Row],[Customer Gender]]= "O", "Other","Unknown")))</f>
        <v>Female</v>
      </c>
    </row>
    <row r="1782" spans="1:16"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s="12" t="str">
        <f>TEXT(orders[[#This Row],[Order Date]],"mmmm")</f>
        <v>March</v>
      </c>
      <c r="P1782" t="str">
        <f>IF(orders[[#This Row],[Customer Gender]]="M","Male", IF(orders[[#This Row],[Customer Gender]]="F","Female", IF(orders[[#This Row],[Customer Gender]]= "O", "Other","Unknown")))</f>
        <v>Female</v>
      </c>
    </row>
    <row r="1783" spans="1:16"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s="12" t="str">
        <f>TEXT(orders[[#This Row],[Order Date]],"mmmm")</f>
        <v>March</v>
      </c>
      <c r="P1783" t="str">
        <f>IF(orders[[#This Row],[Customer Gender]]="M","Male", IF(orders[[#This Row],[Customer Gender]]="F","Female", IF(orders[[#This Row],[Customer Gender]]= "O", "Other","Unknown")))</f>
        <v>Female</v>
      </c>
    </row>
    <row r="1784" spans="1:16"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s="12" t="str">
        <f>TEXT(orders[[#This Row],[Order Date]],"mmmm")</f>
        <v>March</v>
      </c>
      <c r="P1784" t="str">
        <f>IF(orders[[#This Row],[Customer Gender]]="M","Male", IF(orders[[#This Row],[Customer Gender]]="F","Female", IF(orders[[#This Row],[Customer Gender]]= "O", "Other","Unknown")))</f>
        <v>Male</v>
      </c>
    </row>
    <row r="1785" spans="1:16"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s="12" t="str">
        <f>TEXT(orders[[#This Row],[Order Date]],"mmmm")</f>
        <v>March</v>
      </c>
      <c r="P1785" t="str">
        <f>IF(orders[[#This Row],[Customer Gender]]="M","Male", IF(orders[[#This Row],[Customer Gender]]="F","Female", IF(orders[[#This Row],[Customer Gender]]= "O", "Other","Unknown")))</f>
        <v>Female</v>
      </c>
    </row>
    <row r="1786" spans="1:16"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s="12" t="str">
        <f>TEXT(orders[[#This Row],[Order Date]],"mmmm")</f>
        <v>March</v>
      </c>
      <c r="P1786" t="str">
        <f>IF(orders[[#This Row],[Customer Gender]]="M","Male", IF(orders[[#This Row],[Customer Gender]]="F","Female", IF(orders[[#This Row],[Customer Gender]]= "O", "Other","Unknown")))</f>
        <v>Female</v>
      </c>
    </row>
    <row r="1787" spans="1:16"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s="12" t="str">
        <f>TEXT(orders[[#This Row],[Order Date]],"mmmm")</f>
        <v>March</v>
      </c>
      <c r="P1787" t="str">
        <f>IF(orders[[#This Row],[Customer Gender]]="M","Male", IF(orders[[#This Row],[Customer Gender]]="F","Female", IF(orders[[#This Row],[Customer Gender]]= "O", "Other","Unknown")))</f>
        <v>Female</v>
      </c>
    </row>
    <row r="1788" spans="1:16"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s="12" t="str">
        <f>TEXT(orders[[#This Row],[Order Date]],"mmmm")</f>
        <v>March</v>
      </c>
      <c r="P1788" t="str">
        <f>IF(orders[[#This Row],[Customer Gender]]="M","Male", IF(orders[[#This Row],[Customer Gender]]="F","Female", IF(orders[[#This Row],[Customer Gender]]= "O", "Other","Unknown")))</f>
        <v>Female</v>
      </c>
    </row>
    <row r="1789" spans="1:16"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s="12" t="str">
        <f>TEXT(orders[[#This Row],[Order Date]],"mmmm")</f>
        <v>March</v>
      </c>
      <c r="P1789" t="str">
        <f>IF(orders[[#This Row],[Customer Gender]]="M","Male", IF(orders[[#This Row],[Customer Gender]]="F","Female", IF(orders[[#This Row],[Customer Gender]]= "O", "Other","Unknown")))</f>
        <v>Male</v>
      </c>
    </row>
    <row r="1790" spans="1:16"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s="12" t="str">
        <f>TEXT(orders[[#This Row],[Order Date]],"mmmm")</f>
        <v>March</v>
      </c>
      <c r="P1790" t="str">
        <f>IF(orders[[#This Row],[Customer Gender]]="M","Male", IF(orders[[#This Row],[Customer Gender]]="F","Female", IF(orders[[#This Row],[Customer Gender]]= "O", "Other","Unknown")))</f>
        <v>Female</v>
      </c>
    </row>
    <row r="1791" spans="1:16"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s="12" t="str">
        <f>TEXT(orders[[#This Row],[Order Date]],"mmmm")</f>
        <v>March</v>
      </c>
      <c r="P1791" t="str">
        <f>IF(orders[[#This Row],[Customer Gender]]="M","Male", IF(orders[[#This Row],[Customer Gender]]="F","Female", IF(orders[[#This Row],[Customer Gender]]= "O", "Other","Unknown")))</f>
        <v>Female</v>
      </c>
    </row>
    <row r="1792" spans="1:16"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s="12" t="str">
        <f>TEXT(orders[[#This Row],[Order Date]],"mmmm")</f>
        <v>March</v>
      </c>
      <c r="P1792" t="str">
        <f>IF(orders[[#This Row],[Customer Gender]]="M","Male", IF(orders[[#This Row],[Customer Gender]]="F","Female", IF(orders[[#This Row],[Customer Gender]]= "O", "Other","Unknown")))</f>
        <v>Male</v>
      </c>
    </row>
    <row r="1793" spans="1:16"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s="12" t="str">
        <f>TEXT(orders[[#This Row],[Order Date]],"mmmm")</f>
        <v>March</v>
      </c>
      <c r="P1793" t="str">
        <f>IF(orders[[#This Row],[Customer Gender]]="M","Male", IF(orders[[#This Row],[Customer Gender]]="F","Female", IF(orders[[#This Row],[Customer Gender]]= "O", "Other","Unknown")))</f>
        <v>Male</v>
      </c>
    </row>
    <row r="1794" spans="1:16"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s="12" t="str">
        <f>TEXT(orders[[#This Row],[Order Date]],"mmmm")</f>
        <v>March</v>
      </c>
      <c r="P1794" t="str">
        <f>IF(orders[[#This Row],[Customer Gender]]="M","Male", IF(orders[[#This Row],[Customer Gender]]="F","Female", IF(orders[[#This Row],[Customer Gender]]= "O", "Other","Unknown")))</f>
        <v>Female</v>
      </c>
    </row>
    <row r="1795" spans="1:16"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s="12" t="str">
        <f>TEXT(orders[[#This Row],[Order Date]],"mmmm")</f>
        <v>March</v>
      </c>
      <c r="P1795" t="str">
        <f>IF(orders[[#This Row],[Customer Gender]]="M","Male", IF(orders[[#This Row],[Customer Gender]]="F","Female", IF(orders[[#This Row],[Customer Gender]]= "O", "Other","Unknown")))</f>
        <v>Male</v>
      </c>
    </row>
    <row r="1796" spans="1:16"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s="12" t="str">
        <f>TEXT(orders[[#This Row],[Order Date]],"mmmm")</f>
        <v>March</v>
      </c>
      <c r="P1796" t="str">
        <f>IF(orders[[#This Row],[Customer Gender]]="M","Male", IF(orders[[#This Row],[Customer Gender]]="F","Female", IF(orders[[#This Row],[Customer Gender]]= "O", "Other","Unknown")))</f>
        <v>Male</v>
      </c>
    </row>
    <row r="1797" spans="1:16"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s="12" t="str">
        <f>TEXT(orders[[#This Row],[Order Date]],"mmmm")</f>
        <v>March</v>
      </c>
      <c r="P1797" t="str">
        <f>IF(orders[[#This Row],[Customer Gender]]="M","Male", IF(orders[[#This Row],[Customer Gender]]="F","Female", IF(orders[[#This Row],[Customer Gender]]= "O", "Other","Unknown")))</f>
        <v>Male</v>
      </c>
    </row>
    <row r="1798" spans="1:16"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s="12" t="str">
        <f>TEXT(orders[[#This Row],[Order Date]],"mmmm")</f>
        <v>March</v>
      </c>
      <c r="P1798" t="str">
        <f>IF(orders[[#This Row],[Customer Gender]]="M","Male", IF(orders[[#This Row],[Customer Gender]]="F","Female", IF(orders[[#This Row],[Customer Gender]]= "O", "Other","Unknown")))</f>
        <v>Female</v>
      </c>
    </row>
    <row r="1799" spans="1:16"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s="12" t="str">
        <f>TEXT(orders[[#This Row],[Order Date]],"mmmm")</f>
        <v>March</v>
      </c>
      <c r="P1799" t="str">
        <f>IF(orders[[#This Row],[Customer Gender]]="M","Male", IF(orders[[#This Row],[Customer Gender]]="F","Female", IF(orders[[#This Row],[Customer Gender]]= "O", "Other","Unknown")))</f>
        <v>Male</v>
      </c>
    </row>
    <row r="1800" spans="1:16"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s="12" t="str">
        <f>TEXT(orders[[#This Row],[Order Date]],"mmmm")</f>
        <v>March</v>
      </c>
      <c r="P1800" t="str">
        <f>IF(orders[[#This Row],[Customer Gender]]="M","Male", IF(orders[[#This Row],[Customer Gender]]="F","Female", IF(orders[[#This Row],[Customer Gender]]= "O", "Other","Unknown")))</f>
        <v>Female</v>
      </c>
    </row>
    <row r="1801" spans="1:16"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s="12" t="str">
        <f>TEXT(orders[[#This Row],[Order Date]],"mmmm")</f>
        <v>March</v>
      </c>
      <c r="P1801" t="str">
        <f>IF(orders[[#This Row],[Customer Gender]]="M","Male", IF(orders[[#This Row],[Customer Gender]]="F","Female", IF(orders[[#This Row],[Customer Gender]]= "O", "Other","Unknown")))</f>
        <v>Female</v>
      </c>
    </row>
    <row r="1802" spans="1:16"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s="12" t="str">
        <f>TEXT(orders[[#This Row],[Order Date]],"mmmm")</f>
        <v>March</v>
      </c>
      <c r="P1802" t="str">
        <f>IF(orders[[#This Row],[Customer Gender]]="M","Male", IF(orders[[#This Row],[Customer Gender]]="F","Female", IF(orders[[#This Row],[Customer Gender]]= "O", "Other","Unknown")))</f>
        <v>Female</v>
      </c>
    </row>
    <row r="1803" spans="1:16"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s="12" t="str">
        <f>TEXT(orders[[#This Row],[Order Date]],"mmmm")</f>
        <v>March</v>
      </c>
      <c r="P1803" t="str">
        <f>IF(orders[[#This Row],[Customer Gender]]="M","Male", IF(orders[[#This Row],[Customer Gender]]="F","Female", IF(orders[[#This Row],[Customer Gender]]= "O", "Other","Unknown")))</f>
        <v>Female</v>
      </c>
    </row>
    <row r="1804" spans="1:16"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s="12" t="str">
        <f>TEXT(orders[[#This Row],[Order Date]],"mmmm")</f>
        <v>March</v>
      </c>
      <c r="P1804" t="str">
        <f>IF(orders[[#This Row],[Customer Gender]]="M","Male", IF(orders[[#This Row],[Customer Gender]]="F","Female", IF(orders[[#This Row],[Customer Gender]]= "O", "Other","Unknown")))</f>
        <v>Female</v>
      </c>
    </row>
    <row r="1805" spans="1:16"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s="12" t="str">
        <f>TEXT(orders[[#This Row],[Order Date]],"mmmm")</f>
        <v>March</v>
      </c>
      <c r="P1805" t="str">
        <f>IF(orders[[#This Row],[Customer Gender]]="M","Male", IF(orders[[#This Row],[Customer Gender]]="F","Female", IF(orders[[#This Row],[Customer Gender]]= "O", "Other","Unknown")))</f>
        <v>Male</v>
      </c>
    </row>
    <row r="1806" spans="1:16"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s="12" t="str">
        <f>TEXT(orders[[#This Row],[Order Date]],"mmmm")</f>
        <v>March</v>
      </c>
      <c r="P1806" t="str">
        <f>IF(orders[[#This Row],[Customer Gender]]="M","Male", IF(orders[[#This Row],[Customer Gender]]="F","Female", IF(orders[[#This Row],[Customer Gender]]= "O", "Other","Unknown")))</f>
        <v>Male</v>
      </c>
    </row>
    <row r="1807" spans="1:16"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s="12" t="str">
        <f>TEXT(orders[[#This Row],[Order Date]],"mmmm")</f>
        <v>March</v>
      </c>
      <c r="P1807" t="str">
        <f>IF(orders[[#This Row],[Customer Gender]]="M","Male", IF(orders[[#This Row],[Customer Gender]]="F","Female", IF(orders[[#This Row],[Customer Gender]]= "O", "Other","Unknown")))</f>
        <v>Female</v>
      </c>
    </row>
    <row r="1808" spans="1:16"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s="12" t="str">
        <f>TEXT(orders[[#This Row],[Order Date]],"mmmm")</f>
        <v>March</v>
      </c>
      <c r="P1808" t="str">
        <f>IF(orders[[#This Row],[Customer Gender]]="M","Male", IF(orders[[#This Row],[Customer Gender]]="F","Female", IF(orders[[#This Row],[Customer Gender]]= "O", "Other","Unknown")))</f>
        <v>Male</v>
      </c>
    </row>
    <row r="1809" spans="1:16"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s="12" t="str">
        <f>TEXT(orders[[#This Row],[Order Date]],"mmmm")</f>
        <v>March</v>
      </c>
      <c r="P1809" t="str">
        <f>IF(orders[[#This Row],[Customer Gender]]="M","Male", IF(orders[[#This Row],[Customer Gender]]="F","Female", IF(orders[[#This Row],[Customer Gender]]= "O", "Other","Unknown")))</f>
        <v>Female</v>
      </c>
    </row>
    <row r="1810" spans="1:16"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s="12" t="str">
        <f>TEXT(orders[[#This Row],[Order Date]],"mmmm")</f>
        <v>March</v>
      </c>
      <c r="P1810" t="str">
        <f>IF(orders[[#This Row],[Customer Gender]]="M","Male", IF(orders[[#This Row],[Customer Gender]]="F","Female", IF(orders[[#This Row],[Customer Gender]]= "O", "Other","Unknown")))</f>
        <v>Female</v>
      </c>
    </row>
    <row r="1811" spans="1:16"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s="12" t="str">
        <f>TEXT(orders[[#This Row],[Order Date]],"mmmm")</f>
        <v>March</v>
      </c>
      <c r="P1811" t="str">
        <f>IF(orders[[#This Row],[Customer Gender]]="M","Male", IF(orders[[#This Row],[Customer Gender]]="F","Female", IF(orders[[#This Row],[Customer Gender]]= "O", "Other","Unknown")))</f>
        <v>Female</v>
      </c>
    </row>
    <row r="1812" spans="1:16"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s="12" t="str">
        <f>TEXT(orders[[#This Row],[Order Date]],"mmmm")</f>
        <v>March</v>
      </c>
      <c r="P1812" t="str">
        <f>IF(orders[[#This Row],[Customer Gender]]="M","Male", IF(orders[[#This Row],[Customer Gender]]="F","Female", IF(orders[[#This Row],[Customer Gender]]= "O", "Other","Unknown")))</f>
        <v>Other</v>
      </c>
    </row>
    <row r="1813" spans="1:16"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s="12" t="str">
        <f>TEXT(orders[[#This Row],[Order Date]],"mmmm")</f>
        <v>March</v>
      </c>
      <c r="P1813" t="str">
        <f>IF(orders[[#This Row],[Customer Gender]]="M","Male", IF(orders[[#This Row],[Customer Gender]]="F","Female", IF(orders[[#This Row],[Customer Gender]]= "O", "Other","Unknown")))</f>
        <v>Female</v>
      </c>
    </row>
    <row r="1814" spans="1:16"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s="12" t="str">
        <f>TEXT(orders[[#This Row],[Order Date]],"mmmm")</f>
        <v>March</v>
      </c>
      <c r="P1814" t="str">
        <f>IF(orders[[#This Row],[Customer Gender]]="M","Male", IF(orders[[#This Row],[Customer Gender]]="F","Female", IF(orders[[#This Row],[Customer Gender]]= "O", "Other","Unknown")))</f>
        <v>Female</v>
      </c>
    </row>
    <row r="1815" spans="1:16"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s="12" t="str">
        <f>TEXT(orders[[#This Row],[Order Date]],"mmmm")</f>
        <v>March</v>
      </c>
      <c r="P1815" t="str">
        <f>IF(orders[[#This Row],[Customer Gender]]="M","Male", IF(orders[[#This Row],[Customer Gender]]="F","Female", IF(orders[[#This Row],[Customer Gender]]= "O", "Other","Unknown")))</f>
        <v>Male</v>
      </c>
    </row>
    <row r="1816" spans="1:16"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s="12" t="str">
        <f>TEXT(orders[[#This Row],[Order Date]],"mmmm")</f>
        <v>March</v>
      </c>
      <c r="P1816" t="str">
        <f>IF(orders[[#This Row],[Customer Gender]]="M","Male", IF(orders[[#This Row],[Customer Gender]]="F","Female", IF(orders[[#This Row],[Customer Gender]]= "O", "Other","Unknown")))</f>
        <v>Female</v>
      </c>
    </row>
    <row r="1817" spans="1:16"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s="12" t="str">
        <f>TEXT(orders[[#This Row],[Order Date]],"mmmm")</f>
        <v>March</v>
      </c>
      <c r="P1817" t="str">
        <f>IF(orders[[#This Row],[Customer Gender]]="M","Male", IF(orders[[#This Row],[Customer Gender]]="F","Female", IF(orders[[#This Row],[Customer Gender]]= "O", "Other","Unknown")))</f>
        <v>Male</v>
      </c>
    </row>
    <row r="1818" spans="1:16"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s="12" t="str">
        <f>TEXT(orders[[#This Row],[Order Date]],"mmmm")</f>
        <v>March</v>
      </c>
      <c r="P1818" t="str">
        <f>IF(orders[[#This Row],[Customer Gender]]="M","Male", IF(orders[[#This Row],[Customer Gender]]="F","Female", IF(orders[[#This Row],[Customer Gender]]= "O", "Other","Unknown")))</f>
        <v>Other</v>
      </c>
    </row>
    <row r="1819" spans="1:16"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s="12" t="str">
        <f>TEXT(orders[[#This Row],[Order Date]],"mmmm")</f>
        <v>March</v>
      </c>
      <c r="P1819" t="str">
        <f>IF(orders[[#This Row],[Customer Gender]]="M","Male", IF(orders[[#This Row],[Customer Gender]]="F","Female", IF(orders[[#This Row],[Customer Gender]]= "O", "Other","Unknown")))</f>
        <v>Female</v>
      </c>
    </row>
    <row r="1820" spans="1:16" hidden="1"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s="12" t="str">
        <f>TEXT(orders[[#This Row],[Order Date]],"mmmm")</f>
        <v>March</v>
      </c>
      <c r="P1820" t="str">
        <f>IF(orders[[#This Row],[Customer Gender]]="M","Male", IF(orders[[#This Row],[Customer Gender]]="F","Female", IF(orders[[#This Row],[Customer Gender]]= "O", "Other","Unknown")))</f>
        <v>Unknown</v>
      </c>
    </row>
    <row r="1821" spans="1:16"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s="12" t="str">
        <f>TEXT(orders[[#This Row],[Order Date]],"mmmm")</f>
        <v>March</v>
      </c>
      <c r="P1821" t="str">
        <f>IF(orders[[#This Row],[Customer Gender]]="M","Male", IF(orders[[#This Row],[Customer Gender]]="F","Female", IF(orders[[#This Row],[Customer Gender]]= "O", "Other","Unknown")))</f>
        <v>Female</v>
      </c>
    </row>
    <row r="1822" spans="1:16"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s="12" t="str">
        <f>TEXT(orders[[#This Row],[Order Date]],"mmmm")</f>
        <v>March</v>
      </c>
      <c r="P1822" t="str">
        <f>IF(orders[[#This Row],[Customer Gender]]="M","Male", IF(orders[[#This Row],[Customer Gender]]="F","Female", IF(orders[[#This Row],[Customer Gender]]= "O", "Other","Unknown")))</f>
        <v>Female</v>
      </c>
    </row>
    <row r="1823" spans="1:16" hidden="1"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s="12" t="str">
        <f>TEXT(orders[[#This Row],[Order Date]],"mmmm")</f>
        <v>March</v>
      </c>
      <c r="P1823" t="str">
        <f>IF(orders[[#This Row],[Customer Gender]]="M","Male", IF(orders[[#This Row],[Customer Gender]]="F","Female", IF(orders[[#This Row],[Customer Gender]]= "O", "Other","Unknown")))</f>
        <v>Unknown</v>
      </c>
    </row>
    <row r="1824" spans="1:16"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s="12" t="str">
        <f>TEXT(orders[[#This Row],[Order Date]],"mmmm")</f>
        <v>March</v>
      </c>
      <c r="P1824" t="str">
        <f>IF(orders[[#This Row],[Customer Gender]]="M","Male", IF(orders[[#This Row],[Customer Gender]]="F","Female", IF(orders[[#This Row],[Customer Gender]]= "O", "Other","Unknown")))</f>
        <v>Male</v>
      </c>
    </row>
    <row r="1825" spans="1:16"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s="12" t="str">
        <f>TEXT(orders[[#This Row],[Order Date]],"mmmm")</f>
        <v>March</v>
      </c>
      <c r="P1825" t="str">
        <f>IF(orders[[#This Row],[Customer Gender]]="M","Male", IF(orders[[#This Row],[Customer Gender]]="F","Female", IF(orders[[#This Row],[Customer Gender]]= "O", "Other","Unknown")))</f>
        <v>Other</v>
      </c>
    </row>
    <row r="1826" spans="1:16"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s="12" t="str">
        <f>TEXT(orders[[#This Row],[Order Date]],"mmmm")</f>
        <v>March</v>
      </c>
      <c r="P1826" t="str">
        <f>IF(orders[[#This Row],[Customer Gender]]="M","Male", IF(orders[[#This Row],[Customer Gender]]="F","Female", IF(orders[[#This Row],[Customer Gender]]= "O", "Other","Unknown")))</f>
        <v>Male</v>
      </c>
    </row>
    <row r="1827" spans="1:16"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s="12" t="str">
        <f>TEXT(orders[[#This Row],[Order Date]],"mmmm")</f>
        <v>March</v>
      </c>
      <c r="P1827" t="str">
        <f>IF(orders[[#This Row],[Customer Gender]]="M","Male", IF(orders[[#This Row],[Customer Gender]]="F","Female", IF(orders[[#This Row],[Customer Gender]]= "O", "Other","Unknown")))</f>
        <v>Female</v>
      </c>
    </row>
    <row r="1828" spans="1:16" hidden="1"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s="12" t="str">
        <f>TEXT(orders[[#This Row],[Order Date]],"mmmm")</f>
        <v>March</v>
      </c>
      <c r="P1828" t="str">
        <f>IF(orders[[#This Row],[Customer Gender]]="M","Male", IF(orders[[#This Row],[Customer Gender]]="F","Female", IF(orders[[#This Row],[Customer Gender]]= "O", "Other","Unknown")))</f>
        <v>Unknown</v>
      </c>
    </row>
    <row r="1829" spans="1:16"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s="12" t="str">
        <f>TEXT(orders[[#This Row],[Order Date]],"mmmm")</f>
        <v>March</v>
      </c>
      <c r="P1829" t="str">
        <f>IF(orders[[#This Row],[Customer Gender]]="M","Male", IF(orders[[#This Row],[Customer Gender]]="F","Female", IF(orders[[#This Row],[Customer Gender]]= "O", "Other","Unknown")))</f>
        <v>Male</v>
      </c>
    </row>
    <row r="1830" spans="1:16"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s="12" t="str">
        <f>TEXT(orders[[#This Row],[Order Date]],"mmmm")</f>
        <v>March</v>
      </c>
      <c r="P1830" t="str">
        <f>IF(orders[[#This Row],[Customer Gender]]="M","Male", IF(orders[[#This Row],[Customer Gender]]="F","Female", IF(orders[[#This Row],[Customer Gender]]= "O", "Other","Unknown")))</f>
        <v>Female</v>
      </c>
    </row>
    <row r="1831" spans="1:16"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s="12" t="str">
        <f>TEXT(orders[[#This Row],[Order Date]],"mmmm")</f>
        <v>March</v>
      </c>
      <c r="P1831" t="str">
        <f>IF(orders[[#This Row],[Customer Gender]]="M","Male", IF(orders[[#This Row],[Customer Gender]]="F","Female", IF(orders[[#This Row],[Customer Gender]]= "O", "Other","Unknown")))</f>
        <v>Male</v>
      </c>
    </row>
    <row r="1832" spans="1:16"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s="12" t="str">
        <f>TEXT(orders[[#This Row],[Order Date]],"mmmm")</f>
        <v>March</v>
      </c>
      <c r="P1832" t="str">
        <f>IF(orders[[#This Row],[Customer Gender]]="M","Male", IF(orders[[#This Row],[Customer Gender]]="F","Female", IF(orders[[#This Row],[Customer Gender]]= "O", "Other","Unknown")))</f>
        <v>Female</v>
      </c>
    </row>
    <row r="1833" spans="1:16" hidden="1"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s="12" t="str">
        <f>TEXT(orders[[#This Row],[Order Date]],"mmmm")</f>
        <v>March</v>
      </c>
      <c r="P1833" t="str">
        <f>IF(orders[[#This Row],[Customer Gender]]="M","Male", IF(orders[[#This Row],[Customer Gender]]="F","Female", IF(orders[[#This Row],[Customer Gender]]= "O", "Other","Unknown")))</f>
        <v>Unknown</v>
      </c>
    </row>
    <row r="1834" spans="1:16"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s="12" t="str">
        <f>TEXT(orders[[#This Row],[Order Date]],"mmmm")</f>
        <v>March</v>
      </c>
      <c r="P1834" t="str">
        <f>IF(orders[[#This Row],[Customer Gender]]="M","Male", IF(orders[[#This Row],[Customer Gender]]="F","Female", IF(orders[[#This Row],[Customer Gender]]= "O", "Other","Unknown")))</f>
        <v>Female</v>
      </c>
    </row>
    <row r="1835" spans="1:16"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s="12" t="str">
        <f>TEXT(orders[[#This Row],[Order Date]],"mmmm")</f>
        <v>March</v>
      </c>
      <c r="P1835" t="str">
        <f>IF(orders[[#This Row],[Customer Gender]]="M","Male", IF(orders[[#This Row],[Customer Gender]]="F","Female", IF(orders[[#This Row],[Customer Gender]]= "O", "Other","Unknown")))</f>
        <v>Male</v>
      </c>
    </row>
    <row r="1836" spans="1:16"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s="12" t="str">
        <f>TEXT(orders[[#This Row],[Order Date]],"mmmm")</f>
        <v>March</v>
      </c>
      <c r="P1836" t="str">
        <f>IF(orders[[#This Row],[Customer Gender]]="M","Male", IF(orders[[#This Row],[Customer Gender]]="F","Female", IF(orders[[#This Row],[Customer Gender]]= "O", "Other","Unknown")))</f>
        <v>Male</v>
      </c>
    </row>
    <row r="1837" spans="1:16"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s="12" t="str">
        <f>TEXT(orders[[#This Row],[Order Date]],"mmmm")</f>
        <v>March</v>
      </c>
      <c r="P1837" t="str">
        <f>IF(orders[[#This Row],[Customer Gender]]="M","Male", IF(orders[[#This Row],[Customer Gender]]="F","Female", IF(orders[[#This Row],[Customer Gender]]= "O", "Other","Unknown")))</f>
        <v>Female</v>
      </c>
    </row>
    <row r="1838" spans="1:16"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s="12" t="str">
        <f>TEXT(orders[[#This Row],[Order Date]],"mmmm")</f>
        <v>March</v>
      </c>
      <c r="P1838" t="str">
        <f>IF(orders[[#This Row],[Customer Gender]]="M","Male", IF(orders[[#This Row],[Customer Gender]]="F","Female", IF(orders[[#This Row],[Customer Gender]]= "O", "Other","Unknown")))</f>
        <v>Female</v>
      </c>
    </row>
    <row r="1839" spans="1:16"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s="12" t="str">
        <f>TEXT(orders[[#This Row],[Order Date]],"mmmm")</f>
        <v>March</v>
      </c>
      <c r="P1839" t="str">
        <f>IF(orders[[#This Row],[Customer Gender]]="M","Male", IF(orders[[#This Row],[Customer Gender]]="F","Female", IF(orders[[#This Row],[Customer Gender]]= "O", "Other","Unknown")))</f>
        <v>Female</v>
      </c>
    </row>
    <row r="1840" spans="1:16"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s="12" t="str">
        <f>TEXT(orders[[#This Row],[Order Date]],"mmmm")</f>
        <v>March</v>
      </c>
      <c r="P1840" t="str">
        <f>IF(orders[[#This Row],[Customer Gender]]="M","Male", IF(orders[[#This Row],[Customer Gender]]="F","Female", IF(orders[[#This Row],[Customer Gender]]= "O", "Other","Unknown")))</f>
        <v>Male</v>
      </c>
    </row>
    <row r="1841" spans="1:16"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s="12" t="str">
        <f>TEXT(orders[[#This Row],[Order Date]],"mmmm")</f>
        <v>March</v>
      </c>
      <c r="P1841" t="str">
        <f>IF(orders[[#This Row],[Customer Gender]]="M","Male", IF(orders[[#This Row],[Customer Gender]]="F","Female", IF(orders[[#This Row],[Customer Gender]]= "O", "Other","Unknown")))</f>
        <v>Female</v>
      </c>
    </row>
    <row r="1842" spans="1:16"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s="12" t="str">
        <f>TEXT(orders[[#This Row],[Order Date]],"mmmm")</f>
        <v>March</v>
      </c>
      <c r="P1842" t="str">
        <f>IF(orders[[#This Row],[Customer Gender]]="M","Male", IF(orders[[#This Row],[Customer Gender]]="F","Female", IF(orders[[#This Row],[Customer Gender]]= "O", "Other","Unknown")))</f>
        <v>Male</v>
      </c>
    </row>
    <row r="1843" spans="1:16"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s="12" t="str">
        <f>TEXT(orders[[#This Row],[Order Date]],"mmmm")</f>
        <v>March</v>
      </c>
      <c r="P1843" t="str">
        <f>IF(orders[[#This Row],[Customer Gender]]="M","Male", IF(orders[[#This Row],[Customer Gender]]="F","Female", IF(orders[[#This Row],[Customer Gender]]= "O", "Other","Unknown")))</f>
        <v>Female</v>
      </c>
    </row>
    <row r="1844" spans="1:16" hidden="1"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s="12" t="str">
        <f>TEXT(orders[[#This Row],[Order Date]],"mmmm")</f>
        <v>March</v>
      </c>
      <c r="P1844" t="str">
        <f>IF(orders[[#This Row],[Customer Gender]]="M","Male", IF(orders[[#This Row],[Customer Gender]]="F","Female", IF(orders[[#This Row],[Customer Gender]]= "O", "Other","Unknown")))</f>
        <v>Unknown</v>
      </c>
    </row>
    <row r="1845" spans="1:16"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s="12" t="str">
        <f>TEXT(orders[[#This Row],[Order Date]],"mmmm")</f>
        <v>March</v>
      </c>
      <c r="P1845" t="str">
        <f>IF(orders[[#This Row],[Customer Gender]]="M","Male", IF(orders[[#This Row],[Customer Gender]]="F","Female", IF(orders[[#This Row],[Customer Gender]]= "O", "Other","Unknown")))</f>
        <v>Female</v>
      </c>
    </row>
    <row r="1846" spans="1:16"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s="12" t="str">
        <f>TEXT(orders[[#This Row],[Order Date]],"mmmm")</f>
        <v>March</v>
      </c>
      <c r="P1846" t="str">
        <f>IF(orders[[#This Row],[Customer Gender]]="M","Male", IF(orders[[#This Row],[Customer Gender]]="F","Female", IF(orders[[#This Row],[Customer Gender]]= "O", "Other","Unknown")))</f>
        <v>Male</v>
      </c>
    </row>
    <row r="1847" spans="1:16"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s="12" t="str">
        <f>TEXT(orders[[#This Row],[Order Date]],"mmmm")</f>
        <v>March</v>
      </c>
      <c r="P1847" t="str">
        <f>IF(orders[[#This Row],[Customer Gender]]="M","Male", IF(orders[[#This Row],[Customer Gender]]="F","Female", IF(orders[[#This Row],[Customer Gender]]= "O", "Other","Unknown")))</f>
        <v>Other</v>
      </c>
    </row>
    <row r="1848" spans="1:16"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s="12" t="str">
        <f>TEXT(orders[[#This Row],[Order Date]],"mmmm")</f>
        <v>March</v>
      </c>
      <c r="P1848" t="str">
        <f>IF(orders[[#This Row],[Customer Gender]]="M","Male", IF(orders[[#This Row],[Customer Gender]]="F","Female", IF(orders[[#This Row],[Customer Gender]]= "O", "Other","Unknown")))</f>
        <v>Female</v>
      </c>
    </row>
    <row r="1849" spans="1:16"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s="12" t="str">
        <f>TEXT(orders[[#This Row],[Order Date]],"mmmm")</f>
        <v>March</v>
      </c>
      <c r="P1849" t="str">
        <f>IF(orders[[#This Row],[Customer Gender]]="M","Male", IF(orders[[#This Row],[Customer Gender]]="F","Female", IF(orders[[#This Row],[Customer Gender]]= "O", "Other","Unknown")))</f>
        <v>Female</v>
      </c>
    </row>
    <row r="1850" spans="1:16"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s="12" t="str">
        <f>TEXT(orders[[#This Row],[Order Date]],"mmmm")</f>
        <v>March</v>
      </c>
      <c r="P1850" t="str">
        <f>IF(orders[[#This Row],[Customer Gender]]="M","Male", IF(orders[[#This Row],[Customer Gender]]="F","Female", IF(orders[[#This Row],[Customer Gender]]= "O", "Other","Unknown")))</f>
        <v>Female</v>
      </c>
    </row>
    <row r="1851" spans="1:16"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s="12" t="str">
        <f>TEXT(orders[[#This Row],[Order Date]],"mmmm")</f>
        <v>March</v>
      </c>
      <c r="P1851" t="str">
        <f>IF(orders[[#This Row],[Customer Gender]]="M","Male", IF(orders[[#This Row],[Customer Gender]]="F","Female", IF(orders[[#This Row],[Customer Gender]]= "O", "Other","Unknown")))</f>
        <v>Male</v>
      </c>
    </row>
    <row r="1852" spans="1:16"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s="12" t="str">
        <f>TEXT(orders[[#This Row],[Order Date]],"mmmm")</f>
        <v>March</v>
      </c>
      <c r="P1852" t="str">
        <f>IF(orders[[#This Row],[Customer Gender]]="M","Male", IF(orders[[#This Row],[Customer Gender]]="F","Female", IF(orders[[#This Row],[Customer Gender]]= "O", "Other","Unknown")))</f>
        <v>Female</v>
      </c>
    </row>
    <row r="1853" spans="1:16"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s="12" t="str">
        <f>TEXT(orders[[#This Row],[Order Date]],"mmmm")</f>
        <v>March</v>
      </c>
      <c r="P1853" t="str">
        <f>IF(orders[[#This Row],[Customer Gender]]="M","Male", IF(orders[[#This Row],[Customer Gender]]="F","Female", IF(orders[[#This Row],[Customer Gender]]= "O", "Other","Unknown")))</f>
        <v>Female</v>
      </c>
    </row>
    <row r="1854" spans="1:16"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s="12" t="str">
        <f>TEXT(orders[[#This Row],[Order Date]],"mmmm")</f>
        <v>March</v>
      </c>
      <c r="P1854" t="str">
        <f>IF(orders[[#This Row],[Customer Gender]]="M","Male", IF(orders[[#This Row],[Customer Gender]]="F","Female", IF(orders[[#This Row],[Customer Gender]]= "O", "Other","Unknown")))</f>
        <v>Female</v>
      </c>
    </row>
    <row r="1855" spans="1:16"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s="12" t="str">
        <f>TEXT(orders[[#This Row],[Order Date]],"mmmm")</f>
        <v>March</v>
      </c>
      <c r="P1855" t="str">
        <f>IF(orders[[#This Row],[Customer Gender]]="M","Male", IF(orders[[#This Row],[Customer Gender]]="F","Female", IF(orders[[#This Row],[Customer Gender]]= "O", "Other","Unknown")))</f>
        <v>Male</v>
      </c>
    </row>
    <row r="1856" spans="1:16"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s="12" t="str">
        <f>TEXT(orders[[#This Row],[Order Date]],"mmmm")</f>
        <v>March</v>
      </c>
      <c r="P1856" t="str">
        <f>IF(orders[[#This Row],[Customer Gender]]="M","Male", IF(orders[[#This Row],[Customer Gender]]="F","Female", IF(orders[[#This Row],[Customer Gender]]= "O", "Other","Unknown")))</f>
        <v>Female</v>
      </c>
    </row>
    <row r="1857" spans="1:16"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s="12" t="str">
        <f>TEXT(orders[[#This Row],[Order Date]],"mmmm")</f>
        <v>March</v>
      </c>
      <c r="P1857" t="str">
        <f>IF(orders[[#This Row],[Customer Gender]]="M","Male", IF(orders[[#This Row],[Customer Gender]]="F","Female", IF(orders[[#This Row],[Customer Gender]]= "O", "Other","Unknown")))</f>
        <v>Male</v>
      </c>
    </row>
    <row r="1858" spans="1:16"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s="12" t="str">
        <f>TEXT(orders[[#This Row],[Order Date]],"mmmm")</f>
        <v>March</v>
      </c>
      <c r="P1858" t="str">
        <f>IF(orders[[#This Row],[Customer Gender]]="M","Male", IF(orders[[#This Row],[Customer Gender]]="F","Female", IF(orders[[#This Row],[Customer Gender]]= "O", "Other","Unknown")))</f>
        <v>Female</v>
      </c>
    </row>
    <row r="1859" spans="1:16"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s="12" t="str">
        <f>TEXT(orders[[#This Row],[Order Date]],"mmmm")</f>
        <v>March</v>
      </c>
      <c r="P1859" t="str">
        <f>IF(orders[[#This Row],[Customer Gender]]="M","Male", IF(orders[[#This Row],[Customer Gender]]="F","Female", IF(orders[[#This Row],[Customer Gender]]= "O", "Other","Unknown")))</f>
        <v>Female</v>
      </c>
    </row>
    <row r="1860" spans="1:16"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s="12" t="str">
        <f>TEXT(orders[[#This Row],[Order Date]],"mmmm")</f>
        <v>March</v>
      </c>
      <c r="P1860" t="str">
        <f>IF(orders[[#This Row],[Customer Gender]]="M","Male", IF(orders[[#This Row],[Customer Gender]]="F","Female", IF(orders[[#This Row],[Customer Gender]]= "O", "Other","Unknown")))</f>
        <v>Female</v>
      </c>
    </row>
    <row r="1861" spans="1:16"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s="12" t="str">
        <f>TEXT(orders[[#This Row],[Order Date]],"mmmm")</f>
        <v>March</v>
      </c>
      <c r="P1861" t="str">
        <f>IF(orders[[#This Row],[Customer Gender]]="M","Male", IF(orders[[#This Row],[Customer Gender]]="F","Female", IF(orders[[#This Row],[Customer Gender]]= "O", "Other","Unknown")))</f>
        <v>Male</v>
      </c>
    </row>
    <row r="1862" spans="1:16"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s="12" t="str">
        <f>TEXT(orders[[#This Row],[Order Date]],"mmmm")</f>
        <v>March</v>
      </c>
      <c r="P1862" t="str">
        <f>IF(orders[[#This Row],[Customer Gender]]="M","Male", IF(orders[[#This Row],[Customer Gender]]="F","Female", IF(orders[[#This Row],[Customer Gender]]= "O", "Other","Unknown")))</f>
        <v>Male</v>
      </c>
    </row>
    <row r="1863" spans="1:16"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s="12" t="str">
        <f>TEXT(orders[[#This Row],[Order Date]],"mmmm")</f>
        <v>March</v>
      </c>
      <c r="P1863" t="str">
        <f>IF(orders[[#This Row],[Customer Gender]]="M","Male", IF(orders[[#This Row],[Customer Gender]]="F","Female", IF(orders[[#This Row],[Customer Gender]]= "O", "Other","Unknown")))</f>
        <v>Other</v>
      </c>
    </row>
    <row r="1864" spans="1:16"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s="12" t="str">
        <f>TEXT(orders[[#This Row],[Order Date]],"mmmm")</f>
        <v>March</v>
      </c>
      <c r="P1864" t="str">
        <f>IF(orders[[#This Row],[Customer Gender]]="M","Male", IF(orders[[#This Row],[Customer Gender]]="F","Female", IF(orders[[#This Row],[Customer Gender]]= "O", "Other","Unknown")))</f>
        <v>Male</v>
      </c>
    </row>
    <row r="1865" spans="1:16"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s="12" t="str">
        <f>TEXT(orders[[#This Row],[Order Date]],"mmmm")</f>
        <v>March</v>
      </c>
      <c r="P1865" t="str">
        <f>IF(orders[[#This Row],[Customer Gender]]="M","Male", IF(orders[[#This Row],[Customer Gender]]="F","Female", IF(orders[[#This Row],[Customer Gender]]= "O", "Other","Unknown")))</f>
        <v>Female</v>
      </c>
    </row>
    <row r="1866" spans="1:16"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s="12" t="str">
        <f>TEXT(orders[[#This Row],[Order Date]],"mmmm")</f>
        <v>March</v>
      </c>
      <c r="P1866" t="str">
        <f>IF(orders[[#This Row],[Customer Gender]]="M","Male", IF(orders[[#This Row],[Customer Gender]]="F","Female", IF(orders[[#This Row],[Customer Gender]]= "O", "Other","Unknown")))</f>
        <v>Female</v>
      </c>
    </row>
    <row r="1867" spans="1:16"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s="12" t="str">
        <f>TEXT(orders[[#This Row],[Order Date]],"mmmm")</f>
        <v>March</v>
      </c>
      <c r="P1867" t="str">
        <f>IF(orders[[#This Row],[Customer Gender]]="M","Male", IF(orders[[#This Row],[Customer Gender]]="F","Female", IF(orders[[#This Row],[Customer Gender]]= "O", "Other","Unknown")))</f>
        <v>Male</v>
      </c>
    </row>
    <row r="1868" spans="1:16"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s="12" t="str">
        <f>TEXT(orders[[#This Row],[Order Date]],"mmmm")</f>
        <v>March</v>
      </c>
      <c r="P1868" t="str">
        <f>IF(orders[[#This Row],[Customer Gender]]="M","Male", IF(orders[[#This Row],[Customer Gender]]="F","Female", IF(orders[[#This Row],[Customer Gender]]= "O", "Other","Unknown")))</f>
        <v>Other</v>
      </c>
    </row>
    <row r="1869" spans="1:16"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s="12" t="str">
        <f>TEXT(orders[[#This Row],[Order Date]],"mmmm")</f>
        <v>March</v>
      </c>
      <c r="P1869" t="str">
        <f>IF(orders[[#This Row],[Customer Gender]]="M","Male", IF(orders[[#This Row],[Customer Gender]]="F","Female", IF(orders[[#This Row],[Customer Gender]]= "O", "Other","Unknown")))</f>
        <v>Female</v>
      </c>
    </row>
    <row r="1870" spans="1:16"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s="12" t="str">
        <f>TEXT(orders[[#This Row],[Order Date]],"mmmm")</f>
        <v>March</v>
      </c>
      <c r="P1870" t="str">
        <f>IF(orders[[#This Row],[Customer Gender]]="M","Male", IF(orders[[#This Row],[Customer Gender]]="F","Female", IF(orders[[#This Row],[Customer Gender]]= "O", "Other","Unknown")))</f>
        <v>Other</v>
      </c>
    </row>
    <row r="1871" spans="1:16"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s="12" t="str">
        <f>TEXT(orders[[#This Row],[Order Date]],"mmmm")</f>
        <v>March</v>
      </c>
      <c r="P1871" t="str">
        <f>IF(orders[[#This Row],[Customer Gender]]="M","Male", IF(orders[[#This Row],[Customer Gender]]="F","Female", IF(orders[[#This Row],[Customer Gender]]= "O", "Other","Unknown")))</f>
        <v>Female</v>
      </c>
    </row>
    <row r="1872" spans="1:16"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s="12" t="str">
        <f>TEXT(orders[[#This Row],[Order Date]],"mmmm")</f>
        <v>March</v>
      </c>
      <c r="P1872" t="str">
        <f>IF(orders[[#This Row],[Customer Gender]]="M","Male", IF(orders[[#This Row],[Customer Gender]]="F","Female", IF(orders[[#This Row],[Customer Gender]]= "O", "Other","Unknown")))</f>
        <v>Female</v>
      </c>
    </row>
    <row r="1873" spans="1:16"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s="12" t="str">
        <f>TEXT(orders[[#This Row],[Order Date]],"mmmm")</f>
        <v>March</v>
      </c>
      <c r="P1873" t="str">
        <f>IF(orders[[#This Row],[Customer Gender]]="M","Male", IF(orders[[#This Row],[Customer Gender]]="F","Female", IF(orders[[#This Row],[Customer Gender]]= "O", "Other","Unknown")))</f>
        <v>Male</v>
      </c>
    </row>
    <row r="1874" spans="1:16"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s="12" t="str">
        <f>TEXT(orders[[#This Row],[Order Date]],"mmmm")</f>
        <v>March</v>
      </c>
      <c r="P1874" t="str">
        <f>IF(orders[[#This Row],[Customer Gender]]="M","Male", IF(orders[[#This Row],[Customer Gender]]="F","Female", IF(orders[[#This Row],[Customer Gender]]= "O", "Other","Unknown")))</f>
        <v>Female</v>
      </c>
    </row>
    <row r="1875" spans="1:16"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s="12" t="str">
        <f>TEXT(orders[[#This Row],[Order Date]],"mmmm")</f>
        <v>March</v>
      </c>
      <c r="P1875" t="str">
        <f>IF(orders[[#This Row],[Customer Gender]]="M","Male", IF(orders[[#This Row],[Customer Gender]]="F","Female", IF(orders[[#This Row],[Customer Gender]]= "O", "Other","Unknown")))</f>
        <v>Other</v>
      </c>
    </row>
    <row r="1876" spans="1:16"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s="12" t="str">
        <f>TEXT(orders[[#This Row],[Order Date]],"mmmm")</f>
        <v>March</v>
      </c>
      <c r="P1876" t="str">
        <f>IF(orders[[#This Row],[Customer Gender]]="M","Male", IF(orders[[#This Row],[Customer Gender]]="F","Female", IF(orders[[#This Row],[Customer Gender]]= "O", "Other","Unknown")))</f>
        <v>Female</v>
      </c>
    </row>
    <row r="1877" spans="1:16"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s="12" t="str">
        <f>TEXT(orders[[#This Row],[Order Date]],"mmmm")</f>
        <v>March</v>
      </c>
      <c r="P1877" t="str">
        <f>IF(orders[[#This Row],[Customer Gender]]="M","Male", IF(orders[[#This Row],[Customer Gender]]="F","Female", IF(orders[[#This Row],[Customer Gender]]= "O", "Other","Unknown")))</f>
        <v>Female</v>
      </c>
    </row>
    <row r="1878" spans="1:16"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s="12" t="str">
        <f>TEXT(orders[[#This Row],[Order Date]],"mmmm")</f>
        <v>March</v>
      </c>
      <c r="P1878" t="str">
        <f>IF(orders[[#This Row],[Customer Gender]]="M","Male", IF(orders[[#This Row],[Customer Gender]]="F","Female", IF(orders[[#This Row],[Customer Gender]]= "O", "Other","Unknown")))</f>
        <v>Female</v>
      </c>
    </row>
    <row r="1879" spans="1:16"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s="12" t="str">
        <f>TEXT(orders[[#This Row],[Order Date]],"mmmm")</f>
        <v>March</v>
      </c>
      <c r="P1879" t="str">
        <f>IF(orders[[#This Row],[Customer Gender]]="M","Male", IF(orders[[#This Row],[Customer Gender]]="F","Female", IF(orders[[#This Row],[Customer Gender]]= "O", "Other","Unknown")))</f>
        <v>Female</v>
      </c>
    </row>
    <row r="1880" spans="1:16"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s="12" t="str">
        <f>TEXT(orders[[#This Row],[Order Date]],"mmmm")</f>
        <v>March</v>
      </c>
      <c r="P1880" t="str">
        <f>IF(orders[[#This Row],[Customer Gender]]="M","Male", IF(orders[[#This Row],[Customer Gender]]="F","Female", IF(orders[[#This Row],[Customer Gender]]= "O", "Other","Unknown")))</f>
        <v>Female</v>
      </c>
    </row>
    <row r="1881" spans="1:16"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s="12" t="str">
        <f>TEXT(orders[[#This Row],[Order Date]],"mmmm")</f>
        <v>March</v>
      </c>
      <c r="P1881" t="str">
        <f>IF(orders[[#This Row],[Customer Gender]]="M","Male", IF(orders[[#This Row],[Customer Gender]]="F","Female", IF(orders[[#This Row],[Customer Gender]]= "O", "Other","Unknown")))</f>
        <v>Male</v>
      </c>
    </row>
    <row r="1882" spans="1:16"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s="12" t="str">
        <f>TEXT(orders[[#This Row],[Order Date]],"mmmm")</f>
        <v>March</v>
      </c>
      <c r="P1882" t="str">
        <f>IF(orders[[#This Row],[Customer Gender]]="M","Male", IF(orders[[#This Row],[Customer Gender]]="F","Female", IF(orders[[#This Row],[Customer Gender]]= "O", "Other","Unknown")))</f>
        <v>Female</v>
      </c>
    </row>
    <row r="1883" spans="1:16"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s="12" t="str">
        <f>TEXT(orders[[#This Row],[Order Date]],"mmmm")</f>
        <v>March</v>
      </c>
      <c r="P1883" t="str">
        <f>IF(orders[[#This Row],[Customer Gender]]="M","Male", IF(orders[[#This Row],[Customer Gender]]="F","Female", IF(orders[[#This Row],[Customer Gender]]= "O", "Other","Unknown")))</f>
        <v>Female</v>
      </c>
    </row>
    <row r="1884" spans="1:16"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s="12" t="str">
        <f>TEXT(orders[[#This Row],[Order Date]],"mmmm")</f>
        <v>March</v>
      </c>
      <c r="P1884" t="str">
        <f>IF(orders[[#This Row],[Customer Gender]]="M","Male", IF(orders[[#This Row],[Customer Gender]]="F","Female", IF(orders[[#This Row],[Customer Gender]]= "O", "Other","Unknown")))</f>
        <v>Male</v>
      </c>
    </row>
    <row r="1885" spans="1:16"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s="12" t="str">
        <f>TEXT(orders[[#This Row],[Order Date]],"mmmm")</f>
        <v>March</v>
      </c>
      <c r="P1885" t="str">
        <f>IF(orders[[#This Row],[Customer Gender]]="M","Male", IF(orders[[#This Row],[Customer Gender]]="F","Female", IF(orders[[#This Row],[Customer Gender]]= "O", "Other","Unknown")))</f>
        <v>Male</v>
      </c>
    </row>
    <row r="1886" spans="1:16" hidden="1"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s="12" t="str">
        <f>TEXT(orders[[#This Row],[Order Date]],"mmmm")</f>
        <v>March</v>
      </c>
      <c r="P1886" t="str">
        <f>IF(orders[[#This Row],[Customer Gender]]="M","Male", IF(orders[[#This Row],[Customer Gender]]="F","Female", IF(orders[[#This Row],[Customer Gender]]= "O", "Other","Unknown")))</f>
        <v>Unknown</v>
      </c>
    </row>
    <row r="1887" spans="1:16"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s="12" t="str">
        <f>TEXT(orders[[#This Row],[Order Date]],"mmmm")</f>
        <v>March</v>
      </c>
      <c r="P1887" t="str">
        <f>IF(orders[[#This Row],[Customer Gender]]="M","Male", IF(orders[[#This Row],[Customer Gender]]="F","Female", IF(orders[[#This Row],[Customer Gender]]= "O", "Other","Unknown")))</f>
        <v>Male</v>
      </c>
    </row>
    <row r="1888" spans="1:16"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s="12" t="str">
        <f>TEXT(orders[[#This Row],[Order Date]],"mmmm")</f>
        <v>March</v>
      </c>
      <c r="P1888" t="str">
        <f>IF(orders[[#This Row],[Customer Gender]]="M","Male", IF(orders[[#This Row],[Customer Gender]]="F","Female", IF(orders[[#This Row],[Customer Gender]]= "O", "Other","Unknown")))</f>
        <v>Female</v>
      </c>
    </row>
    <row r="1889" spans="1:16"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s="12" t="str">
        <f>TEXT(orders[[#This Row],[Order Date]],"mmmm")</f>
        <v>March</v>
      </c>
      <c r="P1889" t="str">
        <f>IF(orders[[#This Row],[Customer Gender]]="M","Male", IF(orders[[#This Row],[Customer Gender]]="F","Female", IF(orders[[#This Row],[Customer Gender]]= "O", "Other","Unknown")))</f>
        <v>Female</v>
      </c>
    </row>
    <row r="1890" spans="1:16"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s="12" t="str">
        <f>TEXT(orders[[#This Row],[Order Date]],"mmmm")</f>
        <v>March</v>
      </c>
      <c r="P1890" t="str">
        <f>IF(orders[[#This Row],[Customer Gender]]="M","Male", IF(orders[[#This Row],[Customer Gender]]="F","Female", IF(orders[[#This Row],[Customer Gender]]= "O", "Other","Unknown")))</f>
        <v>Female</v>
      </c>
    </row>
    <row r="1891" spans="1:16"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s="12" t="str">
        <f>TEXT(orders[[#This Row],[Order Date]],"mmmm")</f>
        <v>March</v>
      </c>
      <c r="P1891" t="str">
        <f>IF(orders[[#This Row],[Customer Gender]]="M","Male", IF(orders[[#This Row],[Customer Gender]]="F","Female", IF(orders[[#This Row],[Customer Gender]]= "O", "Other","Unknown")))</f>
        <v>Male</v>
      </c>
    </row>
    <row r="1892" spans="1:16"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s="12" t="str">
        <f>TEXT(orders[[#This Row],[Order Date]],"mmmm")</f>
        <v>March</v>
      </c>
      <c r="P1892" t="str">
        <f>IF(orders[[#This Row],[Customer Gender]]="M","Male", IF(orders[[#This Row],[Customer Gender]]="F","Female", IF(orders[[#This Row],[Customer Gender]]= "O", "Other","Unknown")))</f>
        <v>Female</v>
      </c>
    </row>
    <row r="1893" spans="1:16"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s="12" t="str">
        <f>TEXT(orders[[#This Row],[Order Date]],"mmmm")</f>
        <v>March</v>
      </c>
      <c r="P1893" t="str">
        <f>IF(orders[[#This Row],[Customer Gender]]="M","Male", IF(orders[[#This Row],[Customer Gender]]="F","Female", IF(orders[[#This Row],[Customer Gender]]= "O", "Other","Unknown")))</f>
        <v>Male</v>
      </c>
    </row>
    <row r="1894" spans="1:16"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s="12" t="str">
        <f>TEXT(orders[[#This Row],[Order Date]],"mmmm")</f>
        <v>March</v>
      </c>
      <c r="P1894" t="str">
        <f>IF(orders[[#This Row],[Customer Gender]]="M","Male", IF(orders[[#This Row],[Customer Gender]]="F","Female", IF(orders[[#This Row],[Customer Gender]]= "O", "Other","Unknown")))</f>
        <v>Male</v>
      </c>
    </row>
    <row r="1895" spans="1:16"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s="12" t="str">
        <f>TEXT(orders[[#This Row],[Order Date]],"mmmm")</f>
        <v>March</v>
      </c>
      <c r="P1895" t="str">
        <f>IF(orders[[#This Row],[Customer Gender]]="M","Male", IF(orders[[#This Row],[Customer Gender]]="F","Female", IF(orders[[#This Row],[Customer Gender]]= "O", "Other","Unknown")))</f>
        <v>Male</v>
      </c>
    </row>
    <row r="1896" spans="1:16"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s="12" t="str">
        <f>TEXT(orders[[#This Row],[Order Date]],"mmmm")</f>
        <v>March</v>
      </c>
      <c r="P1896" t="str">
        <f>IF(orders[[#This Row],[Customer Gender]]="M","Male", IF(orders[[#This Row],[Customer Gender]]="F","Female", IF(orders[[#This Row],[Customer Gender]]= "O", "Other","Unknown")))</f>
        <v>Female</v>
      </c>
    </row>
    <row r="1897" spans="1:16"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s="12" t="str">
        <f>TEXT(orders[[#This Row],[Order Date]],"mmmm")</f>
        <v>March</v>
      </c>
      <c r="P1897" t="str">
        <f>IF(orders[[#This Row],[Customer Gender]]="M","Male", IF(orders[[#This Row],[Customer Gender]]="F","Female", IF(orders[[#This Row],[Customer Gender]]= "O", "Other","Unknown")))</f>
        <v>Male</v>
      </c>
    </row>
    <row r="1898" spans="1:16"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s="12" t="str">
        <f>TEXT(orders[[#This Row],[Order Date]],"mmmm")</f>
        <v>March</v>
      </c>
      <c r="P1898" t="str">
        <f>IF(orders[[#This Row],[Customer Gender]]="M","Male", IF(orders[[#This Row],[Customer Gender]]="F","Female", IF(orders[[#This Row],[Customer Gender]]= "O", "Other","Unknown")))</f>
        <v>Male</v>
      </c>
    </row>
    <row r="1899" spans="1:16"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s="12" t="str">
        <f>TEXT(orders[[#This Row],[Order Date]],"mmmm")</f>
        <v>March</v>
      </c>
      <c r="P1899" t="str">
        <f>IF(orders[[#This Row],[Customer Gender]]="M","Male", IF(orders[[#This Row],[Customer Gender]]="F","Female", IF(orders[[#This Row],[Customer Gender]]= "O", "Other","Unknown")))</f>
        <v>Male</v>
      </c>
    </row>
    <row r="1900" spans="1:16"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s="12" t="str">
        <f>TEXT(orders[[#This Row],[Order Date]],"mmmm")</f>
        <v>March</v>
      </c>
      <c r="P1900" t="str">
        <f>IF(orders[[#This Row],[Customer Gender]]="M","Male", IF(orders[[#This Row],[Customer Gender]]="F","Female", IF(orders[[#This Row],[Customer Gender]]= "O", "Other","Unknown")))</f>
        <v>Female</v>
      </c>
    </row>
    <row r="1901" spans="1:16"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s="12" t="str">
        <f>TEXT(orders[[#This Row],[Order Date]],"mmmm")</f>
        <v>March</v>
      </c>
      <c r="P1901" t="str">
        <f>IF(orders[[#This Row],[Customer Gender]]="M","Male", IF(orders[[#This Row],[Customer Gender]]="F","Female", IF(orders[[#This Row],[Customer Gender]]= "O", "Other","Unknown")))</f>
        <v>Female</v>
      </c>
    </row>
    <row r="1902" spans="1:16"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s="12" t="str">
        <f>TEXT(orders[[#This Row],[Order Date]],"mmmm")</f>
        <v>March</v>
      </c>
      <c r="P1902" t="str">
        <f>IF(orders[[#This Row],[Customer Gender]]="M","Male", IF(orders[[#This Row],[Customer Gender]]="F","Female", IF(orders[[#This Row],[Customer Gender]]= "O", "Other","Unknown")))</f>
        <v>Female</v>
      </c>
    </row>
    <row r="1903" spans="1:16"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s="12" t="str">
        <f>TEXT(orders[[#This Row],[Order Date]],"mmmm")</f>
        <v>March</v>
      </c>
      <c r="P1903" t="str">
        <f>IF(orders[[#This Row],[Customer Gender]]="M","Male", IF(orders[[#This Row],[Customer Gender]]="F","Female", IF(orders[[#This Row],[Customer Gender]]= "O", "Other","Unknown")))</f>
        <v>Female</v>
      </c>
    </row>
    <row r="1904" spans="1:16"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s="12" t="str">
        <f>TEXT(orders[[#This Row],[Order Date]],"mmmm")</f>
        <v>March</v>
      </c>
      <c r="P1904" t="str">
        <f>IF(orders[[#This Row],[Customer Gender]]="M","Male", IF(orders[[#This Row],[Customer Gender]]="F","Female", IF(orders[[#This Row],[Customer Gender]]= "O", "Other","Unknown")))</f>
        <v>Male</v>
      </c>
    </row>
    <row r="1905" spans="1:16"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s="12" t="str">
        <f>TEXT(orders[[#This Row],[Order Date]],"mmmm")</f>
        <v>March</v>
      </c>
      <c r="P1905" t="str">
        <f>IF(orders[[#This Row],[Customer Gender]]="M","Male", IF(orders[[#This Row],[Customer Gender]]="F","Female", IF(orders[[#This Row],[Customer Gender]]= "O", "Other","Unknown")))</f>
        <v>Female</v>
      </c>
    </row>
    <row r="1906" spans="1:16"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s="12" t="str">
        <f>TEXT(orders[[#This Row],[Order Date]],"mmmm")</f>
        <v>March</v>
      </c>
      <c r="P1906" t="str">
        <f>IF(orders[[#This Row],[Customer Gender]]="M","Male", IF(orders[[#This Row],[Customer Gender]]="F","Female", IF(orders[[#This Row],[Customer Gender]]= "O", "Other","Unknown")))</f>
        <v>Female</v>
      </c>
    </row>
    <row r="1907" spans="1:16"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s="12" t="str">
        <f>TEXT(orders[[#This Row],[Order Date]],"mmmm")</f>
        <v>March</v>
      </c>
      <c r="P1907" t="str">
        <f>IF(orders[[#This Row],[Customer Gender]]="M","Male", IF(orders[[#This Row],[Customer Gender]]="F","Female", IF(orders[[#This Row],[Customer Gender]]= "O", "Other","Unknown")))</f>
        <v>Male</v>
      </c>
    </row>
    <row r="1908" spans="1:16"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s="12" t="str">
        <f>TEXT(orders[[#This Row],[Order Date]],"mmmm")</f>
        <v>March</v>
      </c>
      <c r="P1908" t="str">
        <f>IF(orders[[#This Row],[Customer Gender]]="M","Male", IF(orders[[#This Row],[Customer Gender]]="F","Female", IF(orders[[#This Row],[Customer Gender]]= "O", "Other","Unknown")))</f>
        <v>Male</v>
      </c>
    </row>
    <row r="1909" spans="1:16"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s="12" t="str">
        <f>TEXT(orders[[#This Row],[Order Date]],"mmmm")</f>
        <v>March</v>
      </c>
      <c r="P1909" t="str">
        <f>IF(orders[[#This Row],[Customer Gender]]="M","Male", IF(orders[[#This Row],[Customer Gender]]="F","Female", IF(orders[[#This Row],[Customer Gender]]= "O", "Other","Unknown")))</f>
        <v>Female</v>
      </c>
    </row>
    <row r="1910" spans="1:16" hidden="1"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s="12" t="str">
        <f>TEXT(orders[[#This Row],[Order Date]],"mmmm")</f>
        <v>March</v>
      </c>
      <c r="P1910" t="str">
        <f>IF(orders[[#This Row],[Customer Gender]]="M","Male", IF(orders[[#This Row],[Customer Gender]]="F","Female", IF(orders[[#This Row],[Customer Gender]]= "O", "Other","Unknown")))</f>
        <v>Unknown</v>
      </c>
    </row>
    <row r="1911" spans="1:16"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s="12" t="str">
        <f>TEXT(orders[[#This Row],[Order Date]],"mmmm")</f>
        <v>March</v>
      </c>
      <c r="P1911" t="str">
        <f>IF(orders[[#This Row],[Customer Gender]]="M","Male", IF(orders[[#This Row],[Customer Gender]]="F","Female", IF(orders[[#This Row],[Customer Gender]]= "O", "Other","Unknown")))</f>
        <v>Female</v>
      </c>
    </row>
    <row r="1912" spans="1:16"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s="12" t="str">
        <f>TEXT(orders[[#This Row],[Order Date]],"mmmm")</f>
        <v>March</v>
      </c>
      <c r="P1912" t="str">
        <f>IF(orders[[#This Row],[Customer Gender]]="M","Male", IF(orders[[#This Row],[Customer Gender]]="F","Female", IF(orders[[#This Row],[Customer Gender]]= "O", "Other","Unknown")))</f>
        <v>Female</v>
      </c>
    </row>
    <row r="1913" spans="1:16"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s="12" t="str">
        <f>TEXT(orders[[#This Row],[Order Date]],"mmmm")</f>
        <v>March</v>
      </c>
      <c r="P1913" t="str">
        <f>IF(orders[[#This Row],[Customer Gender]]="M","Male", IF(orders[[#This Row],[Customer Gender]]="F","Female", IF(orders[[#This Row],[Customer Gender]]= "O", "Other","Unknown")))</f>
        <v>Other</v>
      </c>
    </row>
    <row r="1914" spans="1:16"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s="12" t="str">
        <f>TEXT(orders[[#This Row],[Order Date]],"mmmm")</f>
        <v>March</v>
      </c>
      <c r="P1914" t="str">
        <f>IF(orders[[#This Row],[Customer Gender]]="M","Male", IF(orders[[#This Row],[Customer Gender]]="F","Female", IF(orders[[#This Row],[Customer Gender]]= "O", "Other","Unknown")))</f>
        <v>Male</v>
      </c>
    </row>
    <row r="1915" spans="1:16"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s="12" t="str">
        <f>TEXT(orders[[#This Row],[Order Date]],"mmmm")</f>
        <v>March</v>
      </c>
      <c r="P1915" t="str">
        <f>IF(orders[[#This Row],[Customer Gender]]="M","Male", IF(orders[[#This Row],[Customer Gender]]="F","Female", IF(orders[[#This Row],[Customer Gender]]= "O", "Other","Unknown")))</f>
        <v>Female</v>
      </c>
    </row>
    <row r="1916" spans="1:16"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s="12" t="str">
        <f>TEXT(orders[[#This Row],[Order Date]],"mmmm")</f>
        <v>March</v>
      </c>
      <c r="P1916" t="str">
        <f>IF(orders[[#This Row],[Customer Gender]]="M","Male", IF(orders[[#This Row],[Customer Gender]]="F","Female", IF(orders[[#This Row],[Customer Gender]]= "O", "Other","Unknown")))</f>
        <v>Female</v>
      </c>
    </row>
    <row r="1917" spans="1:16"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s="12" t="str">
        <f>TEXT(orders[[#This Row],[Order Date]],"mmmm")</f>
        <v>March</v>
      </c>
      <c r="P1917" t="str">
        <f>IF(orders[[#This Row],[Customer Gender]]="M","Male", IF(orders[[#This Row],[Customer Gender]]="F","Female", IF(orders[[#This Row],[Customer Gender]]= "O", "Other","Unknown")))</f>
        <v>Female</v>
      </c>
    </row>
    <row r="1918" spans="1:16"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s="12" t="str">
        <f>TEXT(orders[[#This Row],[Order Date]],"mmmm")</f>
        <v>March</v>
      </c>
      <c r="P1918" t="str">
        <f>IF(orders[[#This Row],[Customer Gender]]="M","Male", IF(orders[[#This Row],[Customer Gender]]="F","Female", IF(orders[[#This Row],[Customer Gender]]= "O", "Other","Unknown")))</f>
        <v>Other</v>
      </c>
    </row>
    <row r="1919" spans="1:16"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s="12" t="str">
        <f>TEXT(orders[[#This Row],[Order Date]],"mmmm")</f>
        <v>March</v>
      </c>
      <c r="P1919" t="str">
        <f>IF(orders[[#This Row],[Customer Gender]]="M","Male", IF(orders[[#This Row],[Customer Gender]]="F","Female", IF(orders[[#This Row],[Customer Gender]]= "O", "Other","Unknown")))</f>
        <v>Female</v>
      </c>
    </row>
    <row r="1920" spans="1:16"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s="12" t="str">
        <f>TEXT(orders[[#This Row],[Order Date]],"mmmm")</f>
        <v>March</v>
      </c>
      <c r="P1920" t="str">
        <f>IF(orders[[#This Row],[Customer Gender]]="M","Male", IF(orders[[#This Row],[Customer Gender]]="F","Female", IF(orders[[#This Row],[Customer Gender]]= "O", "Other","Unknown")))</f>
        <v>Female</v>
      </c>
    </row>
    <row r="1921" spans="1:16"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s="12" t="str">
        <f>TEXT(orders[[#This Row],[Order Date]],"mmmm")</f>
        <v>March</v>
      </c>
      <c r="P1921" t="str">
        <f>IF(orders[[#This Row],[Customer Gender]]="M","Male", IF(orders[[#This Row],[Customer Gender]]="F","Female", IF(orders[[#This Row],[Customer Gender]]= "O", "Other","Unknown")))</f>
        <v>Male</v>
      </c>
    </row>
    <row r="1922" spans="1:16"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s="12" t="str">
        <f>TEXT(orders[[#This Row],[Order Date]],"mmmm")</f>
        <v>March</v>
      </c>
      <c r="P1922" t="str">
        <f>IF(orders[[#This Row],[Customer Gender]]="M","Male", IF(orders[[#This Row],[Customer Gender]]="F","Female", IF(orders[[#This Row],[Customer Gender]]= "O", "Other","Unknown")))</f>
        <v>Male</v>
      </c>
    </row>
    <row r="1923" spans="1:16"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s="12" t="str">
        <f>TEXT(orders[[#This Row],[Order Date]],"mmmm")</f>
        <v>March</v>
      </c>
      <c r="P1923" t="str">
        <f>IF(orders[[#This Row],[Customer Gender]]="M","Male", IF(orders[[#This Row],[Customer Gender]]="F","Female", IF(orders[[#This Row],[Customer Gender]]= "O", "Other","Unknown")))</f>
        <v>Male</v>
      </c>
    </row>
    <row r="1924" spans="1:16"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s="12" t="str">
        <f>TEXT(orders[[#This Row],[Order Date]],"mmmm")</f>
        <v>March</v>
      </c>
      <c r="P1924" t="str">
        <f>IF(orders[[#This Row],[Customer Gender]]="M","Male", IF(orders[[#This Row],[Customer Gender]]="F","Female", IF(orders[[#This Row],[Customer Gender]]= "O", "Other","Unknown")))</f>
        <v>Male</v>
      </c>
    </row>
    <row r="1925" spans="1:16"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s="12" t="str">
        <f>TEXT(orders[[#This Row],[Order Date]],"mmmm")</f>
        <v>March</v>
      </c>
      <c r="P1925" t="str">
        <f>IF(orders[[#This Row],[Customer Gender]]="M","Male", IF(orders[[#This Row],[Customer Gender]]="F","Female", IF(orders[[#This Row],[Customer Gender]]= "O", "Other","Unknown")))</f>
        <v>Female</v>
      </c>
    </row>
    <row r="1926" spans="1:16"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s="12" t="str">
        <f>TEXT(orders[[#This Row],[Order Date]],"mmmm")</f>
        <v>March</v>
      </c>
      <c r="P1926" t="str">
        <f>IF(orders[[#This Row],[Customer Gender]]="M","Male", IF(orders[[#This Row],[Customer Gender]]="F","Female", IF(orders[[#This Row],[Customer Gender]]= "O", "Other","Unknown")))</f>
        <v>Female</v>
      </c>
    </row>
    <row r="1927" spans="1:16"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s="12" t="str">
        <f>TEXT(orders[[#This Row],[Order Date]],"mmmm")</f>
        <v>March</v>
      </c>
      <c r="P1927" t="str">
        <f>IF(orders[[#This Row],[Customer Gender]]="M","Male", IF(orders[[#This Row],[Customer Gender]]="F","Female", IF(orders[[#This Row],[Customer Gender]]= "O", "Other","Unknown")))</f>
        <v>Female</v>
      </c>
    </row>
    <row r="1928" spans="1:16" hidden="1"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s="12" t="str">
        <f>TEXT(orders[[#This Row],[Order Date]],"mmmm")</f>
        <v>March</v>
      </c>
      <c r="P1928" t="str">
        <f>IF(orders[[#This Row],[Customer Gender]]="M","Male", IF(orders[[#This Row],[Customer Gender]]="F","Female", IF(orders[[#This Row],[Customer Gender]]= "O", "Other","Unknown")))</f>
        <v>Unknown</v>
      </c>
    </row>
    <row r="1929" spans="1:16"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s="12" t="str">
        <f>TEXT(orders[[#This Row],[Order Date]],"mmmm")</f>
        <v>March</v>
      </c>
      <c r="P1929" t="str">
        <f>IF(orders[[#This Row],[Customer Gender]]="M","Male", IF(orders[[#This Row],[Customer Gender]]="F","Female", IF(orders[[#This Row],[Customer Gender]]= "O", "Other","Unknown")))</f>
        <v>Other</v>
      </c>
    </row>
    <row r="1930" spans="1:16"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s="12" t="str">
        <f>TEXT(orders[[#This Row],[Order Date]],"mmmm")</f>
        <v>March</v>
      </c>
      <c r="P1930" t="str">
        <f>IF(orders[[#This Row],[Customer Gender]]="M","Male", IF(orders[[#This Row],[Customer Gender]]="F","Female", IF(orders[[#This Row],[Customer Gender]]= "O", "Other","Unknown")))</f>
        <v>Female</v>
      </c>
    </row>
    <row r="1931" spans="1:16"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s="12" t="str">
        <f>TEXT(orders[[#This Row],[Order Date]],"mmmm")</f>
        <v>March</v>
      </c>
      <c r="P1931" t="str">
        <f>IF(orders[[#This Row],[Customer Gender]]="M","Male", IF(orders[[#This Row],[Customer Gender]]="F","Female", IF(orders[[#This Row],[Customer Gender]]= "O", "Other","Unknown")))</f>
        <v>Male</v>
      </c>
    </row>
    <row r="1932" spans="1:16"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s="12" t="str">
        <f>TEXT(orders[[#This Row],[Order Date]],"mmmm")</f>
        <v>March</v>
      </c>
      <c r="P1932" t="str">
        <f>IF(orders[[#This Row],[Customer Gender]]="M","Male", IF(orders[[#This Row],[Customer Gender]]="F","Female", IF(orders[[#This Row],[Customer Gender]]= "O", "Other","Unknown")))</f>
        <v>Male</v>
      </c>
    </row>
    <row r="1933" spans="1:16"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s="12" t="str">
        <f>TEXT(orders[[#This Row],[Order Date]],"mmmm")</f>
        <v>March</v>
      </c>
      <c r="P1933" t="str">
        <f>IF(orders[[#This Row],[Customer Gender]]="M","Male", IF(orders[[#This Row],[Customer Gender]]="F","Female", IF(orders[[#This Row],[Customer Gender]]= "O", "Other","Unknown")))</f>
        <v>Female</v>
      </c>
    </row>
    <row r="1934" spans="1:16"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s="12" t="str">
        <f>TEXT(orders[[#This Row],[Order Date]],"mmmm")</f>
        <v>March</v>
      </c>
      <c r="P1934" t="str">
        <f>IF(orders[[#This Row],[Customer Gender]]="M","Male", IF(orders[[#This Row],[Customer Gender]]="F","Female", IF(orders[[#This Row],[Customer Gender]]= "O", "Other","Unknown")))</f>
        <v>Female</v>
      </c>
    </row>
    <row r="1935" spans="1:16"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s="12" t="str">
        <f>TEXT(orders[[#This Row],[Order Date]],"mmmm")</f>
        <v>March</v>
      </c>
      <c r="P1935" t="str">
        <f>IF(orders[[#This Row],[Customer Gender]]="M","Male", IF(orders[[#This Row],[Customer Gender]]="F","Female", IF(orders[[#This Row],[Customer Gender]]= "O", "Other","Unknown")))</f>
        <v>Male</v>
      </c>
    </row>
    <row r="1936" spans="1:16"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s="12" t="str">
        <f>TEXT(orders[[#This Row],[Order Date]],"mmmm")</f>
        <v>March</v>
      </c>
      <c r="P1936" t="str">
        <f>IF(orders[[#This Row],[Customer Gender]]="M","Male", IF(orders[[#This Row],[Customer Gender]]="F","Female", IF(orders[[#This Row],[Customer Gender]]= "O", "Other","Unknown")))</f>
        <v>Female</v>
      </c>
    </row>
    <row r="1937" spans="1:16"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s="12" t="str">
        <f>TEXT(orders[[#This Row],[Order Date]],"mmmm")</f>
        <v>March</v>
      </c>
      <c r="P1937" t="str">
        <f>IF(orders[[#This Row],[Customer Gender]]="M","Male", IF(orders[[#This Row],[Customer Gender]]="F","Female", IF(orders[[#This Row],[Customer Gender]]= "O", "Other","Unknown")))</f>
        <v>Male</v>
      </c>
    </row>
    <row r="1938" spans="1:16"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s="12" t="str">
        <f>TEXT(orders[[#This Row],[Order Date]],"mmmm")</f>
        <v>March</v>
      </c>
      <c r="P1938" t="str">
        <f>IF(orders[[#This Row],[Customer Gender]]="M","Male", IF(orders[[#This Row],[Customer Gender]]="F","Female", IF(orders[[#This Row],[Customer Gender]]= "O", "Other","Unknown")))</f>
        <v>Female</v>
      </c>
    </row>
    <row r="1939" spans="1:16"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s="12" t="str">
        <f>TEXT(orders[[#This Row],[Order Date]],"mmmm")</f>
        <v>March</v>
      </c>
      <c r="P1939" t="str">
        <f>IF(orders[[#This Row],[Customer Gender]]="M","Male", IF(orders[[#This Row],[Customer Gender]]="F","Female", IF(orders[[#This Row],[Customer Gender]]= "O", "Other","Unknown")))</f>
        <v>Female</v>
      </c>
    </row>
    <row r="1940" spans="1:16"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s="12" t="str">
        <f>TEXT(orders[[#This Row],[Order Date]],"mmmm")</f>
        <v>March</v>
      </c>
      <c r="P1940" t="str">
        <f>IF(orders[[#This Row],[Customer Gender]]="M","Male", IF(orders[[#This Row],[Customer Gender]]="F","Female", IF(orders[[#This Row],[Customer Gender]]= "O", "Other","Unknown")))</f>
        <v>Male</v>
      </c>
    </row>
    <row r="1941" spans="1:16"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s="12" t="str">
        <f>TEXT(orders[[#This Row],[Order Date]],"mmmm")</f>
        <v>March</v>
      </c>
      <c r="P1941" t="str">
        <f>IF(orders[[#This Row],[Customer Gender]]="M","Male", IF(orders[[#This Row],[Customer Gender]]="F","Female", IF(orders[[#This Row],[Customer Gender]]= "O", "Other","Unknown")))</f>
        <v>Male</v>
      </c>
    </row>
    <row r="1942" spans="1:16"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s="12" t="str">
        <f>TEXT(orders[[#This Row],[Order Date]],"mmmm")</f>
        <v>March</v>
      </c>
      <c r="P1942" t="str">
        <f>IF(orders[[#This Row],[Customer Gender]]="M","Male", IF(orders[[#This Row],[Customer Gender]]="F","Female", IF(orders[[#This Row],[Customer Gender]]= "O", "Other","Unknown")))</f>
        <v>Male</v>
      </c>
    </row>
    <row r="1943" spans="1:16"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s="12" t="str">
        <f>TEXT(orders[[#This Row],[Order Date]],"mmmm")</f>
        <v>March</v>
      </c>
      <c r="P1943" t="str">
        <f>IF(orders[[#This Row],[Customer Gender]]="M","Male", IF(orders[[#This Row],[Customer Gender]]="F","Female", IF(orders[[#This Row],[Customer Gender]]= "O", "Other","Unknown")))</f>
        <v>Female</v>
      </c>
    </row>
    <row r="1944" spans="1:16"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s="12" t="str">
        <f>TEXT(orders[[#This Row],[Order Date]],"mmmm")</f>
        <v>March</v>
      </c>
      <c r="P1944" t="str">
        <f>IF(orders[[#This Row],[Customer Gender]]="M","Male", IF(orders[[#This Row],[Customer Gender]]="F","Female", IF(orders[[#This Row],[Customer Gender]]= "O", "Other","Unknown")))</f>
        <v>Male</v>
      </c>
    </row>
    <row r="1945" spans="1:16"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s="12" t="str">
        <f>TEXT(orders[[#This Row],[Order Date]],"mmmm")</f>
        <v>March</v>
      </c>
      <c r="P1945" t="str">
        <f>IF(orders[[#This Row],[Customer Gender]]="M","Male", IF(orders[[#This Row],[Customer Gender]]="F","Female", IF(orders[[#This Row],[Customer Gender]]= "O", "Other","Unknown")))</f>
        <v>Male</v>
      </c>
    </row>
    <row r="1946" spans="1:16"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s="12" t="str">
        <f>TEXT(orders[[#This Row],[Order Date]],"mmmm")</f>
        <v>March</v>
      </c>
      <c r="P1946" t="str">
        <f>IF(orders[[#This Row],[Customer Gender]]="M","Male", IF(orders[[#This Row],[Customer Gender]]="F","Female", IF(orders[[#This Row],[Customer Gender]]= "O", "Other","Unknown")))</f>
        <v>Male</v>
      </c>
    </row>
    <row r="1947" spans="1:16"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s="12" t="str">
        <f>TEXT(orders[[#This Row],[Order Date]],"mmmm")</f>
        <v>March</v>
      </c>
      <c r="P1947" t="str">
        <f>IF(orders[[#This Row],[Customer Gender]]="M","Male", IF(orders[[#This Row],[Customer Gender]]="F","Female", IF(orders[[#This Row],[Customer Gender]]= "O", "Other","Unknown")))</f>
        <v>Male</v>
      </c>
    </row>
    <row r="1948" spans="1:16" hidden="1"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s="12" t="str">
        <f>TEXT(orders[[#This Row],[Order Date]],"mmmm")</f>
        <v>March</v>
      </c>
      <c r="P1948" t="str">
        <f>IF(orders[[#This Row],[Customer Gender]]="M","Male", IF(orders[[#This Row],[Customer Gender]]="F","Female", IF(orders[[#This Row],[Customer Gender]]= "O", "Other","Unknown")))</f>
        <v>Unknown</v>
      </c>
    </row>
    <row r="1949" spans="1:16"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s="12" t="str">
        <f>TEXT(orders[[#This Row],[Order Date]],"mmmm")</f>
        <v>March</v>
      </c>
      <c r="P1949" t="str">
        <f>IF(orders[[#This Row],[Customer Gender]]="M","Male", IF(orders[[#This Row],[Customer Gender]]="F","Female", IF(orders[[#This Row],[Customer Gender]]= "O", "Other","Unknown")))</f>
        <v>Male</v>
      </c>
    </row>
    <row r="1950" spans="1:16"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s="12" t="str">
        <f>TEXT(orders[[#This Row],[Order Date]],"mmmm")</f>
        <v>March</v>
      </c>
      <c r="P1950" t="str">
        <f>IF(orders[[#This Row],[Customer Gender]]="M","Male", IF(orders[[#This Row],[Customer Gender]]="F","Female", IF(orders[[#This Row],[Customer Gender]]= "O", "Other","Unknown")))</f>
        <v>Female</v>
      </c>
    </row>
    <row r="1951" spans="1:16"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s="12" t="str">
        <f>TEXT(orders[[#This Row],[Order Date]],"mmmm")</f>
        <v>March</v>
      </c>
      <c r="P1951" t="str">
        <f>IF(orders[[#This Row],[Customer Gender]]="M","Male", IF(orders[[#This Row],[Customer Gender]]="F","Female", IF(orders[[#This Row],[Customer Gender]]= "O", "Other","Unknown")))</f>
        <v>Female</v>
      </c>
    </row>
    <row r="1952" spans="1:16"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s="12" t="str">
        <f>TEXT(orders[[#This Row],[Order Date]],"mmmm")</f>
        <v>March</v>
      </c>
      <c r="P1952" t="str">
        <f>IF(orders[[#This Row],[Customer Gender]]="M","Male", IF(orders[[#This Row],[Customer Gender]]="F","Female", IF(orders[[#This Row],[Customer Gender]]= "O", "Other","Unknown")))</f>
        <v>Male</v>
      </c>
    </row>
    <row r="1953" spans="1:16"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s="12" t="str">
        <f>TEXT(orders[[#This Row],[Order Date]],"mmmm")</f>
        <v>March</v>
      </c>
      <c r="P1953" t="str">
        <f>IF(orders[[#This Row],[Customer Gender]]="M","Male", IF(orders[[#This Row],[Customer Gender]]="F","Female", IF(orders[[#This Row],[Customer Gender]]= "O", "Other","Unknown")))</f>
        <v>Female</v>
      </c>
    </row>
    <row r="1954" spans="1:16"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s="12" t="str">
        <f>TEXT(orders[[#This Row],[Order Date]],"mmmm")</f>
        <v>March</v>
      </c>
      <c r="P1954" t="str">
        <f>IF(orders[[#This Row],[Customer Gender]]="M","Male", IF(orders[[#This Row],[Customer Gender]]="F","Female", IF(orders[[#This Row],[Customer Gender]]= "O", "Other","Unknown")))</f>
        <v>Male</v>
      </c>
    </row>
    <row r="1955" spans="1:16"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s="12" t="str">
        <f>TEXT(orders[[#This Row],[Order Date]],"mmmm")</f>
        <v>March</v>
      </c>
      <c r="P1955" t="str">
        <f>IF(orders[[#This Row],[Customer Gender]]="M","Male", IF(orders[[#This Row],[Customer Gender]]="F","Female", IF(orders[[#This Row],[Customer Gender]]= "O", "Other","Unknown")))</f>
        <v>Male</v>
      </c>
    </row>
    <row r="1956" spans="1:16"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s="12" t="str">
        <f>TEXT(orders[[#This Row],[Order Date]],"mmmm")</f>
        <v>March</v>
      </c>
      <c r="P1956" t="str">
        <f>IF(orders[[#This Row],[Customer Gender]]="M","Male", IF(orders[[#This Row],[Customer Gender]]="F","Female", IF(orders[[#This Row],[Customer Gender]]= "O", "Other","Unknown")))</f>
        <v>Female</v>
      </c>
    </row>
    <row r="1957" spans="1:16"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s="12" t="str">
        <f>TEXT(orders[[#This Row],[Order Date]],"mmmm")</f>
        <v>March</v>
      </c>
      <c r="P1957" t="str">
        <f>IF(orders[[#This Row],[Customer Gender]]="M","Male", IF(orders[[#This Row],[Customer Gender]]="F","Female", IF(orders[[#This Row],[Customer Gender]]= "O", "Other","Unknown")))</f>
        <v>Female</v>
      </c>
    </row>
    <row r="1958" spans="1:16"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s="12" t="str">
        <f>TEXT(orders[[#This Row],[Order Date]],"mmmm")</f>
        <v>March</v>
      </c>
      <c r="P1958" t="str">
        <f>IF(orders[[#This Row],[Customer Gender]]="M","Male", IF(orders[[#This Row],[Customer Gender]]="F","Female", IF(orders[[#This Row],[Customer Gender]]= "O", "Other","Unknown")))</f>
        <v>Female</v>
      </c>
    </row>
    <row r="1959" spans="1:16"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s="12" t="str">
        <f>TEXT(orders[[#This Row],[Order Date]],"mmmm")</f>
        <v>March</v>
      </c>
      <c r="P1959" t="str">
        <f>IF(orders[[#This Row],[Customer Gender]]="M","Male", IF(orders[[#This Row],[Customer Gender]]="F","Female", IF(orders[[#This Row],[Customer Gender]]= "O", "Other","Unknown")))</f>
        <v>Male</v>
      </c>
    </row>
    <row r="1960" spans="1:16"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s="12" t="str">
        <f>TEXT(orders[[#This Row],[Order Date]],"mmmm")</f>
        <v>March</v>
      </c>
      <c r="P1960" t="str">
        <f>IF(orders[[#This Row],[Customer Gender]]="M","Male", IF(orders[[#This Row],[Customer Gender]]="F","Female", IF(orders[[#This Row],[Customer Gender]]= "O", "Other","Unknown")))</f>
        <v>Female</v>
      </c>
    </row>
    <row r="1961" spans="1:16"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s="12" t="str">
        <f>TEXT(orders[[#This Row],[Order Date]],"mmmm")</f>
        <v>March</v>
      </c>
      <c r="P1961" t="str">
        <f>IF(orders[[#This Row],[Customer Gender]]="M","Male", IF(orders[[#This Row],[Customer Gender]]="F","Female", IF(orders[[#This Row],[Customer Gender]]= "O", "Other","Unknown")))</f>
        <v>Male</v>
      </c>
    </row>
    <row r="1962" spans="1:16"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s="12" t="str">
        <f>TEXT(orders[[#This Row],[Order Date]],"mmmm")</f>
        <v>March</v>
      </c>
      <c r="P1962" t="str">
        <f>IF(orders[[#This Row],[Customer Gender]]="M","Male", IF(orders[[#This Row],[Customer Gender]]="F","Female", IF(orders[[#This Row],[Customer Gender]]= "O", "Other","Unknown")))</f>
        <v>Male</v>
      </c>
    </row>
    <row r="1963" spans="1:16"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s="12" t="str">
        <f>TEXT(orders[[#This Row],[Order Date]],"mmmm")</f>
        <v>March</v>
      </c>
      <c r="P1963" t="str">
        <f>IF(orders[[#This Row],[Customer Gender]]="M","Male", IF(orders[[#This Row],[Customer Gender]]="F","Female", IF(orders[[#This Row],[Customer Gender]]= "O", "Other","Unknown")))</f>
        <v>Male</v>
      </c>
    </row>
    <row r="1964" spans="1:16"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s="12" t="str">
        <f>TEXT(orders[[#This Row],[Order Date]],"mmmm")</f>
        <v>March</v>
      </c>
      <c r="P1964" t="str">
        <f>IF(orders[[#This Row],[Customer Gender]]="M","Male", IF(orders[[#This Row],[Customer Gender]]="F","Female", IF(orders[[#This Row],[Customer Gender]]= "O", "Other","Unknown")))</f>
        <v>Female</v>
      </c>
    </row>
    <row r="1965" spans="1:16"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s="12" t="str">
        <f>TEXT(orders[[#This Row],[Order Date]],"mmmm")</f>
        <v>March</v>
      </c>
      <c r="P1965" t="str">
        <f>IF(orders[[#This Row],[Customer Gender]]="M","Male", IF(orders[[#This Row],[Customer Gender]]="F","Female", IF(orders[[#This Row],[Customer Gender]]= "O", "Other","Unknown")))</f>
        <v>Male</v>
      </c>
    </row>
    <row r="1966" spans="1:16"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s="12" t="str">
        <f>TEXT(orders[[#This Row],[Order Date]],"mmmm")</f>
        <v>March</v>
      </c>
      <c r="P1966" t="str">
        <f>IF(orders[[#This Row],[Customer Gender]]="M","Male", IF(orders[[#This Row],[Customer Gender]]="F","Female", IF(orders[[#This Row],[Customer Gender]]= "O", "Other","Unknown")))</f>
        <v>Female</v>
      </c>
    </row>
    <row r="1967" spans="1:16"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s="12" t="str">
        <f>TEXT(orders[[#This Row],[Order Date]],"mmmm")</f>
        <v>March</v>
      </c>
      <c r="P1967" t="str">
        <f>IF(orders[[#This Row],[Customer Gender]]="M","Male", IF(orders[[#This Row],[Customer Gender]]="F","Female", IF(orders[[#This Row],[Customer Gender]]= "O", "Other","Unknown")))</f>
        <v>Male</v>
      </c>
    </row>
    <row r="1968" spans="1:16"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s="12" t="str">
        <f>TEXT(orders[[#This Row],[Order Date]],"mmmm")</f>
        <v>March</v>
      </c>
      <c r="P1968" t="str">
        <f>IF(orders[[#This Row],[Customer Gender]]="M","Male", IF(orders[[#This Row],[Customer Gender]]="F","Female", IF(orders[[#This Row],[Customer Gender]]= "O", "Other","Unknown")))</f>
        <v>Male</v>
      </c>
    </row>
    <row r="1969" spans="1:16"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s="12" t="str">
        <f>TEXT(orders[[#This Row],[Order Date]],"mmmm")</f>
        <v>March</v>
      </c>
      <c r="P1969" t="str">
        <f>IF(orders[[#This Row],[Customer Gender]]="M","Male", IF(orders[[#This Row],[Customer Gender]]="F","Female", IF(orders[[#This Row],[Customer Gender]]= "O", "Other","Unknown")))</f>
        <v>Female</v>
      </c>
    </row>
    <row r="1970" spans="1:16"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s="12" t="str">
        <f>TEXT(orders[[#This Row],[Order Date]],"mmmm")</f>
        <v>March</v>
      </c>
      <c r="P1970" t="str">
        <f>IF(orders[[#This Row],[Customer Gender]]="M","Male", IF(orders[[#This Row],[Customer Gender]]="F","Female", IF(orders[[#This Row],[Customer Gender]]= "O", "Other","Unknown")))</f>
        <v>Other</v>
      </c>
    </row>
    <row r="1971" spans="1:16" hidden="1"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s="12" t="str">
        <f>TEXT(orders[[#This Row],[Order Date]],"mmmm")</f>
        <v>March</v>
      </c>
      <c r="P1971" t="str">
        <f>IF(orders[[#This Row],[Customer Gender]]="M","Male", IF(orders[[#This Row],[Customer Gender]]="F","Female", IF(orders[[#This Row],[Customer Gender]]= "O", "Other","Unknown")))</f>
        <v>Unknown</v>
      </c>
    </row>
    <row r="1972" spans="1:16"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s="12" t="str">
        <f>TEXT(orders[[#This Row],[Order Date]],"mmmm")</f>
        <v>March</v>
      </c>
      <c r="P1972" t="str">
        <f>IF(orders[[#This Row],[Customer Gender]]="M","Male", IF(orders[[#This Row],[Customer Gender]]="F","Female", IF(orders[[#This Row],[Customer Gender]]= "O", "Other","Unknown")))</f>
        <v>Female</v>
      </c>
    </row>
    <row r="1973" spans="1:16"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s="12" t="str">
        <f>TEXT(orders[[#This Row],[Order Date]],"mmmm")</f>
        <v>March</v>
      </c>
      <c r="P1973" t="str">
        <f>IF(orders[[#This Row],[Customer Gender]]="M","Male", IF(orders[[#This Row],[Customer Gender]]="F","Female", IF(orders[[#This Row],[Customer Gender]]= "O", "Other","Unknown")))</f>
        <v>Male</v>
      </c>
    </row>
    <row r="1974" spans="1:16"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s="12" t="str">
        <f>TEXT(orders[[#This Row],[Order Date]],"mmmm")</f>
        <v>March</v>
      </c>
      <c r="P1974" t="str">
        <f>IF(orders[[#This Row],[Customer Gender]]="M","Male", IF(orders[[#This Row],[Customer Gender]]="F","Female", IF(orders[[#This Row],[Customer Gender]]= "O", "Other","Unknown")))</f>
        <v>Male</v>
      </c>
    </row>
    <row r="1975" spans="1:16"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s="12" t="str">
        <f>TEXT(orders[[#This Row],[Order Date]],"mmmm")</f>
        <v>March</v>
      </c>
      <c r="P1975" t="str">
        <f>IF(orders[[#This Row],[Customer Gender]]="M","Male", IF(orders[[#This Row],[Customer Gender]]="F","Female", IF(orders[[#This Row],[Customer Gender]]= "O", "Other","Unknown")))</f>
        <v>Female</v>
      </c>
    </row>
    <row r="1976" spans="1:16"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s="12" t="str">
        <f>TEXT(orders[[#This Row],[Order Date]],"mmmm")</f>
        <v>March</v>
      </c>
      <c r="P1976" t="str">
        <f>IF(orders[[#This Row],[Customer Gender]]="M","Male", IF(orders[[#This Row],[Customer Gender]]="F","Female", IF(orders[[#This Row],[Customer Gender]]= "O", "Other","Unknown")))</f>
        <v>Female</v>
      </c>
    </row>
    <row r="1977" spans="1:16"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s="12" t="str">
        <f>TEXT(orders[[#This Row],[Order Date]],"mmmm")</f>
        <v>March</v>
      </c>
      <c r="P1977" t="str">
        <f>IF(orders[[#This Row],[Customer Gender]]="M","Male", IF(orders[[#This Row],[Customer Gender]]="F","Female", IF(orders[[#This Row],[Customer Gender]]= "O", "Other","Unknown")))</f>
        <v>Male</v>
      </c>
    </row>
    <row r="1978" spans="1:16"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s="12" t="str">
        <f>TEXT(orders[[#This Row],[Order Date]],"mmmm")</f>
        <v>March</v>
      </c>
      <c r="P1978" t="str">
        <f>IF(orders[[#This Row],[Customer Gender]]="M","Male", IF(orders[[#This Row],[Customer Gender]]="F","Female", IF(orders[[#This Row],[Customer Gender]]= "O", "Other","Unknown")))</f>
        <v>Male</v>
      </c>
    </row>
    <row r="1979" spans="1:16"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s="12" t="str">
        <f>TEXT(orders[[#This Row],[Order Date]],"mmmm")</f>
        <v>March</v>
      </c>
      <c r="P1979" t="str">
        <f>IF(orders[[#This Row],[Customer Gender]]="M","Male", IF(orders[[#This Row],[Customer Gender]]="F","Female", IF(orders[[#This Row],[Customer Gender]]= "O", "Other","Unknown")))</f>
        <v>Other</v>
      </c>
    </row>
    <row r="1980" spans="1:16"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s="12" t="str">
        <f>TEXT(orders[[#This Row],[Order Date]],"mmmm")</f>
        <v>March</v>
      </c>
      <c r="P1980" t="str">
        <f>IF(orders[[#This Row],[Customer Gender]]="M","Male", IF(orders[[#This Row],[Customer Gender]]="F","Female", IF(orders[[#This Row],[Customer Gender]]= "O", "Other","Unknown")))</f>
        <v>Male</v>
      </c>
    </row>
    <row r="1981" spans="1:16"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s="12" t="str">
        <f>TEXT(orders[[#This Row],[Order Date]],"mmmm")</f>
        <v>March</v>
      </c>
      <c r="P1981" t="str">
        <f>IF(orders[[#This Row],[Customer Gender]]="M","Male", IF(orders[[#This Row],[Customer Gender]]="F","Female", IF(orders[[#This Row],[Customer Gender]]= "O", "Other","Unknown")))</f>
        <v>Male</v>
      </c>
    </row>
    <row r="1982" spans="1:16"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s="12" t="str">
        <f>TEXT(orders[[#This Row],[Order Date]],"mmmm")</f>
        <v>March</v>
      </c>
      <c r="P1982" t="str">
        <f>IF(orders[[#This Row],[Customer Gender]]="M","Male", IF(orders[[#This Row],[Customer Gender]]="F","Female", IF(orders[[#This Row],[Customer Gender]]= "O", "Other","Unknown")))</f>
        <v>Female</v>
      </c>
    </row>
    <row r="1983" spans="1:16"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s="12" t="str">
        <f>TEXT(orders[[#This Row],[Order Date]],"mmmm")</f>
        <v>March</v>
      </c>
      <c r="P1983" t="str">
        <f>IF(orders[[#This Row],[Customer Gender]]="M","Male", IF(orders[[#This Row],[Customer Gender]]="F","Female", IF(orders[[#This Row],[Customer Gender]]= "O", "Other","Unknown")))</f>
        <v>Female</v>
      </c>
    </row>
    <row r="1984" spans="1:16"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s="12" t="str">
        <f>TEXT(orders[[#This Row],[Order Date]],"mmmm")</f>
        <v>March</v>
      </c>
      <c r="P1984" t="str">
        <f>IF(orders[[#This Row],[Customer Gender]]="M","Male", IF(orders[[#This Row],[Customer Gender]]="F","Female", IF(orders[[#This Row],[Customer Gender]]= "O", "Other","Unknown")))</f>
        <v>Male</v>
      </c>
    </row>
    <row r="1985" spans="1:16"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s="12" t="str">
        <f>TEXT(orders[[#This Row],[Order Date]],"mmmm")</f>
        <v>March</v>
      </c>
      <c r="P1985" t="str">
        <f>IF(orders[[#This Row],[Customer Gender]]="M","Male", IF(orders[[#This Row],[Customer Gender]]="F","Female", IF(orders[[#This Row],[Customer Gender]]= "O", "Other","Unknown")))</f>
        <v>Female</v>
      </c>
    </row>
    <row r="1986" spans="1:16"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s="12" t="str">
        <f>TEXT(orders[[#This Row],[Order Date]],"mmmm")</f>
        <v>March</v>
      </c>
      <c r="P1986" t="str">
        <f>IF(orders[[#This Row],[Customer Gender]]="M","Male", IF(orders[[#This Row],[Customer Gender]]="F","Female", IF(orders[[#This Row],[Customer Gender]]= "O", "Other","Unknown")))</f>
        <v>Female</v>
      </c>
    </row>
    <row r="1987" spans="1:16"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s="12" t="str">
        <f>TEXT(orders[[#This Row],[Order Date]],"mmmm")</f>
        <v>March</v>
      </c>
      <c r="P1987" t="str">
        <f>IF(orders[[#This Row],[Customer Gender]]="M","Male", IF(orders[[#This Row],[Customer Gender]]="F","Female", IF(orders[[#This Row],[Customer Gender]]= "O", "Other","Unknown")))</f>
        <v>Female</v>
      </c>
    </row>
    <row r="1988" spans="1:16"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s="12" t="str">
        <f>TEXT(orders[[#This Row],[Order Date]],"mmmm")</f>
        <v>March</v>
      </c>
      <c r="P1988" t="str">
        <f>IF(orders[[#This Row],[Customer Gender]]="M","Male", IF(orders[[#This Row],[Customer Gender]]="F","Female", IF(orders[[#This Row],[Customer Gender]]= "O", "Other","Unknown")))</f>
        <v>Male</v>
      </c>
    </row>
    <row r="1989" spans="1:16" hidden="1"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s="12" t="str">
        <f>TEXT(orders[[#This Row],[Order Date]],"mmmm")</f>
        <v>March</v>
      </c>
      <c r="P1989" t="str">
        <f>IF(orders[[#This Row],[Customer Gender]]="M","Male", IF(orders[[#This Row],[Customer Gender]]="F","Female", IF(orders[[#This Row],[Customer Gender]]= "O", "Other","Unknown")))</f>
        <v>Unknown</v>
      </c>
    </row>
    <row r="1990" spans="1:16"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s="12" t="str">
        <f>TEXT(orders[[#This Row],[Order Date]],"mmmm")</f>
        <v>March</v>
      </c>
      <c r="P1990" t="str">
        <f>IF(orders[[#This Row],[Customer Gender]]="M","Male", IF(orders[[#This Row],[Customer Gender]]="F","Female", IF(orders[[#This Row],[Customer Gender]]= "O", "Other","Unknown")))</f>
        <v>Female</v>
      </c>
    </row>
    <row r="1991" spans="1:16" hidden="1"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s="12" t="str">
        <f>TEXT(orders[[#This Row],[Order Date]],"mmmm")</f>
        <v>March</v>
      </c>
      <c r="P1991" t="str">
        <f>IF(orders[[#This Row],[Customer Gender]]="M","Male", IF(orders[[#This Row],[Customer Gender]]="F","Female", IF(orders[[#This Row],[Customer Gender]]= "O", "Other","Unknown")))</f>
        <v>Unknown</v>
      </c>
    </row>
    <row r="1992" spans="1:16" hidden="1"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s="12" t="str">
        <f>TEXT(orders[[#This Row],[Order Date]],"mmmm")</f>
        <v>March</v>
      </c>
      <c r="P1992" t="str">
        <f>IF(orders[[#This Row],[Customer Gender]]="M","Male", IF(orders[[#This Row],[Customer Gender]]="F","Female", IF(orders[[#This Row],[Customer Gender]]= "O", "Other","Unknown")))</f>
        <v>Unknown</v>
      </c>
    </row>
    <row r="1993" spans="1:16"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s="12" t="str">
        <f>TEXT(orders[[#This Row],[Order Date]],"mmmm")</f>
        <v>March</v>
      </c>
      <c r="P1993" t="str">
        <f>IF(orders[[#This Row],[Customer Gender]]="M","Male", IF(orders[[#This Row],[Customer Gender]]="F","Female", IF(orders[[#This Row],[Customer Gender]]= "O", "Other","Unknown")))</f>
        <v>Female</v>
      </c>
    </row>
    <row r="1994" spans="1:16"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s="12" t="str">
        <f>TEXT(orders[[#This Row],[Order Date]],"mmmm")</f>
        <v>March</v>
      </c>
      <c r="P1994" t="str">
        <f>IF(orders[[#This Row],[Customer Gender]]="M","Male", IF(orders[[#This Row],[Customer Gender]]="F","Female", IF(orders[[#This Row],[Customer Gender]]= "O", "Other","Unknown")))</f>
        <v>Female</v>
      </c>
    </row>
    <row r="1995" spans="1:16"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s="12" t="str">
        <f>TEXT(orders[[#This Row],[Order Date]],"mmmm")</f>
        <v>March</v>
      </c>
      <c r="P1995" t="str">
        <f>IF(orders[[#This Row],[Customer Gender]]="M","Male", IF(orders[[#This Row],[Customer Gender]]="F","Female", IF(orders[[#This Row],[Customer Gender]]= "O", "Other","Unknown")))</f>
        <v>Male</v>
      </c>
    </row>
    <row r="1996" spans="1:16"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s="12" t="str">
        <f>TEXT(orders[[#This Row],[Order Date]],"mmmm")</f>
        <v>March</v>
      </c>
      <c r="P1996" t="str">
        <f>IF(orders[[#This Row],[Customer Gender]]="M","Male", IF(orders[[#This Row],[Customer Gender]]="F","Female", IF(orders[[#This Row],[Customer Gender]]= "O", "Other","Unknown")))</f>
        <v>Male</v>
      </c>
    </row>
    <row r="1997" spans="1:16"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s="12" t="str">
        <f>TEXT(orders[[#This Row],[Order Date]],"mmmm")</f>
        <v>March</v>
      </c>
      <c r="P1997" t="str">
        <f>IF(orders[[#This Row],[Customer Gender]]="M","Male", IF(orders[[#This Row],[Customer Gender]]="F","Female", IF(orders[[#This Row],[Customer Gender]]= "O", "Other","Unknown")))</f>
        <v>Female</v>
      </c>
    </row>
    <row r="1998" spans="1:16"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s="12" t="str">
        <f>TEXT(orders[[#This Row],[Order Date]],"mmmm")</f>
        <v>March</v>
      </c>
      <c r="P1998" t="str">
        <f>IF(orders[[#This Row],[Customer Gender]]="M","Male", IF(orders[[#This Row],[Customer Gender]]="F","Female", IF(orders[[#This Row],[Customer Gender]]= "O", "Other","Unknown")))</f>
        <v>Female</v>
      </c>
    </row>
    <row r="1999" spans="1:16"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s="12" t="str">
        <f>TEXT(orders[[#This Row],[Order Date]],"mmmm")</f>
        <v>March</v>
      </c>
      <c r="P1999" t="str">
        <f>IF(orders[[#This Row],[Customer Gender]]="M","Male", IF(orders[[#This Row],[Customer Gender]]="F","Female", IF(orders[[#This Row],[Customer Gender]]= "O", "Other","Unknown")))</f>
        <v>Male</v>
      </c>
    </row>
    <row r="2000" spans="1:16"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s="12" t="str">
        <f>TEXT(orders[[#This Row],[Order Date]],"mmmm")</f>
        <v>March</v>
      </c>
      <c r="P2000" t="str">
        <f>IF(orders[[#This Row],[Customer Gender]]="M","Male", IF(orders[[#This Row],[Customer Gender]]="F","Female", IF(orders[[#This Row],[Customer Gender]]= "O", "Other","Unknown")))</f>
        <v>Male</v>
      </c>
    </row>
    <row r="2001" spans="1:16"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s="12" t="str">
        <f>TEXT(orders[[#This Row],[Order Date]],"mmmm")</f>
        <v>March</v>
      </c>
      <c r="P2001" t="str">
        <f>IF(orders[[#This Row],[Customer Gender]]="M","Male", IF(orders[[#This Row],[Customer Gender]]="F","Female", IF(orders[[#This Row],[Customer Gender]]= "O", "Other","Unknown")))</f>
        <v>Male</v>
      </c>
    </row>
    <row r="2002" spans="1:16"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s="12" t="str">
        <f>TEXT(orders[[#This Row],[Order Date]],"mmmm")</f>
        <v>March</v>
      </c>
      <c r="P2002" t="str">
        <f>IF(orders[[#This Row],[Customer Gender]]="M","Male", IF(orders[[#This Row],[Customer Gender]]="F","Female", IF(orders[[#This Row],[Customer Gender]]= "O", "Other","Unknown")))</f>
        <v>Female</v>
      </c>
    </row>
    <row r="2003" spans="1:16"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s="12" t="str">
        <f>TEXT(orders[[#This Row],[Order Date]],"mmmm")</f>
        <v>March</v>
      </c>
      <c r="P2003" t="str">
        <f>IF(orders[[#This Row],[Customer Gender]]="M","Male", IF(orders[[#This Row],[Customer Gender]]="F","Female", IF(orders[[#This Row],[Customer Gender]]= "O", "Other","Unknown")))</f>
        <v>Male</v>
      </c>
    </row>
    <row r="2004" spans="1:16"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s="12" t="str">
        <f>TEXT(orders[[#This Row],[Order Date]],"mmmm")</f>
        <v>March</v>
      </c>
      <c r="P2004" t="str">
        <f>IF(orders[[#This Row],[Customer Gender]]="M","Male", IF(orders[[#This Row],[Customer Gender]]="F","Female", IF(orders[[#This Row],[Customer Gender]]= "O", "Other","Unknown")))</f>
        <v>Other</v>
      </c>
    </row>
    <row r="2005" spans="1:16" hidden="1"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s="12" t="str">
        <f>TEXT(orders[[#This Row],[Order Date]],"mmmm")</f>
        <v>March</v>
      </c>
      <c r="P2005" t="str">
        <f>IF(orders[[#This Row],[Customer Gender]]="M","Male", IF(orders[[#This Row],[Customer Gender]]="F","Female", IF(orders[[#This Row],[Customer Gender]]= "O", "Other","Unknown")))</f>
        <v>Unknown</v>
      </c>
    </row>
    <row r="2006" spans="1:16"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s="12" t="str">
        <f>TEXT(orders[[#This Row],[Order Date]],"mmmm")</f>
        <v>March</v>
      </c>
      <c r="P2006" t="str">
        <f>IF(orders[[#This Row],[Customer Gender]]="M","Male", IF(orders[[#This Row],[Customer Gender]]="F","Female", IF(orders[[#This Row],[Customer Gender]]= "O", "Other","Unknown")))</f>
        <v>Female</v>
      </c>
    </row>
    <row r="2007" spans="1:16" hidden="1"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s="12" t="str">
        <f>TEXT(orders[[#This Row],[Order Date]],"mmmm")</f>
        <v>March</v>
      </c>
      <c r="P2007" t="str">
        <f>IF(orders[[#This Row],[Customer Gender]]="M","Male", IF(orders[[#This Row],[Customer Gender]]="F","Female", IF(orders[[#This Row],[Customer Gender]]= "O", "Other","Unknown")))</f>
        <v>Unknown</v>
      </c>
    </row>
    <row r="2008" spans="1:16"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s="12" t="str">
        <f>TEXT(orders[[#This Row],[Order Date]],"mmmm")</f>
        <v>March</v>
      </c>
      <c r="P2008" t="str">
        <f>IF(orders[[#This Row],[Customer Gender]]="M","Male", IF(orders[[#This Row],[Customer Gender]]="F","Female", IF(orders[[#This Row],[Customer Gender]]= "O", "Other","Unknown")))</f>
        <v>Male</v>
      </c>
    </row>
    <row r="2009" spans="1:16"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s="12" t="str">
        <f>TEXT(orders[[#This Row],[Order Date]],"mmmm")</f>
        <v>March</v>
      </c>
      <c r="P2009" t="str">
        <f>IF(orders[[#This Row],[Customer Gender]]="M","Male", IF(orders[[#This Row],[Customer Gender]]="F","Female", IF(orders[[#This Row],[Customer Gender]]= "O", "Other","Unknown")))</f>
        <v>Male</v>
      </c>
    </row>
    <row r="2010" spans="1:16"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s="12" t="str">
        <f>TEXT(orders[[#This Row],[Order Date]],"mmmm")</f>
        <v>March</v>
      </c>
      <c r="P2010" t="str">
        <f>IF(orders[[#This Row],[Customer Gender]]="M","Male", IF(orders[[#This Row],[Customer Gender]]="F","Female", IF(orders[[#This Row],[Customer Gender]]= "O", "Other","Unknown")))</f>
        <v>Female</v>
      </c>
    </row>
    <row r="2011" spans="1:16"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s="12" t="str">
        <f>TEXT(orders[[#This Row],[Order Date]],"mmmm")</f>
        <v>March</v>
      </c>
      <c r="P2011" t="str">
        <f>IF(orders[[#This Row],[Customer Gender]]="M","Male", IF(orders[[#This Row],[Customer Gender]]="F","Female", IF(orders[[#This Row],[Customer Gender]]= "O", "Other","Unknown")))</f>
        <v>Female</v>
      </c>
    </row>
    <row r="2012" spans="1:16"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s="12" t="str">
        <f>TEXT(orders[[#This Row],[Order Date]],"mmmm")</f>
        <v>March</v>
      </c>
      <c r="P2012" t="str">
        <f>IF(orders[[#This Row],[Customer Gender]]="M","Male", IF(orders[[#This Row],[Customer Gender]]="F","Female", IF(orders[[#This Row],[Customer Gender]]= "O", "Other","Unknown")))</f>
        <v>Female</v>
      </c>
    </row>
    <row r="2013" spans="1:16"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s="12" t="str">
        <f>TEXT(orders[[#This Row],[Order Date]],"mmmm")</f>
        <v>March</v>
      </c>
      <c r="P2013" t="str">
        <f>IF(orders[[#This Row],[Customer Gender]]="M","Male", IF(orders[[#This Row],[Customer Gender]]="F","Female", IF(orders[[#This Row],[Customer Gender]]= "O", "Other","Unknown")))</f>
        <v>Female</v>
      </c>
    </row>
    <row r="2014" spans="1:16"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s="12" t="str">
        <f>TEXT(orders[[#This Row],[Order Date]],"mmmm")</f>
        <v>March</v>
      </c>
      <c r="P2014" t="str">
        <f>IF(orders[[#This Row],[Customer Gender]]="M","Male", IF(orders[[#This Row],[Customer Gender]]="F","Female", IF(orders[[#This Row],[Customer Gender]]= "O", "Other","Unknown")))</f>
        <v>Male</v>
      </c>
    </row>
    <row r="2015" spans="1:16" hidden="1"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s="12" t="str">
        <f>TEXT(orders[[#This Row],[Order Date]],"mmmm")</f>
        <v>March</v>
      </c>
      <c r="P2015" t="str">
        <f>IF(orders[[#This Row],[Customer Gender]]="M","Male", IF(orders[[#This Row],[Customer Gender]]="F","Female", IF(orders[[#This Row],[Customer Gender]]= "O", "Other","Unknown")))</f>
        <v>Unknown</v>
      </c>
    </row>
    <row r="2016" spans="1:16"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s="12" t="str">
        <f>TEXT(orders[[#This Row],[Order Date]],"mmmm")</f>
        <v>March</v>
      </c>
      <c r="P2016" t="str">
        <f>IF(orders[[#This Row],[Customer Gender]]="M","Male", IF(orders[[#This Row],[Customer Gender]]="F","Female", IF(orders[[#This Row],[Customer Gender]]= "O", "Other","Unknown")))</f>
        <v>Male</v>
      </c>
    </row>
    <row r="2017" spans="1:16" hidden="1"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s="12" t="str">
        <f>TEXT(orders[[#This Row],[Order Date]],"mmmm")</f>
        <v>March</v>
      </c>
      <c r="P2017" t="str">
        <f>IF(orders[[#This Row],[Customer Gender]]="M","Male", IF(orders[[#This Row],[Customer Gender]]="F","Female", IF(orders[[#This Row],[Customer Gender]]= "O", "Other","Unknown")))</f>
        <v>Unknown</v>
      </c>
    </row>
    <row r="2018" spans="1:16"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s="12" t="str">
        <f>TEXT(orders[[#This Row],[Order Date]],"mmmm")</f>
        <v>March</v>
      </c>
      <c r="P2018" t="str">
        <f>IF(orders[[#This Row],[Customer Gender]]="M","Male", IF(orders[[#This Row],[Customer Gender]]="F","Female", IF(orders[[#This Row],[Customer Gender]]= "O", "Other","Unknown")))</f>
        <v>Female</v>
      </c>
    </row>
    <row r="2019" spans="1:16"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s="12" t="str">
        <f>TEXT(orders[[#This Row],[Order Date]],"mmmm")</f>
        <v>March</v>
      </c>
      <c r="P2019" t="str">
        <f>IF(orders[[#This Row],[Customer Gender]]="M","Male", IF(orders[[#This Row],[Customer Gender]]="F","Female", IF(orders[[#This Row],[Customer Gender]]= "O", "Other","Unknown")))</f>
        <v>Male</v>
      </c>
    </row>
    <row r="2020" spans="1:16"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s="12" t="str">
        <f>TEXT(orders[[#This Row],[Order Date]],"mmmm")</f>
        <v>March</v>
      </c>
      <c r="P2020" t="str">
        <f>IF(orders[[#This Row],[Customer Gender]]="M","Male", IF(orders[[#This Row],[Customer Gender]]="F","Female", IF(orders[[#This Row],[Customer Gender]]= "O", "Other","Unknown")))</f>
        <v>Female</v>
      </c>
    </row>
    <row r="2021" spans="1:16" hidden="1"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s="12" t="str">
        <f>TEXT(orders[[#This Row],[Order Date]],"mmmm")</f>
        <v>March</v>
      </c>
      <c r="P2021" t="str">
        <f>IF(orders[[#This Row],[Customer Gender]]="M","Male", IF(orders[[#This Row],[Customer Gender]]="F","Female", IF(orders[[#This Row],[Customer Gender]]= "O", "Other","Unknown")))</f>
        <v>Unknown</v>
      </c>
    </row>
    <row r="2022" spans="1:16"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s="12" t="str">
        <f>TEXT(orders[[#This Row],[Order Date]],"mmmm")</f>
        <v>March</v>
      </c>
      <c r="P2022" t="str">
        <f>IF(orders[[#This Row],[Customer Gender]]="M","Male", IF(orders[[#This Row],[Customer Gender]]="F","Female", IF(orders[[#This Row],[Customer Gender]]= "O", "Other","Unknown")))</f>
        <v>Female</v>
      </c>
    </row>
    <row r="2023" spans="1:16"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s="12" t="str">
        <f>TEXT(orders[[#This Row],[Order Date]],"mmmm")</f>
        <v>March</v>
      </c>
      <c r="P2023" t="str">
        <f>IF(orders[[#This Row],[Customer Gender]]="M","Male", IF(orders[[#This Row],[Customer Gender]]="F","Female", IF(orders[[#This Row],[Customer Gender]]= "O", "Other","Unknown")))</f>
        <v>Male</v>
      </c>
    </row>
    <row r="2024" spans="1:16"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s="12" t="str">
        <f>TEXT(orders[[#This Row],[Order Date]],"mmmm")</f>
        <v>March</v>
      </c>
      <c r="P2024" t="str">
        <f>IF(orders[[#This Row],[Customer Gender]]="M","Male", IF(orders[[#This Row],[Customer Gender]]="F","Female", IF(orders[[#This Row],[Customer Gender]]= "O", "Other","Unknown")))</f>
        <v>Other</v>
      </c>
    </row>
    <row r="2025" spans="1:16"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s="12" t="str">
        <f>TEXT(orders[[#This Row],[Order Date]],"mmmm")</f>
        <v>March</v>
      </c>
      <c r="P2025" t="str">
        <f>IF(orders[[#This Row],[Customer Gender]]="M","Male", IF(orders[[#This Row],[Customer Gender]]="F","Female", IF(orders[[#This Row],[Customer Gender]]= "O", "Other","Unknown")))</f>
        <v>Female</v>
      </c>
    </row>
    <row r="2026" spans="1:16"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s="12" t="str">
        <f>TEXT(orders[[#This Row],[Order Date]],"mmmm")</f>
        <v>March</v>
      </c>
      <c r="P2026" t="str">
        <f>IF(orders[[#This Row],[Customer Gender]]="M","Male", IF(orders[[#This Row],[Customer Gender]]="F","Female", IF(orders[[#This Row],[Customer Gender]]= "O", "Other","Unknown")))</f>
        <v>Male</v>
      </c>
    </row>
    <row r="2027" spans="1:16"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s="12" t="str">
        <f>TEXT(orders[[#This Row],[Order Date]],"mmmm")</f>
        <v>March</v>
      </c>
      <c r="P2027" t="str">
        <f>IF(orders[[#This Row],[Customer Gender]]="M","Male", IF(orders[[#This Row],[Customer Gender]]="F","Female", IF(orders[[#This Row],[Customer Gender]]= "O", "Other","Unknown")))</f>
        <v>Male</v>
      </c>
    </row>
    <row r="2028" spans="1:16"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s="12" t="str">
        <f>TEXT(orders[[#This Row],[Order Date]],"mmmm")</f>
        <v>March</v>
      </c>
      <c r="P2028" t="str">
        <f>IF(orders[[#This Row],[Customer Gender]]="M","Male", IF(orders[[#This Row],[Customer Gender]]="F","Female", IF(orders[[#This Row],[Customer Gender]]= "O", "Other","Unknown")))</f>
        <v>Female</v>
      </c>
    </row>
    <row r="2029" spans="1:16"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s="12" t="str">
        <f>TEXT(orders[[#This Row],[Order Date]],"mmmm")</f>
        <v>March</v>
      </c>
      <c r="P2029" t="str">
        <f>IF(orders[[#This Row],[Customer Gender]]="M","Male", IF(orders[[#This Row],[Customer Gender]]="F","Female", IF(orders[[#This Row],[Customer Gender]]= "O", "Other","Unknown")))</f>
        <v>Female</v>
      </c>
    </row>
    <row r="2030" spans="1:16"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s="12" t="str">
        <f>TEXT(orders[[#This Row],[Order Date]],"mmmm")</f>
        <v>March</v>
      </c>
      <c r="P2030" t="str">
        <f>IF(orders[[#This Row],[Customer Gender]]="M","Male", IF(orders[[#This Row],[Customer Gender]]="F","Female", IF(orders[[#This Row],[Customer Gender]]= "O", "Other","Unknown")))</f>
        <v>Male</v>
      </c>
    </row>
    <row r="2031" spans="1:16"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s="12" t="str">
        <f>TEXT(orders[[#This Row],[Order Date]],"mmmm")</f>
        <v>March</v>
      </c>
      <c r="P2031" t="str">
        <f>IF(orders[[#This Row],[Customer Gender]]="M","Male", IF(orders[[#This Row],[Customer Gender]]="F","Female", IF(orders[[#This Row],[Customer Gender]]= "O", "Other","Unknown")))</f>
        <v>Female</v>
      </c>
    </row>
    <row r="2032" spans="1:16"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s="12" t="str">
        <f>TEXT(orders[[#This Row],[Order Date]],"mmmm")</f>
        <v>March</v>
      </c>
      <c r="P2032" t="str">
        <f>IF(orders[[#This Row],[Customer Gender]]="M","Male", IF(orders[[#This Row],[Customer Gender]]="F","Female", IF(orders[[#This Row],[Customer Gender]]= "O", "Other","Unknown")))</f>
        <v>Female</v>
      </c>
    </row>
    <row r="2033" spans="1:16"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s="12" t="str">
        <f>TEXT(orders[[#This Row],[Order Date]],"mmmm")</f>
        <v>March</v>
      </c>
      <c r="P2033" t="str">
        <f>IF(orders[[#This Row],[Customer Gender]]="M","Male", IF(orders[[#This Row],[Customer Gender]]="F","Female", IF(orders[[#This Row],[Customer Gender]]= "O", "Other","Unknown")))</f>
        <v>Male</v>
      </c>
    </row>
    <row r="2034" spans="1:16"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s="12" t="str">
        <f>TEXT(orders[[#This Row],[Order Date]],"mmmm")</f>
        <v>March</v>
      </c>
      <c r="P2034" t="str">
        <f>IF(orders[[#This Row],[Customer Gender]]="M","Male", IF(orders[[#This Row],[Customer Gender]]="F","Female", IF(orders[[#This Row],[Customer Gender]]= "O", "Other","Unknown")))</f>
        <v>Male</v>
      </c>
    </row>
    <row r="2035" spans="1:16"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s="12" t="str">
        <f>TEXT(orders[[#This Row],[Order Date]],"mmmm")</f>
        <v>March</v>
      </c>
      <c r="P2035" t="str">
        <f>IF(orders[[#This Row],[Customer Gender]]="M","Male", IF(orders[[#This Row],[Customer Gender]]="F","Female", IF(orders[[#This Row],[Customer Gender]]= "O", "Other","Unknown")))</f>
        <v>Female</v>
      </c>
    </row>
    <row r="2036" spans="1:16"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s="12" t="str">
        <f>TEXT(orders[[#This Row],[Order Date]],"mmmm")</f>
        <v>March</v>
      </c>
      <c r="P2036" t="str">
        <f>IF(orders[[#This Row],[Customer Gender]]="M","Male", IF(orders[[#This Row],[Customer Gender]]="F","Female", IF(orders[[#This Row],[Customer Gender]]= "O", "Other","Unknown")))</f>
        <v>Female</v>
      </c>
    </row>
    <row r="2037" spans="1:16"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s="12" t="str">
        <f>TEXT(orders[[#This Row],[Order Date]],"mmmm")</f>
        <v>March</v>
      </c>
      <c r="P2037" t="str">
        <f>IF(orders[[#This Row],[Customer Gender]]="M","Male", IF(orders[[#This Row],[Customer Gender]]="F","Female", IF(orders[[#This Row],[Customer Gender]]= "O", "Other","Unknown")))</f>
        <v>Female</v>
      </c>
    </row>
    <row r="2038" spans="1:16"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s="12" t="str">
        <f>TEXT(orders[[#This Row],[Order Date]],"mmmm")</f>
        <v>March</v>
      </c>
      <c r="P2038" t="str">
        <f>IF(orders[[#This Row],[Customer Gender]]="M","Male", IF(orders[[#This Row],[Customer Gender]]="F","Female", IF(orders[[#This Row],[Customer Gender]]= "O", "Other","Unknown")))</f>
        <v>Male</v>
      </c>
    </row>
    <row r="2039" spans="1:16"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s="12" t="str">
        <f>TEXT(orders[[#This Row],[Order Date]],"mmmm")</f>
        <v>March</v>
      </c>
      <c r="P2039" t="str">
        <f>IF(orders[[#This Row],[Customer Gender]]="M","Male", IF(orders[[#This Row],[Customer Gender]]="F","Female", IF(orders[[#This Row],[Customer Gender]]= "O", "Other","Unknown")))</f>
        <v>Male</v>
      </c>
    </row>
    <row r="2040" spans="1:16"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s="12" t="str">
        <f>TEXT(orders[[#This Row],[Order Date]],"mmmm")</f>
        <v>March</v>
      </c>
      <c r="P2040" t="str">
        <f>IF(orders[[#This Row],[Customer Gender]]="M","Male", IF(orders[[#This Row],[Customer Gender]]="F","Female", IF(orders[[#This Row],[Customer Gender]]= "O", "Other","Unknown")))</f>
        <v>Male</v>
      </c>
    </row>
    <row r="2041" spans="1:16"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s="12" t="str">
        <f>TEXT(orders[[#This Row],[Order Date]],"mmmm")</f>
        <v>March</v>
      </c>
      <c r="P2041" t="str">
        <f>IF(orders[[#This Row],[Customer Gender]]="M","Male", IF(orders[[#This Row],[Customer Gender]]="F","Female", IF(orders[[#This Row],[Customer Gender]]= "O", "Other","Unknown")))</f>
        <v>Male</v>
      </c>
    </row>
    <row r="2042" spans="1:16"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s="12" t="str">
        <f>TEXT(orders[[#This Row],[Order Date]],"mmmm")</f>
        <v>March</v>
      </c>
      <c r="P2042" t="str">
        <f>IF(orders[[#This Row],[Customer Gender]]="M","Male", IF(orders[[#This Row],[Customer Gender]]="F","Female", IF(orders[[#This Row],[Customer Gender]]= "O", "Other","Unknown")))</f>
        <v>Male</v>
      </c>
    </row>
    <row r="2043" spans="1:16"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s="12" t="str">
        <f>TEXT(orders[[#This Row],[Order Date]],"mmmm")</f>
        <v>March</v>
      </c>
      <c r="P2043" t="str">
        <f>IF(orders[[#This Row],[Customer Gender]]="M","Male", IF(orders[[#This Row],[Customer Gender]]="F","Female", IF(orders[[#This Row],[Customer Gender]]= "O", "Other","Unknown")))</f>
        <v>Male</v>
      </c>
    </row>
    <row r="2044" spans="1:16"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s="12" t="str">
        <f>TEXT(orders[[#This Row],[Order Date]],"mmmm")</f>
        <v>March</v>
      </c>
      <c r="P2044" t="str">
        <f>IF(orders[[#This Row],[Customer Gender]]="M","Male", IF(orders[[#This Row],[Customer Gender]]="F","Female", IF(orders[[#This Row],[Customer Gender]]= "O", "Other","Unknown")))</f>
        <v>Female</v>
      </c>
    </row>
    <row r="2045" spans="1:16"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s="12" t="str">
        <f>TEXT(orders[[#This Row],[Order Date]],"mmmm")</f>
        <v>March</v>
      </c>
      <c r="P2045" t="str">
        <f>IF(orders[[#This Row],[Customer Gender]]="M","Male", IF(orders[[#This Row],[Customer Gender]]="F","Female", IF(orders[[#This Row],[Customer Gender]]= "O", "Other","Unknown")))</f>
        <v>Female</v>
      </c>
    </row>
    <row r="2046" spans="1:16"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s="12" t="str">
        <f>TEXT(orders[[#This Row],[Order Date]],"mmmm")</f>
        <v>March</v>
      </c>
      <c r="P2046" t="str">
        <f>IF(orders[[#This Row],[Customer Gender]]="M","Male", IF(orders[[#This Row],[Customer Gender]]="F","Female", IF(orders[[#This Row],[Customer Gender]]= "O", "Other","Unknown")))</f>
        <v>Male</v>
      </c>
    </row>
    <row r="2047" spans="1:16"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s="12" t="str">
        <f>TEXT(orders[[#This Row],[Order Date]],"mmmm")</f>
        <v>March</v>
      </c>
      <c r="P2047" t="str">
        <f>IF(orders[[#This Row],[Customer Gender]]="M","Male", IF(orders[[#This Row],[Customer Gender]]="F","Female", IF(orders[[#This Row],[Customer Gender]]= "O", "Other","Unknown")))</f>
        <v>Female</v>
      </c>
    </row>
    <row r="2048" spans="1:16"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s="12" t="str">
        <f>TEXT(orders[[#This Row],[Order Date]],"mmmm")</f>
        <v>March</v>
      </c>
      <c r="P2048" t="str">
        <f>IF(orders[[#This Row],[Customer Gender]]="M","Male", IF(orders[[#This Row],[Customer Gender]]="F","Female", IF(orders[[#This Row],[Customer Gender]]= "O", "Other","Unknown")))</f>
        <v>Female</v>
      </c>
    </row>
    <row r="2049" spans="1:16"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s="12" t="str">
        <f>TEXT(orders[[#This Row],[Order Date]],"mmmm")</f>
        <v>March</v>
      </c>
      <c r="P2049" t="str">
        <f>IF(orders[[#This Row],[Customer Gender]]="M","Male", IF(orders[[#This Row],[Customer Gender]]="F","Female", IF(orders[[#This Row],[Customer Gender]]= "O", "Other","Unknown")))</f>
        <v>Male</v>
      </c>
    </row>
    <row r="2050" spans="1:16"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s="12" t="str">
        <f>TEXT(orders[[#This Row],[Order Date]],"mmmm")</f>
        <v>March</v>
      </c>
      <c r="P2050" t="str">
        <f>IF(orders[[#This Row],[Customer Gender]]="M","Male", IF(orders[[#This Row],[Customer Gender]]="F","Female", IF(orders[[#This Row],[Customer Gender]]= "O", "Other","Unknown")))</f>
        <v>Female</v>
      </c>
    </row>
    <row r="2051" spans="1:16"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s="12" t="str">
        <f>TEXT(orders[[#This Row],[Order Date]],"mmmm")</f>
        <v>March</v>
      </c>
      <c r="P2051" t="str">
        <f>IF(orders[[#This Row],[Customer Gender]]="M","Male", IF(orders[[#This Row],[Customer Gender]]="F","Female", IF(orders[[#This Row],[Customer Gender]]= "O", "Other","Unknown")))</f>
        <v>Female</v>
      </c>
    </row>
    <row r="2052" spans="1:16"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s="12" t="str">
        <f>TEXT(orders[[#This Row],[Order Date]],"mmmm")</f>
        <v>March</v>
      </c>
      <c r="P2052" t="str">
        <f>IF(orders[[#This Row],[Customer Gender]]="M","Male", IF(orders[[#This Row],[Customer Gender]]="F","Female", IF(orders[[#This Row],[Customer Gender]]= "O", "Other","Unknown")))</f>
        <v>Female</v>
      </c>
    </row>
    <row r="2053" spans="1:16"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s="12" t="str">
        <f>TEXT(orders[[#This Row],[Order Date]],"mmmm")</f>
        <v>March</v>
      </c>
      <c r="P2053" t="str">
        <f>IF(orders[[#This Row],[Customer Gender]]="M","Male", IF(orders[[#This Row],[Customer Gender]]="F","Female", IF(orders[[#This Row],[Customer Gender]]= "O", "Other","Unknown")))</f>
        <v>Male</v>
      </c>
    </row>
    <row r="2054" spans="1:16"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s="12" t="str">
        <f>TEXT(orders[[#This Row],[Order Date]],"mmmm")</f>
        <v>March</v>
      </c>
      <c r="P2054" t="str">
        <f>IF(orders[[#This Row],[Customer Gender]]="M","Male", IF(orders[[#This Row],[Customer Gender]]="F","Female", IF(orders[[#This Row],[Customer Gender]]= "O", "Other","Unknown")))</f>
        <v>Male</v>
      </c>
    </row>
    <row r="2055" spans="1:16"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s="12" t="str">
        <f>TEXT(orders[[#This Row],[Order Date]],"mmmm")</f>
        <v>March</v>
      </c>
      <c r="P2055" t="str">
        <f>IF(orders[[#This Row],[Customer Gender]]="M","Male", IF(orders[[#This Row],[Customer Gender]]="F","Female", IF(orders[[#This Row],[Customer Gender]]= "O", "Other","Unknown")))</f>
        <v>Female</v>
      </c>
    </row>
    <row r="2056" spans="1:16"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s="12" t="str">
        <f>TEXT(orders[[#This Row],[Order Date]],"mmmm")</f>
        <v>March</v>
      </c>
      <c r="P2056" t="str">
        <f>IF(orders[[#This Row],[Customer Gender]]="M","Male", IF(orders[[#This Row],[Customer Gender]]="F","Female", IF(orders[[#This Row],[Customer Gender]]= "O", "Other","Unknown")))</f>
        <v>Female</v>
      </c>
    </row>
    <row r="2057" spans="1:16"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s="12" t="str">
        <f>TEXT(orders[[#This Row],[Order Date]],"mmmm")</f>
        <v>March</v>
      </c>
      <c r="P2057" t="str">
        <f>IF(orders[[#This Row],[Customer Gender]]="M","Male", IF(orders[[#This Row],[Customer Gender]]="F","Female", IF(orders[[#This Row],[Customer Gender]]= "O", "Other","Unknown")))</f>
        <v>Male</v>
      </c>
    </row>
    <row r="2058" spans="1:16"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s="12" t="str">
        <f>TEXT(orders[[#This Row],[Order Date]],"mmmm")</f>
        <v>March</v>
      </c>
      <c r="P2058" t="str">
        <f>IF(orders[[#This Row],[Customer Gender]]="M","Male", IF(orders[[#This Row],[Customer Gender]]="F","Female", IF(orders[[#This Row],[Customer Gender]]= "O", "Other","Unknown")))</f>
        <v>Female</v>
      </c>
    </row>
    <row r="2059" spans="1:16"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s="12" t="str">
        <f>TEXT(orders[[#This Row],[Order Date]],"mmmm")</f>
        <v>March</v>
      </c>
      <c r="P2059" t="str">
        <f>IF(orders[[#This Row],[Customer Gender]]="M","Male", IF(orders[[#This Row],[Customer Gender]]="F","Female", IF(orders[[#This Row],[Customer Gender]]= "O", "Other","Unknown")))</f>
        <v>Female</v>
      </c>
    </row>
    <row r="2060" spans="1:16"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s="12" t="str">
        <f>TEXT(orders[[#This Row],[Order Date]],"mmmm")</f>
        <v>March</v>
      </c>
      <c r="P2060" t="str">
        <f>IF(orders[[#This Row],[Customer Gender]]="M","Male", IF(orders[[#This Row],[Customer Gender]]="F","Female", IF(orders[[#This Row],[Customer Gender]]= "O", "Other","Unknown")))</f>
        <v>Male</v>
      </c>
    </row>
    <row r="2061" spans="1:16"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s="12" t="str">
        <f>TEXT(orders[[#This Row],[Order Date]],"mmmm")</f>
        <v>March</v>
      </c>
      <c r="P2061" t="str">
        <f>IF(orders[[#This Row],[Customer Gender]]="M","Male", IF(orders[[#This Row],[Customer Gender]]="F","Female", IF(orders[[#This Row],[Customer Gender]]= "O", "Other","Unknown")))</f>
        <v>Male</v>
      </c>
    </row>
    <row r="2062" spans="1:16"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s="12" t="str">
        <f>TEXT(orders[[#This Row],[Order Date]],"mmmm")</f>
        <v>March</v>
      </c>
      <c r="P2062" t="str">
        <f>IF(orders[[#This Row],[Customer Gender]]="M","Male", IF(orders[[#This Row],[Customer Gender]]="F","Female", IF(orders[[#This Row],[Customer Gender]]= "O", "Other","Unknown")))</f>
        <v>Female</v>
      </c>
    </row>
    <row r="2063" spans="1:16"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s="12" t="str">
        <f>TEXT(orders[[#This Row],[Order Date]],"mmmm")</f>
        <v>March</v>
      </c>
      <c r="P2063" t="str">
        <f>IF(orders[[#This Row],[Customer Gender]]="M","Male", IF(orders[[#This Row],[Customer Gender]]="F","Female", IF(orders[[#This Row],[Customer Gender]]= "O", "Other","Unknown")))</f>
        <v>Female</v>
      </c>
    </row>
    <row r="2064" spans="1:16"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s="12" t="str">
        <f>TEXT(orders[[#This Row],[Order Date]],"mmmm")</f>
        <v>March</v>
      </c>
      <c r="P2064" t="str">
        <f>IF(orders[[#This Row],[Customer Gender]]="M","Male", IF(orders[[#This Row],[Customer Gender]]="F","Female", IF(orders[[#This Row],[Customer Gender]]= "O", "Other","Unknown")))</f>
        <v>Female</v>
      </c>
    </row>
    <row r="2065" spans="1:16"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s="12" t="str">
        <f>TEXT(orders[[#This Row],[Order Date]],"mmmm")</f>
        <v>March</v>
      </c>
      <c r="P2065" t="str">
        <f>IF(orders[[#This Row],[Customer Gender]]="M","Male", IF(orders[[#This Row],[Customer Gender]]="F","Female", IF(orders[[#This Row],[Customer Gender]]= "O", "Other","Unknown")))</f>
        <v>Female</v>
      </c>
    </row>
    <row r="2066" spans="1:16"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s="12" t="str">
        <f>TEXT(orders[[#This Row],[Order Date]],"mmmm")</f>
        <v>March</v>
      </c>
      <c r="P2066" t="str">
        <f>IF(orders[[#This Row],[Customer Gender]]="M","Male", IF(orders[[#This Row],[Customer Gender]]="F","Female", IF(orders[[#This Row],[Customer Gender]]= "O", "Other","Unknown")))</f>
        <v>Male</v>
      </c>
    </row>
    <row r="2067" spans="1:16"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s="12" t="str">
        <f>TEXT(orders[[#This Row],[Order Date]],"mmmm")</f>
        <v>March</v>
      </c>
      <c r="P2067" t="str">
        <f>IF(orders[[#This Row],[Customer Gender]]="M","Male", IF(orders[[#This Row],[Customer Gender]]="F","Female", IF(orders[[#This Row],[Customer Gender]]= "O", "Other","Unknown")))</f>
        <v>Male</v>
      </c>
    </row>
    <row r="2068" spans="1:16"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s="12" t="str">
        <f>TEXT(orders[[#This Row],[Order Date]],"mmmm")</f>
        <v>March</v>
      </c>
      <c r="P2068" t="str">
        <f>IF(orders[[#This Row],[Customer Gender]]="M","Male", IF(orders[[#This Row],[Customer Gender]]="F","Female", IF(orders[[#This Row],[Customer Gender]]= "O", "Other","Unknown")))</f>
        <v>Female</v>
      </c>
    </row>
    <row r="2069" spans="1:16"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s="12" t="str">
        <f>TEXT(orders[[#This Row],[Order Date]],"mmmm")</f>
        <v>March</v>
      </c>
      <c r="P2069" t="str">
        <f>IF(orders[[#This Row],[Customer Gender]]="M","Male", IF(orders[[#This Row],[Customer Gender]]="F","Female", IF(orders[[#This Row],[Customer Gender]]= "O", "Other","Unknown")))</f>
        <v>Female</v>
      </c>
    </row>
    <row r="2070" spans="1:16"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s="12" t="str">
        <f>TEXT(orders[[#This Row],[Order Date]],"mmmm")</f>
        <v>March</v>
      </c>
      <c r="P2070" t="str">
        <f>IF(orders[[#This Row],[Customer Gender]]="M","Male", IF(orders[[#This Row],[Customer Gender]]="F","Female", IF(orders[[#This Row],[Customer Gender]]= "O", "Other","Unknown")))</f>
        <v>Male</v>
      </c>
    </row>
    <row r="2071" spans="1:16"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s="12" t="str">
        <f>TEXT(orders[[#This Row],[Order Date]],"mmmm")</f>
        <v>March</v>
      </c>
      <c r="P2071" t="str">
        <f>IF(orders[[#This Row],[Customer Gender]]="M","Male", IF(orders[[#This Row],[Customer Gender]]="F","Female", IF(orders[[#This Row],[Customer Gender]]= "O", "Other","Unknown")))</f>
        <v>Female</v>
      </c>
    </row>
    <row r="2072" spans="1:16"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s="12" t="str">
        <f>TEXT(orders[[#This Row],[Order Date]],"mmmm")</f>
        <v>March</v>
      </c>
      <c r="P2072" t="str">
        <f>IF(orders[[#This Row],[Customer Gender]]="M","Male", IF(orders[[#This Row],[Customer Gender]]="F","Female", IF(orders[[#This Row],[Customer Gender]]= "O", "Other","Unknown")))</f>
        <v>Male</v>
      </c>
    </row>
    <row r="2073" spans="1:16"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s="12" t="str">
        <f>TEXT(orders[[#This Row],[Order Date]],"mmmm")</f>
        <v>March</v>
      </c>
      <c r="P2073" t="str">
        <f>IF(orders[[#This Row],[Customer Gender]]="M","Male", IF(orders[[#This Row],[Customer Gender]]="F","Female", IF(orders[[#This Row],[Customer Gender]]= "O", "Other","Unknown")))</f>
        <v>Male</v>
      </c>
    </row>
    <row r="2074" spans="1:16"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s="12" t="str">
        <f>TEXT(orders[[#This Row],[Order Date]],"mmmm")</f>
        <v>March</v>
      </c>
      <c r="P2074" t="str">
        <f>IF(orders[[#This Row],[Customer Gender]]="M","Male", IF(orders[[#This Row],[Customer Gender]]="F","Female", IF(orders[[#This Row],[Customer Gender]]= "O", "Other","Unknown")))</f>
        <v>Male</v>
      </c>
    </row>
    <row r="2075" spans="1:16"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s="12" t="str">
        <f>TEXT(orders[[#This Row],[Order Date]],"mmmm")</f>
        <v>March</v>
      </c>
      <c r="P2075" t="str">
        <f>IF(orders[[#This Row],[Customer Gender]]="M","Male", IF(orders[[#This Row],[Customer Gender]]="F","Female", IF(orders[[#This Row],[Customer Gender]]= "O", "Other","Unknown")))</f>
        <v>Female</v>
      </c>
    </row>
    <row r="2076" spans="1:16"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s="12" t="str">
        <f>TEXT(orders[[#This Row],[Order Date]],"mmmm")</f>
        <v>March</v>
      </c>
      <c r="P2076" t="str">
        <f>IF(orders[[#This Row],[Customer Gender]]="M","Male", IF(orders[[#This Row],[Customer Gender]]="F","Female", IF(orders[[#This Row],[Customer Gender]]= "O", "Other","Unknown")))</f>
        <v>Female</v>
      </c>
    </row>
    <row r="2077" spans="1:16"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s="12" t="str">
        <f>TEXT(orders[[#This Row],[Order Date]],"mmmm")</f>
        <v>March</v>
      </c>
      <c r="P2077" t="str">
        <f>IF(orders[[#This Row],[Customer Gender]]="M","Male", IF(orders[[#This Row],[Customer Gender]]="F","Female", IF(orders[[#This Row],[Customer Gender]]= "O", "Other","Unknown")))</f>
        <v>Male</v>
      </c>
    </row>
    <row r="2078" spans="1:16"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s="12" t="str">
        <f>TEXT(orders[[#This Row],[Order Date]],"mmmm")</f>
        <v>March</v>
      </c>
      <c r="P2078" t="str">
        <f>IF(orders[[#This Row],[Customer Gender]]="M","Male", IF(orders[[#This Row],[Customer Gender]]="F","Female", IF(orders[[#This Row],[Customer Gender]]= "O", "Other","Unknown")))</f>
        <v>Female</v>
      </c>
    </row>
    <row r="2079" spans="1:16"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s="12" t="str">
        <f>TEXT(orders[[#This Row],[Order Date]],"mmmm")</f>
        <v>March</v>
      </c>
      <c r="P2079" t="str">
        <f>IF(orders[[#This Row],[Customer Gender]]="M","Male", IF(orders[[#This Row],[Customer Gender]]="F","Female", IF(orders[[#This Row],[Customer Gender]]= "O", "Other","Unknown")))</f>
        <v>Male</v>
      </c>
    </row>
    <row r="2080" spans="1:16"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s="12" t="str">
        <f>TEXT(orders[[#This Row],[Order Date]],"mmmm")</f>
        <v>March</v>
      </c>
      <c r="P2080" t="str">
        <f>IF(orders[[#This Row],[Customer Gender]]="M","Male", IF(orders[[#This Row],[Customer Gender]]="F","Female", IF(orders[[#This Row],[Customer Gender]]= "O", "Other","Unknown")))</f>
        <v>Female</v>
      </c>
    </row>
    <row r="2081" spans="1:16"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s="12" t="str">
        <f>TEXT(orders[[#This Row],[Order Date]],"mmmm")</f>
        <v>March</v>
      </c>
      <c r="P2081" t="str">
        <f>IF(orders[[#This Row],[Customer Gender]]="M","Male", IF(orders[[#This Row],[Customer Gender]]="F","Female", IF(orders[[#This Row],[Customer Gender]]= "O", "Other","Unknown")))</f>
        <v>Male</v>
      </c>
    </row>
    <row r="2082" spans="1:16"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s="12" t="str">
        <f>TEXT(orders[[#This Row],[Order Date]],"mmmm")</f>
        <v>March</v>
      </c>
      <c r="P2082" t="str">
        <f>IF(orders[[#This Row],[Customer Gender]]="M","Male", IF(orders[[#This Row],[Customer Gender]]="F","Female", IF(orders[[#This Row],[Customer Gender]]= "O", "Other","Unknown")))</f>
        <v>Male</v>
      </c>
    </row>
    <row r="2083" spans="1:16"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s="12" t="str">
        <f>TEXT(orders[[#This Row],[Order Date]],"mmmm")</f>
        <v>March</v>
      </c>
      <c r="P2083" t="str">
        <f>IF(orders[[#This Row],[Customer Gender]]="M","Male", IF(orders[[#This Row],[Customer Gender]]="F","Female", IF(orders[[#This Row],[Customer Gender]]= "O", "Other","Unknown")))</f>
        <v>Female</v>
      </c>
    </row>
    <row r="2084" spans="1:16"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s="12" t="str">
        <f>TEXT(orders[[#This Row],[Order Date]],"mmmm")</f>
        <v>March</v>
      </c>
      <c r="P2084" t="str">
        <f>IF(orders[[#This Row],[Customer Gender]]="M","Male", IF(orders[[#This Row],[Customer Gender]]="F","Female", IF(orders[[#This Row],[Customer Gender]]= "O", "Other","Unknown")))</f>
        <v>Other</v>
      </c>
    </row>
    <row r="2085" spans="1:16"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s="12" t="str">
        <f>TEXT(orders[[#This Row],[Order Date]],"mmmm")</f>
        <v>March</v>
      </c>
      <c r="P2085" t="str">
        <f>IF(orders[[#This Row],[Customer Gender]]="M","Male", IF(orders[[#This Row],[Customer Gender]]="F","Female", IF(orders[[#This Row],[Customer Gender]]= "O", "Other","Unknown")))</f>
        <v>Female</v>
      </c>
    </row>
    <row r="2086" spans="1:16"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s="12" t="str">
        <f>TEXT(orders[[#This Row],[Order Date]],"mmmm")</f>
        <v>March</v>
      </c>
      <c r="P2086" t="str">
        <f>IF(orders[[#This Row],[Customer Gender]]="M","Male", IF(orders[[#This Row],[Customer Gender]]="F","Female", IF(orders[[#This Row],[Customer Gender]]= "O", "Other","Unknown")))</f>
        <v>Female</v>
      </c>
    </row>
    <row r="2087" spans="1:16"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s="12" t="str">
        <f>TEXT(orders[[#This Row],[Order Date]],"mmmm")</f>
        <v>March</v>
      </c>
      <c r="P2087" t="str">
        <f>IF(orders[[#This Row],[Customer Gender]]="M","Male", IF(orders[[#This Row],[Customer Gender]]="F","Female", IF(orders[[#This Row],[Customer Gender]]= "O", "Other","Unknown")))</f>
        <v>Female</v>
      </c>
    </row>
    <row r="2088" spans="1:16"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s="12" t="str">
        <f>TEXT(orders[[#This Row],[Order Date]],"mmmm")</f>
        <v>March</v>
      </c>
      <c r="P2088" t="str">
        <f>IF(orders[[#This Row],[Customer Gender]]="M","Male", IF(orders[[#This Row],[Customer Gender]]="F","Female", IF(orders[[#This Row],[Customer Gender]]= "O", "Other","Unknown")))</f>
        <v>Female</v>
      </c>
    </row>
    <row r="2089" spans="1:16"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s="12" t="str">
        <f>TEXT(orders[[#This Row],[Order Date]],"mmmm")</f>
        <v>March</v>
      </c>
      <c r="P2089" t="str">
        <f>IF(orders[[#This Row],[Customer Gender]]="M","Male", IF(orders[[#This Row],[Customer Gender]]="F","Female", IF(orders[[#This Row],[Customer Gender]]= "O", "Other","Unknown")))</f>
        <v>Male</v>
      </c>
    </row>
    <row r="2090" spans="1:16"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s="12" t="str">
        <f>TEXT(orders[[#This Row],[Order Date]],"mmmm")</f>
        <v>March</v>
      </c>
      <c r="P2090" t="str">
        <f>IF(orders[[#This Row],[Customer Gender]]="M","Male", IF(orders[[#This Row],[Customer Gender]]="F","Female", IF(orders[[#This Row],[Customer Gender]]= "O", "Other","Unknown")))</f>
        <v>Male</v>
      </c>
    </row>
    <row r="2091" spans="1:16"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s="12" t="str">
        <f>TEXT(orders[[#This Row],[Order Date]],"mmmm")</f>
        <v>March</v>
      </c>
      <c r="P2091" t="str">
        <f>IF(orders[[#This Row],[Customer Gender]]="M","Male", IF(orders[[#This Row],[Customer Gender]]="F","Female", IF(orders[[#This Row],[Customer Gender]]= "O", "Other","Unknown")))</f>
        <v>Male</v>
      </c>
    </row>
    <row r="2092" spans="1:16"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s="12" t="str">
        <f>TEXT(orders[[#This Row],[Order Date]],"mmmm")</f>
        <v>March</v>
      </c>
      <c r="P2092" t="str">
        <f>IF(orders[[#This Row],[Customer Gender]]="M","Male", IF(orders[[#This Row],[Customer Gender]]="F","Female", IF(orders[[#This Row],[Customer Gender]]= "O", "Other","Unknown")))</f>
        <v>Female</v>
      </c>
    </row>
    <row r="2093" spans="1:16"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s="12" t="str">
        <f>TEXT(orders[[#This Row],[Order Date]],"mmmm")</f>
        <v>March</v>
      </c>
      <c r="P2093" t="str">
        <f>IF(orders[[#This Row],[Customer Gender]]="M","Male", IF(orders[[#This Row],[Customer Gender]]="F","Female", IF(orders[[#This Row],[Customer Gender]]= "O", "Other","Unknown")))</f>
        <v>Male</v>
      </c>
    </row>
    <row r="2094" spans="1:16"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s="12" t="str">
        <f>TEXT(orders[[#This Row],[Order Date]],"mmmm")</f>
        <v>March</v>
      </c>
      <c r="P2094" t="str">
        <f>IF(orders[[#This Row],[Customer Gender]]="M","Male", IF(orders[[#This Row],[Customer Gender]]="F","Female", IF(orders[[#This Row],[Customer Gender]]= "O", "Other","Unknown")))</f>
        <v>Male</v>
      </c>
    </row>
    <row r="2095" spans="1:16"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s="12" t="str">
        <f>TEXT(orders[[#This Row],[Order Date]],"mmmm")</f>
        <v>March</v>
      </c>
      <c r="P2095" t="str">
        <f>IF(orders[[#This Row],[Customer Gender]]="M","Male", IF(orders[[#This Row],[Customer Gender]]="F","Female", IF(orders[[#This Row],[Customer Gender]]= "O", "Other","Unknown")))</f>
        <v>Male</v>
      </c>
    </row>
    <row r="2096" spans="1:16"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s="12" t="str">
        <f>TEXT(orders[[#This Row],[Order Date]],"mmmm")</f>
        <v>March</v>
      </c>
      <c r="P2096" t="str">
        <f>IF(orders[[#This Row],[Customer Gender]]="M","Male", IF(orders[[#This Row],[Customer Gender]]="F","Female", IF(orders[[#This Row],[Customer Gender]]= "O", "Other","Unknown")))</f>
        <v>Female</v>
      </c>
    </row>
    <row r="2097" spans="1:16"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s="12" t="str">
        <f>TEXT(orders[[#This Row],[Order Date]],"mmmm")</f>
        <v>March</v>
      </c>
      <c r="P2097" t="str">
        <f>IF(orders[[#This Row],[Customer Gender]]="M","Male", IF(orders[[#This Row],[Customer Gender]]="F","Female", IF(orders[[#This Row],[Customer Gender]]= "O", "Other","Unknown")))</f>
        <v>Male</v>
      </c>
    </row>
    <row r="2098" spans="1:16"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s="12" t="str">
        <f>TEXT(orders[[#This Row],[Order Date]],"mmmm")</f>
        <v>March</v>
      </c>
      <c r="P2098" t="str">
        <f>IF(orders[[#This Row],[Customer Gender]]="M","Male", IF(orders[[#This Row],[Customer Gender]]="F","Female", IF(orders[[#This Row],[Customer Gender]]= "O", "Other","Unknown")))</f>
        <v>Female</v>
      </c>
    </row>
    <row r="2099" spans="1:16"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s="12" t="str">
        <f>TEXT(orders[[#This Row],[Order Date]],"mmmm")</f>
        <v>March</v>
      </c>
      <c r="P2099" t="str">
        <f>IF(orders[[#This Row],[Customer Gender]]="M","Male", IF(orders[[#This Row],[Customer Gender]]="F","Female", IF(orders[[#This Row],[Customer Gender]]= "O", "Other","Unknown")))</f>
        <v>Male</v>
      </c>
    </row>
    <row r="2100" spans="1:16"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s="12" t="str">
        <f>TEXT(orders[[#This Row],[Order Date]],"mmmm")</f>
        <v>March</v>
      </c>
      <c r="P2100" t="str">
        <f>IF(orders[[#This Row],[Customer Gender]]="M","Male", IF(orders[[#This Row],[Customer Gender]]="F","Female", IF(orders[[#This Row],[Customer Gender]]= "O", "Other","Unknown")))</f>
        <v>Male</v>
      </c>
    </row>
    <row r="2101" spans="1:16"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s="12" t="str">
        <f>TEXT(orders[[#This Row],[Order Date]],"mmmm")</f>
        <v>March</v>
      </c>
      <c r="P2101" t="str">
        <f>IF(orders[[#This Row],[Customer Gender]]="M","Male", IF(orders[[#This Row],[Customer Gender]]="F","Female", IF(orders[[#This Row],[Customer Gender]]= "O", "Other","Unknown")))</f>
        <v>Male</v>
      </c>
    </row>
    <row r="2102" spans="1:16"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s="12" t="str">
        <f>TEXT(orders[[#This Row],[Order Date]],"mmmm")</f>
        <v>March</v>
      </c>
      <c r="P2102" t="str">
        <f>IF(orders[[#This Row],[Customer Gender]]="M","Male", IF(orders[[#This Row],[Customer Gender]]="F","Female", IF(orders[[#This Row],[Customer Gender]]= "O", "Other","Unknown")))</f>
        <v>Female</v>
      </c>
    </row>
    <row r="2103" spans="1:16"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s="12" t="str">
        <f>TEXT(orders[[#This Row],[Order Date]],"mmmm")</f>
        <v>March</v>
      </c>
      <c r="P2103" t="str">
        <f>IF(orders[[#This Row],[Customer Gender]]="M","Male", IF(orders[[#This Row],[Customer Gender]]="F","Female", IF(orders[[#This Row],[Customer Gender]]= "O", "Other","Unknown")))</f>
        <v>Male</v>
      </c>
    </row>
    <row r="2104" spans="1:16"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s="12" t="str">
        <f>TEXT(orders[[#This Row],[Order Date]],"mmmm")</f>
        <v>March</v>
      </c>
      <c r="P2104" t="str">
        <f>IF(orders[[#This Row],[Customer Gender]]="M","Male", IF(orders[[#This Row],[Customer Gender]]="F","Female", IF(orders[[#This Row],[Customer Gender]]= "O", "Other","Unknown")))</f>
        <v>Female</v>
      </c>
    </row>
    <row r="2105" spans="1:16"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s="12" t="str">
        <f>TEXT(orders[[#This Row],[Order Date]],"mmmm")</f>
        <v>March</v>
      </c>
      <c r="P2105" t="str">
        <f>IF(orders[[#This Row],[Customer Gender]]="M","Male", IF(orders[[#This Row],[Customer Gender]]="F","Female", IF(orders[[#This Row],[Customer Gender]]= "O", "Other","Unknown")))</f>
        <v>Female</v>
      </c>
    </row>
    <row r="2106" spans="1:16"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s="12" t="str">
        <f>TEXT(orders[[#This Row],[Order Date]],"mmmm")</f>
        <v>March</v>
      </c>
      <c r="P2106" t="str">
        <f>IF(orders[[#This Row],[Customer Gender]]="M","Male", IF(orders[[#This Row],[Customer Gender]]="F","Female", IF(orders[[#This Row],[Customer Gender]]= "O", "Other","Unknown")))</f>
        <v>Female</v>
      </c>
    </row>
    <row r="2107" spans="1:16"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s="12" t="str">
        <f>TEXT(orders[[#This Row],[Order Date]],"mmmm")</f>
        <v>March</v>
      </c>
      <c r="P2107" t="str">
        <f>IF(orders[[#This Row],[Customer Gender]]="M","Male", IF(orders[[#This Row],[Customer Gender]]="F","Female", IF(orders[[#This Row],[Customer Gender]]= "O", "Other","Unknown")))</f>
        <v>Female</v>
      </c>
    </row>
    <row r="2108" spans="1:16"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s="12" t="str">
        <f>TEXT(orders[[#This Row],[Order Date]],"mmmm")</f>
        <v>March</v>
      </c>
      <c r="P2108" t="str">
        <f>IF(orders[[#This Row],[Customer Gender]]="M","Male", IF(orders[[#This Row],[Customer Gender]]="F","Female", IF(orders[[#This Row],[Customer Gender]]= "O", "Other","Unknown")))</f>
        <v>Male</v>
      </c>
    </row>
    <row r="2109" spans="1:16"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s="12" t="str">
        <f>TEXT(orders[[#This Row],[Order Date]],"mmmm")</f>
        <v>March</v>
      </c>
      <c r="P2109" t="str">
        <f>IF(orders[[#This Row],[Customer Gender]]="M","Male", IF(orders[[#This Row],[Customer Gender]]="F","Female", IF(orders[[#This Row],[Customer Gender]]= "O", "Other","Unknown")))</f>
        <v>Female</v>
      </c>
    </row>
    <row r="2110" spans="1:16"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s="12" t="str">
        <f>TEXT(orders[[#This Row],[Order Date]],"mmmm")</f>
        <v>March</v>
      </c>
      <c r="P2110" t="str">
        <f>IF(orders[[#This Row],[Customer Gender]]="M","Male", IF(orders[[#This Row],[Customer Gender]]="F","Female", IF(orders[[#This Row],[Customer Gender]]= "O", "Other","Unknown")))</f>
        <v>Male</v>
      </c>
    </row>
    <row r="2111" spans="1:16"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s="12" t="str">
        <f>TEXT(orders[[#This Row],[Order Date]],"mmmm")</f>
        <v>March</v>
      </c>
      <c r="P2111" t="str">
        <f>IF(orders[[#This Row],[Customer Gender]]="M","Male", IF(orders[[#This Row],[Customer Gender]]="F","Female", IF(orders[[#This Row],[Customer Gender]]= "O", "Other","Unknown")))</f>
        <v>Male</v>
      </c>
    </row>
    <row r="2112" spans="1:16"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s="12" t="str">
        <f>TEXT(orders[[#This Row],[Order Date]],"mmmm")</f>
        <v>March</v>
      </c>
      <c r="P2112" t="str">
        <f>IF(orders[[#This Row],[Customer Gender]]="M","Male", IF(orders[[#This Row],[Customer Gender]]="F","Female", IF(orders[[#This Row],[Customer Gender]]= "O", "Other","Unknown")))</f>
        <v>Female</v>
      </c>
    </row>
    <row r="2113" spans="1:16"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s="12" t="str">
        <f>TEXT(orders[[#This Row],[Order Date]],"mmmm")</f>
        <v>March</v>
      </c>
      <c r="P2113" t="str">
        <f>IF(orders[[#This Row],[Customer Gender]]="M","Male", IF(orders[[#This Row],[Customer Gender]]="F","Female", IF(orders[[#This Row],[Customer Gender]]= "O", "Other","Unknown")))</f>
        <v>Other</v>
      </c>
    </row>
    <row r="2114" spans="1:16"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s="12" t="str">
        <f>TEXT(orders[[#This Row],[Order Date]],"mmmm")</f>
        <v>March</v>
      </c>
      <c r="P2114" t="str">
        <f>IF(orders[[#This Row],[Customer Gender]]="M","Male", IF(orders[[#This Row],[Customer Gender]]="F","Female", IF(orders[[#This Row],[Customer Gender]]= "O", "Other","Unknown")))</f>
        <v>Male</v>
      </c>
    </row>
    <row r="2115" spans="1:16"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s="12" t="str">
        <f>TEXT(orders[[#This Row],[Order Date]],"mmmm")</f>
        <v>March</v>
      </c>
      <c r="P2115" t="str">
        <f>IF(orders[[#This Row],[Customer Gender]]="M","Male", IF(orders[[#This Row],[Customer Gender]]="F","Female", IF(orders[[#This Row],[Customer Gender]]= "O", "Other","Unknown")))</f>
        <v>Female</v>
      </c>
    </row>
    <row r="2116" spans="1:16"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s="12" t="str">
        <f>TEXT(orders[[#This Row],[Order Date]],"mmmm")</f>
        <v>March</v>
      </c>
      <c r="P2116" t="str">
        <f>IF(orders[[#This Row],[Customer Gender]]="M","Male", IF(orders[[#This Row],[Customer Gender]]="F","Female", IF(orders[[#This Row],[Customer Gender]]= "O", "Other","Unknown")))</f>
        <v>Female</v>
      </c>
    </row>
    <row r="2117" spans="1:16"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s="12" t="str">
        <f>TEXT(orders[[#This Row],[Order Date]],"mmmm")</f>
        <v>March</v>
      </c>
      <c r="P2117" t="str">
        <f>IF(orders[[#This Row],[Customer Gender]]="M","Male", IF(orders[[#This Row],[Customer Gender]]="F","Female", IF(orders[[#This Row],[Customer Gender]]= "O", "Other","Unknown")))</f>
        <v>Female</v>
      </c>
    </row>
    <row r="2118" spans="1:16"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s="12" t="str">
        <f>TEXT(orders[[#This Row],[Order Date]],"mmmm")</f>
        <v>March</v>
      </c>
      <c r="P2118" t="str">
        <f>IF(orders[[#This Row],[Customer Gender]]="M","Male", IF(orders[[#This Row],[Customer Gender]]="F","Female", IF(orders[[#This Row],[Customer Gender]]= "O", "Other","Unknown")))</f>
        <v>Male</v>
      </c>
    </row>
    <row r="2119" spans="1:16"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s="12" t="str">
        <f>TEXT(orders[[#This Row],[Order Date]],"mmmm")</f>
        <v>March</v>
      </c>
      <c r="P2119" t="str">
        <f>IF(orders[[#This Row],[Customer Gender]]="M","Male", IF(orders[[#This Row],[Customer Gender]]="F","Female", IF(orders[[#This Row],[Customer Gender]]= "O", "Other","Unknown")))</f>
        <v>Male</v>
      </c>
    </row>
    <row r="2120" spans="1:16"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s="12" t="str">
        <f>TEXT(orders[[#This Row],[Order Date]],"mmmm")</f>
        <v>March</v>
      </c>
      <c r="P2120" t="str">
        <f>IF(orders[[#This Row],[Customer Gender]]="M","Male", IF(orders[[#This Row],[Customer Gender]]="F","Female", IF(orders[[#This Row],[Customer Gender]]= "O", "Other","Unknown")))</f>
        <v>Male</v>
      </c>
    </row>
    <row r="2121" spans="1:16"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s="12" t="str">
        <f>TEXT(orders[[#This Row],[Order Date]],"mmmm")</f>
        <v>March</v>
      </c>
      <c r="P2121" t="str">
        <f>IF(orders[[#This Row],[Customer Gender]]="M","Male", IF(orders[[#This Row],[Customer Gender]]="F","Female", IF(orders[[#This Row],[Customer Gender]]= "O", "Other","Unknown")))</f>
        <v>Male</v>
      </c>
    </row>
    <row r="2122" spans="1:16"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s="12" t="str">
        <f>TEXT(orders[[#This Row],[Order Date]],"mmmm")</f>
        <v>March</v>
      </c>
      <c r="P2122" t="str">
        <f>IF(orders[[#This Row],[Customer Gender]]="M","Male", IF(orders[[#This Row],[Customer Gender]]="F","Female", IF(orders[[#This Row],[Customer Gender]]= "O", "Other","Unknown")))</f>
        <v>Female</v>
      </c>
    </row>
    <row r="2123" spans="1:16"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s="12" t="str">
        <f>TEXT(orders[[#This Row],[Order Date]],"mmmm")</f>
        <v>March</v>
      </c>
      <c r="P2123" t="str">
        <f>IF(orders[[#This Row],[Customer Gender]]="M","Male", IF(orders[[#This Row],[Customer Gender]]="F","Female", IF(orders[[#This Row],[Customer Gender]]= "O", "Other","Unknown")))</f>
        <v>Female</v>
      </c>
    </row>
    <row r="2124" spans="1:16" hidden="1"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s="12" t="str">
        <f>TEXT(orders[[#This Row],[Order Date]],"mmmm")</f>
        <v>March</v>
      </c>
      <c r="P2124" t="str">
        <f>IF(orders[[#This Row],[Customer Gender]]="M","Male", IF(orders[[#This Row],[Customer Gender]]="F","Female", IF(orders[[#This Row],[Customer Gender]]= "O", "Other","Unknown")))</f>
        <v>Unknown</v>
      </c>
    </row>
    <row r="2125" spans="1:16"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s="12" t="str">
        <f>TEXT(orders[[#This Row],[Order Date]],"mmmm")</f>
        <v>March</v>
      </c>
      <c r="P2125" t="str">
        <f>IF(orders[[#This Row],[Customer Gender]]="M","Male", IF(orders[[#This Row],[Customer Gender]]="F","Female", IF(orders[[#This Row],[Customer Gender]]= "O", "Other","Unknown")))</f>
        <v>Male</v>
      </c>
    </row>
    <row r="2126" spans="1:16"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s="12" t="str">
        <f>TEXT(orders[[#This Row],[Order Date]],"mmmm")</f>
        <v>March</v>
      </c>
      <c r="P2126" t="str">
        <f>IF(orders[[#This Row],[Customer Gender]]="M","Male", IF(orders[[#This Row],[Customer Gender]]="F","Female", IF(orders[[#This Row],[Customer Gender]]= "O", "Other","Unknown")))</f>
        <v>Female</v>
      </c>
    </row>
    <row r="2127" spans="1:16"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s="12" t="str">
        <f>TEXT(orders[[#This Row],[Order Date]],"mmmm")</f>
        <v>March</v>
      </c>
      <c r="P2127" t="str">
        <f>IF(orders[[#This Row],[Customer Gender]]="M","Male", IF(orders[[#This Row],[Customer Gender]]="F","Female", IF(orders[[#This Row],[Customer Gender]]= "O", "Other","Unknown")))</f>
        <v>Female</v>
      </c>
    </row>
    <row r="2128" spans="1:16"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s="12" t="str">
        <f>TEXT(orders[[#This Row],[Order Date]],"mmmm")</f>
        <v>March</v>
      </c>
      <c r="P2128" t="str">
        <f>IF(orders[[#This Row],[Customer Gender]]="M","Male", IF(orders[[#This Row],[Customer Gender]]="F","Female", IF(orders[[#This Row],[Customer Gender]]= "O", "Other","Unknown")))</f>
        <v>Female</v>
      </c>
    </row>
    <row r="2129" spans="1:16"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s="12" t="str">
        <f>TEXT(orders[[#This Row],[Order Date]],"mmmm")</f>
        <v>March</v>
      </c>
      <c r="P2129" t="str">
        <f>IF(orders[[#This Row],[Customer Gender]]="M","Male", IF(orders[[#This Row],[Customer Gender]]="F","Female", IF(orders[[#This Row],[Customer Gender]]= "O", "Other","Unknown")))</f>
        <v>Female</v>
      </c>
    </row>
    <row r="2130" spans="1:16"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s="12" t="str">
        <f>TEXT(orders[[#This Row],[Order Date]],"mmmm")</f>
        <v>March</v>
      </c>
      <c r="P2130" t="str">
        <f>IF(orders[[#This Row],[Customer Gender]]="M","Male", IF(orders[[#This Row],[Customer Gender]]="F","Female", IF(orders[[#This Row],[Customer Gender]]= "O", "Other","Unknown")))</f>
        <v>Male</v>
      </c>
    </row>
    <row r="2131" spans="1:16"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s="12" t="str">
        <f>TEXT(orders[[#This Row],[Order Date]],"mmmm")</f>
        <v>March</v>
      </c>
      <c r="P2131" t="str">
        <f>IF(orders[[#This Row],[Customer Gender]]="M","Male", IF(orders[[#This Row],[Customer Gender]]="F","Female", IF(orders[[#This Row],[Customer Gender]]= "O", "Other","Unknown")))</f>
        <v>Female</v>
      </c>
    </row>
    <row r="2132" spans="1:16" hidden="1"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s="12" t="str">
        <f>TEXT(orders[[#This Row],[Order Date]],"mmmm")</f>
        <v>March</v>
      </c>
      <c r="P2132" t="str">
        <f>IF(orders[[#This Row],[Customer Gender]]="M","Male", IF(orders[[#This Row],[Customer Gender]]="F","Female", IF(orders[[#This Row],[Customer Gender]]= "O", "Other","Unknown")))</f>
        <v>Unknown</v>
      </c>
    </row>
    <row r="2133" spans="1:16"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s="12" t="str">
        <f>TEXT(orders[[#This Row],[Order Date]],"mmmm")</f>
        <v>March</v>
      </c>
      <c r="P2133" t="str">
        <f>IF(orders[[#This Row],[Customer Gender]]="M","Male", IF(orders[[#This Row],[Customer Gender]]="F","Female", IF(orders[[#This Row],[Customer Gender]]= "O", "Other","Unknown")))</f>
        <v>Female</v>
      </c>
    </row>
    <row r="2134" spans="1:16"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s="12" t="str">
        <f>TEXT(orders[[#This Row],[Order Date]],"mmmm")</f>
        <v>March</v>
      </c>
      <c r="P2134" t="str">
        <f>IF(orders[[#This Row],[Customer Gender]]="M","Male", IF(orders[[#This Row],[Customer Gender]]="F","Female", IF(orders[[#This Row],[Customer Gender]]= "O", "Other","Unknown")))</f>
        <v>Male</v>
      </c>
    </row>
    <row r="2135" spans="1:16"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s="12" t="str">
        <f>TEXT(orders[[#This Row],[Order Date]],"mmmm")</f>
        <v>March</v>
      </c>
      <c r="P2135" t="str">
        <f>IF(orders[[#This Row],[Customer Gender]]="M","Male", IF(orders[[#This Row],[Customer Gender]]="F","Female", IF(orders[[#This Row],[Customer Gender]]= "O", "Other","Unknown")))</f>
        <v>Male</v>
      </c>
    </row>
    <row r="2136" spans="1:16"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s="12" t="str">
        <f>TEXT(orders[[#This Row],[Order Date]],"mmmm")</f>
        <v>March</v>
      </c>
      <c r="P2136" t="str">
        <f>IF(orders[[#This Row],[Customer Gender]]="M","Male", IF(orders[[#This Row],[Customer Gender]]="F","Female", IF(orders[[#This Row],[Customer Gender]]= "O", "Other","Unknown")))</f>
        <v>Male</v>
      </c>
    </row>
    <row r="2137" spans="1:16"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s="12" t="str">
        <f>TEXT(orders[[#This Row],[Order Date]],"mmmm")</f>
        <v>March</v>
      </c>
      <c r="P2137" t="str">
        <f>IF(orders[[#This Row],[Customer Gender]]="M","Male", IF(orders[[#This Row],[Customer Gender]]="F","Female", IF(orders[[#This Row],[Customer Gender]]= "O", "Other","Unknown")))</f>
        <v>Male</v>
      </c>
    </row>
    <row r="2138" spans="1:16"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s="12" t="str">
        <f>TEXT(orders[[#This Row],[Order Date]],"mmmm")</f>
        <v>March</v>
      </c>
      <c r="P2138" t="str">
        <f>IF(orders[[#This Row],[Customer Gender]]="M","Male", IF(orders[[#This Row],[Customer Gender]]="F","Female", IF(orders[[#This Row],[Customer Gender]]= "O", "Other","Unknown")))</f>
        <v>Male</v>
      </c>
    </row>
    <row r="2139" spans="1:16"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s="12" t="str">
        <f>TEXT(orders[[#This Row],[Order Date]],"mmmm")</f>
        <v>March</v>
      </c>
      <c r="P2139" t="str">
        <f>IF(orders[[#This Row],[Customer Gender]]="M","Male", IF(orders[[#This Row],[Customer Gender]]="F","Female", IF(orders[[#This Row],[Customer Gender]]= "O", "Other","Unknown")))</f>
        <v>Male</v>
      </c>
    </row>
    <row r="2140" spans="1:16"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s="12" t="str">
        <f>TEXT(orders[[#This Row],[Order Date]],"mmmm")</f>
        <v>March</v>
      </c>
      <c r="P2140" t="str">
        <f>IF(orders[[#This Row],[Customer Gender]]="M","Male", IF(orders[[#This Row],[Customer Gender]]="F","Female", IF(orders[[#This Row],[Customer Gender]]= "O", "Other","Unknown")))</f>
        <v>Female</v>
      </c>
    </row>
    <row r="2141" spans="1:16"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s="12" t="str">
        <f>TEXT(orders[[#This Row],[Order Date]],"mmmm")</f>
        <v>March</v>
      </c>
      <c r="P2141" t="str">
        <f>IF(orders[[#This Row],[Customer Gender]]="M","Male", IF(orders[[#This Row],[Customer Gender]]="F","Female", IF(orders[[#This Row],[Customer Gender]]= "O", "Other","Unknown")))</f>
        <v>Female</v>
      </c>
    </row>
    <row r="2142" spans="1:16"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s="12" t="str">
        <f>TEXT(orders[[#This Row],[Order Date]],"mmmm")</f>
        <v>March</v>
      </c>
      <c r="P2142" t="str">
        <f>IF(orders[[#This Row],[Customer Gender]]="M","Male", IF(orders[[#This Row],[Customer Gender]]="F","Female", IF(orders[[#This Row],[Customer Gender]]= "O", "Other","Unknown")))</f>
        <v>Male</v>
      </c>
    </row>
    <row r="2143" spans="1:16"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s="12" t="str">
        <f>TEXT(orders[[#This Row],[Order Date]],"mmmm")</f>
        <v>March</v>
      </c>
      <c r="P2143" t="str">
        <f>IF(orders[[#This Row],[Customer Gender]]="M","Male", IF(orders[[#This Row],[Customer Gender]]="F","Female", IF(orders[[#This Row],[Customer Gender]]= "O", "Other","Unknown")))</f>
        <v>Male</v>
      </c>
    </row>
    <row r="2144" spans="1:16"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s="12" t="str">
        <f>TEXT(orders[[#This Row],[Order Date]],"mmmm")</f>
        <v>March</v>
      </c>
      <c r="P2144" t="str">
        <f>IF(orders[[#This Row],[Customer Gender]]="M","Male", IF(orders[[#This Row],[Customer Gender]]="F","Female", IF(orders[[#This Row],[Customer Gender]]= "O", "Other","Unknown")))</f>
        <v>Male</v>
      </c>
    </row>
    <row r="2145" spans="1:16"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s="12" t="str">
        <f>TEXT(orders[[#This Row],[Order Date]],"mmmm")</f>
        <v>March</v>
      </c>
      <c r="P2145" t="str">
        <f>IF(orders[[#This Row],[Customer Gender]]="M","Male", IF(orders[[#This Row],[Customer Gender]]="F","Female", IF(orders[[#This Row],[Customer Gender]]= "O", "Other","Unknown")))</f>
        <v>Female</v>
      </c>
    </row>
    <row r="2146" spans="1:16"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s="12" t="str">
        <f>TEXT(orders[[#This Row],[Order Date]],"mmmm")</f>
        <v>March</v>
      </c>
      <c r="P2146" t="str">
        <f>IF(orders[[#This Row],[Customer Gender]]="M","Male", IF(orders[[#This Row],[Customer Gender]]="F","Female", IF(orders[[#This Row],[Customer Gender]]= "O", "Other","Unknown")))</f>
        <v>Male</v>
      </c>
    </row>
    <row r="2147" spans="1:16"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s="12" t="str">
        <f>TEXT(orders[[#This Row],[Order Date]],"mmmm")</f>
        <v>March</v>
      </c>
      <c r="P2147" t="str">
        <f>IF(orders[[#This Row],[Customer Gender]]="M","Male", IF(orders[[#This Row],[Customer Gender]]="F","Female", IF(orders[[#This Row],[Customer Gender]]= "O", "Other","Unknown")))</f>
        <v>Female</v>
      </c>
    </row>
    <row r="2148" spans="1:16"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s="12" t="str">
        <f>TEXT(orders[[#This Row],[Order Date]],"mmmm")</f>
        <v>March</v>
      </c>
      <c r="P2148" t="str">
        <f>IF(orders[[#This Row],[Customer Gender]]="M","Male", IF(orders[[#This Row],[Customer Gender]]="F","Female", IF(orders[[#This Row],[Customer Gender]]= "O", "Other","Unknown")))</f>
        <v>Female</v>
      </c>
    </row>
    <row r="2149" spans="1:16"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s="12" t="str">
        <f>TEXT(orders[[#This Row],[Order Date]],"mmmm")</f>
        <v>March</v>
      </c>
      <c r="P2149" t="str">
        <f>IF(orders[[#This Row],[Customer Gender]]="M","Male", IF(orders[[#This Row],[Customer Gender]]="F","Female", IF(orders[[#This Row],[Customer Gender]]= "O", "Other","Unknown")))</f>
        <v>Male</v>
      </c>
    </row>
    <row r="2150" spans="1:16"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s="12" t="str">
        <f>TEXT(orders[[#This Row],[Order Date]],"mmmm")</f>
        <v>March</v>
      </c>
      <c r="P2150" t="str">
        <f>IF(orders[[#This Row],[Customer Gender]]="M","Male", IF(orders[[#This Row],[Customer Gender]]="F","Female", IF(orders[[#This Row],[Customer Gender]]= "O", "Other","Unknown")))</f>
        <v>Female</v>
      </c>
    </row>
    <row r="2151" spans="1:16"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s="12" t="str">
        <f>TEXT(orders[[#This Row],[Order Date]],"mmmm")</f>
        <v>March</v>
      </c>
      <c r="P2151" t="str">
        <f>IF(orders[[#This Row],[Customer Gender]]="M","Male", IF(orders[[#This Row],[Customer Gender]]="F","Female", IF(orders[[#This Row],[Customer Gender]]= "O", "Other","Unknown")))</f>
        <v>Male</v>
      </c>
    </row>
    <row r="2152" spans="1:16"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s="12" t="str">
        <f>TEXT(orders[[#This Row],[Order Date]],"mmmm")</f>
        <v>March</v>
      </c>
      <c r="P2152" t="str">
        <f>IF(orders[[#This Row],[Customer Gender]]="M","Male", IF(orders[[#This Row],[Customer Gender]]="F","Female", IF(orders[[#This Row],[Customer Gender]]= "O", "Other","Unknown")))</f>
        <v>Female</v>
      </c>
    </row>
    <row r="2153" spans="1:16"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s="12" t="str">
        <f>TEXT(orders[[#This Row],[Order Date]],"mmmm")</f>
        <v>March</v>
      </c>
      <c r="P2153" t="str">
        <f>IF(orders[[#This Row],[Customer Gender]]="M","Male", IF(orders[[#This Row],[Customer Gender]]="F","Female", IF(orders[[#This Row],[Customer Gender]]= "O", "Other","Unknown")))</f>
        <v>Female</v>
      </c>
    </row>
    <row r="2154" spans="1:16"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s="12" t="str">
        <f>TEXT(orders[[#This Row],[Order Date]],"mmmm")</f>
        <v>March</v>
      </c>
      <c r="P2154" t="str">
        <f>IF(orders[[#This Row],[Customer Gender]]="M","Male", IF(orders[[#This Row],[Customer Gender]]="F","Female", IF(orders[[#This Row],[Customer Gender]]= "O", "Other","Unknown")))</f>
        <v>Female</v>
      </c>
    </row>
    <row r="2155" spans="1:16"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s="12" t="str">
        <f>TEXT(orders[[#This Row],[Order Date]],"mmmm")</f>
        <v>March</v>
      </c>
      <c r="P2155" t="str">
        <f>IF(orders[[#This Row],[Customer Gender]]="M","Male", IF(orders[[#This Row],[Customer Gender]]="F","Female", IF(orders[[#This Row],[Customer Gender]]= "O", "Other","Unknown")))</f>
        <v>Female</v>
      </c>
    </row>
    <row r="2156" spans="1:16"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s="12" t="str">
        <f>TEXT(orders[[#This Row],[Order Date]],"mmmm")</f>
        <v>March</v>
      </c>
      <c r="P2156" t="str">
        <f>IF(orders[[#This Row],[Customer Gender]]="M","Male", IF(orders[[#This Row],[Customer Gender]]="F","Female", IF(orders[[#This Row],[Customer Gender]]= "O", "Other","Unknown")))</f>
        <v>Male</v>
      </c>
    </row>
    <row r="2157" spans="1:16"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s="12" t="str">
        <f>TEXT(orders[[#This Row],[Order Date]],"mmmm")</f>
        <v>March</v>
      </c>
      <c r="P2157" t="str">
        <f>IF(orders[[#This Row],[Customer Gender]]="M","Male", IF(orders[[#This Row],[Customer Gender]]="F","Female", IF(orders[[#This Row],[Customer Gender]]= "O", "Other","Unknown")))</f>
        <v>Male</v>
      </c>
    </row>
    <row r="2158" spans="1:16"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s="12" t="str">
        <f>TEXT(orders[[#This Row],[Order Date]],"mmmm")</f>
        <v>March</v>
      </c>
      <c r="P2158" t="str">
        <f>IF(orders[[#This Row],[Customer Gender]]="M","Male", IF(orders[[#This Row],[Customer Gender]]="F","Female", IF(orders[[#This Row],[Customer Gender]]= "O", "Other","Unknown")))</f>
        <v>Female</v>
      </c>
    </row>
    <row r="2159" spans="1:16"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s="12" t="str">
        <f>TEXT(orders[[#This Row],[Order Date]],"mmmm")</f>
        <v>March</v>
      </c>
      <c r="P2159" t="str">
        <f>IF(orders[[#This Row],[Customer Gender]]="M","Male", IF(orders[[#This Row],[Customer Gender]]="F","Female", IF(orders[[#This Row],[Customer Gender]]= "O", "Other","Unknown")))</f>
        <v>Female</v>
      </c>
    </row>
    <row r="2160" spans="1:16" hidden="1"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s="12" t="str">
        <f>TEXT(orders[[#This Row],[Order Date]],"mmmm")</f>
        <v>March</v>
      </c>
      <c r="P2160" t="str">
        <f>IF(orders[[#This Row],[Customer Gender]]="M","Male", IF(orders[[#This Row],[Customer Gender]]="F","Female", IF(orders[[#This Row],[Customer Gender]]= "O", "Other","Unknown")))</f>
        <v>Unknown</v>
      </c>
    </row>
    <row r="2161" spans="1:16"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s="12" t="str">
        <f>TEXT(orders[[#This Row],[Order Date]],"mmmm")</f>
        <v>March</v>
      </c>
      <c r="P2161" t="str">
        <f>IF(orders[[#This Row],[Customer Gender]]="M","Male", IF(orders[[#This Row],[Customer Gender]]="F","Female", IF(orders[[#This Row],[Customer Gender]]= "O", "Other","Unknown")))</f>
        <v>Male</v>
      </c>
    </row>
    <row r="2162" spans="1:16"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s="12" t="str">
        <f>TEXT(orders[[#This Row],[Order Date]],"mmmm")</f>
        <v>March</v>
      </c>
      <c r="P2162" t="str">
        <f>IF(orders[[#This Row],[Customer Gender]]="M","Male", IF(orders[[#This Row],[Customer Gender]]="F","Female", IF(orders[[#This Row],[Customer Gender]]= "O", "Other","Unknown")))</f>
        <v>Female</v>
      </c>
    </row>
    <row r="2163" spans="1:16"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s="12" t="str">
        <f>TEXT(orders[[#This Row],[Order Date]],"mmmm")</f>
        <v>March</v>
      </c>
      <c r="P2163" t="str">
        <f>IF(orders[[#This Row],[Customer Gender]]="M","Male", IF(orders[[#This Row],[Customer Gender]]="F","Female", IF(orders[[#This Row],[Customer Gender]]= "O", "Other","Unknown")))</f>
        <v>Male</v>
      </c>
    </row>
    <row r="2164" spans="1:16"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s="12" t="str">
        <f>TEXT(orders[[#This Row],[Order Date]],"mmmm")</f>
        <v>March</v>
      </c>
      <c r="P2164" t="str">
        <f>IF(orders[[#This Row],[Customer Gender]]="M","Male", IF(orders[[#This Row],[Customer Gender]]="F","Female", IF(orders[[#This Row],[Customer Gender]]= "O", "Other","Unknown")))</f>
        <v>Male</v>
      </c>
    </row>
    <row r="2165" spans="1:16"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s="12" t="str">
        <f>TEXT(orders[[#This Row],[Order Date]],"mmmm")</f>
        <v>March</v>
      </c>
      <c r="P2165" t="str">
        <f>IF(orders[[#This Row],[Customer Gender]]="M","Male", IF(orders[[#This Row],[Customer Gender]]="F","Female", IF(orders[[#This Row],[Customer Gender]]= "O", "Other","Unknown")))</f>
        <v>Male</v>
      </c>
    </row>
    <row r="2166" spans="1:16"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s="12" t="str">
        <f>TEXT(orders[[#This Row],[Order Date]],"mmmm")</f>
        <v>March</v>
      </c>
      <c r="P2166" t="str">
        <f>IF(orders[[#This Row],[Customer Gender]]="M","Male", IF(orders[[#This Row],[Customer Gender]]="F","Female", IF(orders[[#This Row],[Customer Gender]]= "O", "Other","Unknown")))</f>
        <v>Male</v>
      </c>
    </row>
    <row r="2167" spans="1:16"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s="12" t="str">
        <f>TEXT(orders[[#This Row],[Order Date]],"mmmm")</f>
        <v>March</v>
      </c>
      <c r="P2167" t="str">
        <f>IF(orders[[#This Row],[Customer Gender]]="M","Male", IF(orders[[#This Row],[Customer Gender]]="F","Female", IF(orders[[#This Row],[Customer Gender]]= "O", "Other","Unknown")))</f>
        <v>Male</v>
      </c>
    </row>
    <row r="2168" spans="1:16" hidden="1"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s="12" t="str">
        <f>TEXT(orders[[#This Row],[Order Date]],"mmmm")</f>
        <v>March</v>
      </c>
      <c r="P2168" t="str">
        <f>IF(orders[[#This Row],[Customer Gender]]="M","Male", IF(orders[[#This Row],[Customer Gender]]="F","Female", IF(orders[[#This Row],[Customer Gender]]= "O", "Other","Unknown")))</f>
        <v>Unknown</v>
      </c>
    </row>
    <row r="2169" spans="1:16"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s="12" t="str">
        <f>TEXT(orders[[#This Row],[Order Date]],"mmmm")</f>
        <v>March</v>
      </c>
      <c r="P2169" t="str">
        <f>IF(orders[[#This Row],[Customer Gender]]="M","Male", IF(orders[[#This Row],[Customer Gender]]="F","Female", IF(orders[[#This Row],[Customer Gender]]= "O", "Other","Unknown")))</f>
        <v>Female</v>
      </c>
    </row>
    <row r="2170" spans="1:16"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s="12" t="str">
        <f>TEXT(orders[[#This Row],[Order Date]],"mmmm")</f>
        <v>March</v>
      </c>
      <c r="P2170" t="str">
        <f>IF(orders[[#This Row],[Customer Gender]]="M","Male", IF(orders[[#This Row],[Customer Gender]]="F","Female", IF(orders[[#This Row],[Customer Gender]]= "O", "Other","Unknown")))</f>
        <v>Male</v>
      </c>
    </row>
    <row r="2171" spans="1:16"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s="12" t="str">
        <f>TEXT(orders[[#This Row],[Order Date]],"mmmm")</f>
        <v>March</v>
      </c>
      <c r="P2171" t="str">
        <f>IF(orders[[#This Row],[Customer Gender]]="M","Male", IF(orders[[#This Row],[Customer Gender]]="F","Female", IF(orders[[#This Row],[Customer Gender]]= "O", "Other","Unknown")))</f>
        <v>Male</v>
      </c>
    </row>
    <row r="2172" spans="1:16"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s="12" t="str">
        <f>TEXT(orders[[#This Row],[Order Date]],"mmmm")</f>
        <v>March</v>
      </c>
      <c r="P2172" t="str">
        <f>IF(orders[[#This Row],[Customer Gender]]="M","Male", IF(orders[[#This Row],[Customer Gender]]="F","Female", IF(orders[[#This Row],[Customer Gender]]= "O", "Other","Unknown")))</f>
        <v>Female</v>
      </c>
    </row>
    <row r="2173" spans="1:16"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s="12" t="str">
        <f>TEXT(orders[[#This Row],[Order Date]],"mmmm")</f>
        <v>March</v>
      </c>
      <c r="P2173" t="str">
        <f>IF(orders[[#This Row],[Customer Gender]]="M","Male", IF(orders[[#This Row],[Customer Gender]]="F","Female", IF(orders[[#This Row],[Customer Gender]]= "O", "Other","Unknown")))</f>
        <v>Male</v>
      </c>
    </row>
    <row r="2174" spans="1:16"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s="12" t="str">
        <f>TEXT(orders[[#This Row],[Order Date]],"mmmm")</f>
        <v>March</v>
      </c>
      <c r="P2174" t="str">
        <f>IF(orders[[#This Row],[Customer Gender]]="M","Male", IF(orders[[#This Row],[Customer Gender]]="F","Female", IF(orders[[#This Row],[Customer Gender]]= "O", "Other","Unknown")))</f>
        <v>Male</v>
      </c>
    </row>
    <row r="2175" spans="1:16"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s="12" t="str">
        <f>TEXT(orders[[#This Row],[Order Date]],"mmmm")</f>
        <v>March</v>
      </c>
      <c r="P2175" t="str">
        <f>IF(orders[[#This Row],[Customer Gender]]="M","Male", IF(orders[[#This Row],[Customer Gender]]="F","Female", IF(orders[[#This Row],[Customer Gender]]= "O", "Other","Unknown")))</f>
        <v>Female</v>
      </c>
    </row>
    <row r="2176" spans="1:16"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s="12" t="str">
        <f>TEXT(orders[[#This Row],[Order Date]],"mmmm")</f>
        <v>March</v>
      </c>
      <c r="P2176" t="str">
        <f>IF(orders[[#This Row],[Customer Gender]]="M","Male", IF(orders[[#This Row],[Customer Gender]]="F","Female", IF(orders[[#This Row],[Customer Gender]]= "O", "Other","Unknown")))</f>
        <v>Female</v>
      </c>
    </row>
    <row r="2177" spans="1:16"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s="12" t="str">
        <f>TEXT(orders[[#This Row],[Order Date]],"mmmm")</f>
        <v>March</v>
      </c>
      <c r="P2177" t="str">
        <f>IF(orders[[#This Row],[Customer Gender]]="M","Male", IF(orders[[#This Row],[Customer Gender]]="F","Female", IF(orders[[#This Row],[Customer Gender]]= "O", "Other","Unknown")))</f>
        <v>Male</v>
      </c>
    </row>
    <row r="2178" spans="1:16"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s="12" t="str">
        <f>TEXT(orders[[#This Row],[Order Date]],"mmmm")</f>
        <v>March</v>
      </c>
      <c r="P2178" t="str">
        <f>IF(orders[[#This Row],[Customer Gender]]="M","Male", IF(orders[[#This Row],[Customer Gender]]="F","Female", IF(orders[[#This Row],[Customer Gender]]= "O", "Other","Unknown")))</f>
        <v>Female</v>
      </c>
    </row>
    <row r="2179" spans="1:16"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s="12" t="str">
        <f>TEXT(orders[[#This Row],[Order Date]],"mmmm")</f>
        <v>March</v>
      </c>
      <c r="P2179" t="str">
        <f>IF(orders[[#This Row],[Customer Gender]]="M","Male", IF(orders[[#This Row],[Customer Gender]]="F","Female", IF(orders[[#This Row],[Customer Gender]]= "O", "Other","Unknown")))</f>
        <v>Female</v>
      </c>
    </row>
    <row r="2180" spans="1:16"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s="12" t="str">
        <f>TEXT(orders[[#This Row],[Order Date]],"mmmm")</f>
        <v>March</v>
      </c>
      <c r="P2180" t="str">
        <f>IF(orders[[#This Row],[Customer Gender]]="M","Male", IF(orders[[#This Row],[Customer Gender]]="F","Female", IF(orders[[#This Row],[Customer Gender]]= "O", "Other","Unknown")))</f>
        <v>Female</v>
      </c>
    </row>
    <row r="2181" spans="1:16"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s="12" t="str">
        <f>TEXT(orders[[#This Row],[Order Date]],"mmmm")</f>
        <v>March</v>
      </c>
      <c r="P2181" t="str">
        <f>IF(orders[[#This Row],[Customer Gender]]="M","Male", IF(orders[[#This Row],[Customer Gender]]="F","Female", IF(orders[[#This Row],[Customer Gender]]= "O", "Other","Unknown")))</f>
        <v>Male</v>
      </c>
    </row>
    <row r="2182" spans="1:16"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s="12" t="str">
        <f>TEXT(orders[[#This Row],[Order Date]],"mmmm")</f>
        <v>March</v>
      </c>
      <c r="P2182" t="str">
        <f>IF(orders[[#This Row],[Customer Gender]]="M","Male", IF(orders[[#This Row],[Customer Gender]]="F","Female", IF(orders[[#This Row],[Customer Gender]]= "O", "Other","Unknown")))</f>
        <v>Male</v>
      </c>
    </row>
    <row r="2183" spans="1:16"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s="12" t="str">
        <f>TEXT(orders[[#This Row],[Order Date]],"mmmm")</f>
        <v>March</v>
      </c>
      <c r="P2183" t="str">
        <f>IF(orders[[#This Row],[Customer Gender]]="M","Male", IF(orders[[#This Row],[Customer Gender]]="F","Female", IF(orders[[#This Row],[Customer Gender]]= "O", "Other","Unknown")))</f>
        <v>Male</v>
      </c>
    </row>
    <row r="2184" spans="1:16"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s="12" t="str">
        <f>TEXT(orders[[#This Row],[Order Date]],"mmmm")</f>
        <v>March</v>
      </c>
      <c r="P2184" t="str">
        <f>IF(orders[[#This Row],[Customer Gender]]="M","Male", IF(orders[[#This Row],[Customer Gender]]="F","Female", IF(orders[[#This Row],[Customer Gender]]= "O", "Other","Unknown")))</f>
        <v>Other</v>
      </c>
    </row>
    <row r="2185" spans="1:16"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s="12" t="str">
        <f>TEXT(orders[[#This Row],[Order Date]],"mmmm")</f>
        <v>March</v>
      </c>
      <c r="P2185" t="str">
        <f>IF(orders[[#This Row],[Customer Gender]]="M","Male", IF(orders[[#This Row],[Customer Gender]]="F","Female", IF(orders[[#This Row],[Customer Gender]]= "O", "Other","Unknown")))</f>
        <v>Female</v>
      </c>
    </row>
    <row r="2186" spans="1:16"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s="12" t="str">
        <f>TEXT(orders[[#This Row],[Order Date]],"mmmm")</f>
        <v>March</v>
      </c>
      <c r="P2186" t="str">
        <f>IF(orders[[#This Row],[Customer Gender]]="M","Male", IF(orders[[#This Row],[Customer Gender]]="F","Female", IF(orders[[#This Row],[Customer Gender]]= "O", "Other","Unknown")))</f>
        <v>Male</v>
      </c>
    </row>
    <row r="2187" spans="1:16"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s="12" t="str">
        <f>TEXT(orders[[#This Row],[Order Date]],"mmmm")</f>
        <v>March</v>
      </c>
      <c r="P2187" t="str">
        <f>IF(orders[[#This Row],[Customer Gender]]="M","Male", IF(orders[[#This Row],[Customer Gender]]="F","Female", IF(orders[[#This Row],[Customer Gender]]= "O", "Other","Unknown")))</f>
        <v>Male</v>
      </c>
    </row>
    <row r="2188" spans="1:16"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s="12" t="str">
        <f>TEXT(orders[[#This Row],[Order Date]],"mmmm")</f>
        <v>March</v>
      </c>
      <c r="P2188" t="str">
        <f>IF(orders[[#This Row],[Customer Gender]]="M","Male", IF(orders[[#This Row],[Customer Gender]]="F","Female", IF(orders[[#This Row],[Customer Gender]]= "O", "Other","Unknown")))</f>
        <v>Female</v>
      </c>
    </row>
    <row r="2189" spans="1:16"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s="12" t="str">
        <f>TEXT(orders[[#This Row],[Order Date]],"mmmm")</f>
        <v>March</v>
      </c>
      <c r="P2189" t="str">
        <f>IF(orders[[#This Row],[Customer Gender]]="M","Male", IF(orders[[#This Row],[Customer Gender]]="F","Female", IF(orders[[#This Row],[Customer Gender]]= "O", "Other","Unknown")))</f>
        <v>Female</v>
      </c>
    </row>
    <row r="2190" spans="1:16"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s="12" t="str">
        <f>TEXT(orders[[#This Row],[Order Date]],"mmmm")</f>
        <v>March</v>
      </c>
      <c r="P2190" t="str">
        <f>IF(orders[[#This Row],[Customer Gender]]="M","Male", IF(orders[[#This Row],[Customer Gender]]="F","Female", IF(orders[[#This Row],[Customer Gender]]= "O", "Other","Unknown")))</f>
        <v>Male</v>
      </c>
    </row>
    <row r="2191" spans="1:16"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s="12" t="str">
        <f>TEXT(orders[[#This Row],[Order Date]],"mmmm")</f>
        <v>March</v>
      </c>
      <c r="P2191" t="str">
        <f>IF(orders[[#This Row],[Customer Gender]]="M","Male", IF(orders[[#This Row],[Customer Gender]]="F","Female", IF(orders[[#This Row],[Customer Gender]]= "O", "Other","Unknown")))</f>
        <v>Male</v>
      </c>
    </row>
    <row r="2192" spans="1:16"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s="12" t="str">
        <f>TEXT(orders[[#This Row],[Order Date]],"mmmm")</f>
        <v>March</v>
      </c>
      <c r="P2192" t="str">
        <f>IF(orders[[#This Row],[Customer Gender]]="M","Male", IF(orders[[#This Row],[Customer Gender]]="F","Female", IF(orders[[#This Row],[Customer Gender]]= "O", "Other","Unknown")))</f>
        <v>Male</v>
      </c>
    </row>
    <row r="2193" spans="1:16"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s="12" t="str">
        <f>TEXT(orders[[#This Row],[Order Date]],"mmmm")</f>
        <v>March</v>
      </c>
      <c r="P2193" t="str">
        <f>IF(orders[[#This Row],[Customer Gender]]="M","Male", IF(orders[[#This Row],[Customer Gender]]="F","Female", IF(orders[[#This Row],[Customer Gender]]= "O", "Other","Unknown")))</f>
        <v>Male</v>
      </c>
    </row>
    <row r="2194" spans="1:16"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s="12" t="str">
        <f>TEXT(orders[[#This Row],[Order Date]],"mmmm")</f>
        <v>March</v>
      </c>
      <c r="P2194" t="str">
        <f>IF(orders[[#This Row],[Customer Gender]]="M","Male", IF(orders[[#This Row],[Customer Gender]]="F","Female", IF(orders[[#This Row],[Customer Gender]]= "O", "Other","Unknown")))</f>
        <v>Male</v>
      </c>
    </row>
    <row r="2195" spans="1:16"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s="12" t="str">
        <f>TEXT(orders[[#This Row],[Order Date]],"mmmm")</f>
        <v>March</v>
      </c>
      <c r="P2195" t="str">
        <f>IF(orders[[#This Row],[Customer Gender]]="M","Male", IF(orders[[#This Row],[Customer Gender]]="F","Female", IF(orders[[#This Row],[Customer Gender]]= "O", "Other","Unknown")))</f>
        <v>Female</v>
      </c>
    </row>
    <row r="2196" spans="1:16"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s="12" t="str">
        <f>TEXT(orders[[#This Row],[Order Date]],"mmmm")</f>
        <v>March</v>
      </c>
      <c r="P2196" t="str">
        <f>IF(orders[[#This Row],[Customer Gender]]="M","Male", IF(orders[[#This Row],[Customer Gender]]="F","Female", IF(orders[[#This Row],[Customer Gender]]= "O", "Other","Unknown")))</f>
        <v>Male</v>
      </c>
    </row>
    <row r="2197" spans="1:16"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s="12" t="str">
        <f>TEXT(orders[[#This Row],[Order Date]],"mmmm")</f>
        <v>March</v>
      </c>
      <c r="P2197" t="str">
        <f>IF(orders[[#This Row],[Customer Gender]]="M","Male", IF(orders[[#This Row],[Customer Gender]]="F","Female", IF(orders[[#This Row],[Customer Gender]]= "O", "Other","Unknown")))</f>
        <v>Male</v>
      </c>
    </row>
    <row r="2198" spans="1:16"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s="12" t="str">
        <f>TEXT(orders[[#This Row],[Order Date]],"mmmm")</f>
        <v>March</v>
      </c>
      <c r="P2198" t="str">
        <f>IF(orders[[#This Row],[Customer Gender]]="M","Male", IF(orders[[#This Row],[Customer Gender]]="F","Female", IF(orders[[#This Row],[Customer Gender]]= "O", "Other","Unknown")))</f>
        <v>Female</v>
      </c>
    </row>
    <row r="2199" spans="1:16"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s="12" t="str">
        <f>TEXT(orders[[#This Row],[Order Date]],"mmmm")</f>
        <v>March</v>
      </c>
      <c r="P2199" t="str">
        <f>IF(orders[[#This Row],[Customer Gender]]="M","Male", IF(orders[[#This Row],[Customer Gender]]="F","Female", IF(orders[[#This Row],[Customer Gender]]= "O", "Other","Unknown")))</f>
        <v>Female</v>
      </c>
    </row>
    <row r="2200" spans="1:16"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s="12" t="str">
        <f>TEXT(orders[[#This Row],[Order Date]],"mmmm")</f>
        <v>March</v>
      </c>
      <c r="P2200" t="str">
        <f>IF(orders[[#This Row],[Customer Gender]]="M","Male", IF(orders[[#This Row],[Customer Gender]]="F","Female", IF(orders[[#This Row],[Customer Gender]]= "O", "Other","Unknown")))</f>
        <v>Male</v>
      </c>
    </row>
    <row r="2201" spans="1:16"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s="12" t="str">
        <f>TEXT(orders[[#This Row],[Order Date]],"mmmm")</f>
        <v>March</v>
      </c>
      <c r="P2201" t="str">
        <f>IF(orders[[#This Row],[Customer Gender]]="M","Male", IF(orders[[#This Row],[Customer Gender]]="F","Female", IF(orders[[#This Row],[Customer Gender]]= "O", "Other","Unknown")))</f>
        <v>Male</v>
      </c>
    </row>
    <row r="2202" spans="1:16"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s="12" t="str">
        <f>TEXT(orders[[#This Row],[Order Date]],"mmmm")</f>
        <v>March</v>
      </c>
      <c r="P2202" t="str">
        <f>IF(orders[[#This Row],[Customer Gender]]="M","Male", IF(orders[[#This Row],[Customer Gender]]="F","Female", IF(orders[[#This Row],[Customer Gender]]= "O", "Other","Unknown")))</f>
        <v>Male</v>
      </c>
    </row>
    <row r="2203" spans="1:16"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s="12" t="str">
        <f>TEXT(orders[[#This Row],[Order Date]],"mmmm")</f>
        <v>March</v>
      </c>
      <c r="P2203" t="str">
        <f>IF(orders[[#This Row],[Customer Gender]]="M","Male", IF(orders[[#This Row],[Customer Gender]]="F","Female", IF(orders[[#This Row],[Customer Gender]]= "O", "Other","Unknown")))</f>
        <v>Male</v>
      </c>
    </row>
    <row r="2204" spans="1:16"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s="12" t="str">
        <f>TEXT(orders[[#This Row],[Order Date]],"mmmm")</f>
        <v>March</v>
      </c>
      <c r="P2204" t="str">
        <f>IF(orders[[#This Row],[Customer Gender]]="M","Male", IF(orders[[#This Row],[Customer Gender]]="F","Female", IF(orders[[#This Row],[Customer Gender]]= "O", "Other","Unknown")))</f>
        <v>Male</v>
      </c>
    </row>
    <row r="2205" spans="1:16"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s="12" t="str">
        <f>TEXT(orders[[#This Row],[Order Date]],"mmmm")</f>
        <v>March</v>
      </c>
      <c r="P2205" t="str">
        <f>IF(orders[[#This Row],[Customer Gender]]="M","Male", IF(orders[[#This Row],[Customer Gender]]="F","Female", IF(orders[[#This Row],[Customer Gender]]= "O", "Other","Unknown")))</f>
        <v>Male</v>
      </c>
    </row>
    <row r="2206" spans="1:16"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s="12" t="str">
        <f>TEXT(orders[[#This Row],[Order Date]],"mmmm")</f>
        <v>March</v>
      </c>
      <c r="P2206" t="str">
        <f>IF(orders[[#This Row],[Customer Gender]]="M","Male", IF(orders[[#This Row],[Customer Gender]]="F","Female", IF(orders[[#This Row],[Customer Gender]]= "O", "Other","Unknown")))</f>
        <v>Female</v>
      </c>
    </row>
    <row r="2207" spans="1:16"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s="12" t="str">
        <f>TEXT(orders[[#This Row],[Order Date]],"mmmm")</f>
        <v>March</v>
      </c>
      <c r="P2207" t="str">
        <f>IF(orders[[#This Row],[Customer Gender]]="M","Male", IF(orders[[#This Row],[Customer Gender]]="F","Female", IF(orders[[#This Row],[Customer Gender]]= "O", "Other","Unknown")))</f>
        <v>Female</v>
      </c>
    </row>
    <row r="2208" spans="1:16"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s="12" t="str">
        <f>TEXT(orders[[#This Row],[Order Date]],"mmmm")</f>
        <v>March</v>
      </c>
      <c r="P2208" t="str">
        <f>IF(orders[[#This Row],[Customer Gender]]="M","Male", IF(orders[[#This Row],[Customer Gender]]="F","Female", IF(orders[[#This Row],[Customer Gender]]= "O", "Other","Unknown")))</f>
        <v>Female</v>
      </c>
    </row>
    <row r="2209" spans="1:16"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s="12" t="str">
        <f>TEXT(orders[[#This Row],[Order Date]],"mmmm")</f>
        <v>March</v>
      </c>
      <c r="P2209" t="str">
        <f>IF(orders[[#This Row],[Customer Gender]]="M","Male", IF(orders[[#This Row],[Customer Gender]]="F","Female", IF(orders[[#This Row],[Customer Gender]]= "O", "Other","Unknown")))</f>
        <v>Female</v>
      </c>
    </row>
    <row r="2210" spans="1:16"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s="12" t="str">
        <f>TEXT(orders[[#This Row],[Order Date]],"mmmm")</f>
        <v>March</v>
      </c>
      <c r="P2210" t="str">
        <f>IF(orders[[#This Row],[Customer Gender]]="M","Male", IF(orders[[#This Row],[Customer Gender]]="F","Female", IF(orders[[#This Row],[Customer Gender]]= "O", "Other","Unknown")))</f>
        <v>Female</v>
      </c>
    </row>
    <row r="2211" spans="1:16"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s="12" t="str">
        <f>TEXT(orders[[#This Row],[Order Date]],"mmmm")</f>
        <v>March</v>
      </c>
      <c r="P2211" t="str">
        <f>IF(orders[[#This Row],[Customer Gender]]="M","Male", IF(orders[[#This Row],[Customer Gender]]="F","Female", IF(orders[[#This Row],[Customer Gender]]= "O", "Other","Unknown")))</f>
        <v>Male</v>
      </c>
    </row>
    <row r="2212" spans="1:16" hidden="1"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s="12" t="str">
        <f>TEXT(orders[[#This Row],[Order Date]],"mmmm")</f>
        <v>March</v>
      </c>
      <c r="P2212" t="str">
        <f>IF(orders[[#This Row],[Customer Gender]]="M","Male", IF(orders[[#This Row],[Customer Gender]]="F","Female", IF(orders[[#This Row],[Customer Gender]]= "O", "Other","Unknown")))</f>
        <v>Unknown</v>
      </c>
    </row>
    <row r="2213" spans="1:16"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s="12" t="str">
        <f>TEXT(orders[[#This Row],[Order Date]],"mmmm")</f>
        <v>March</v>
      </c>
      <c r="P2213" t="str">
        <f>IF(orders[[#This Row],[Customer Gender]]="M","Male", IF(orders[[#This Row],[Customer Gender]]="F","Female", IF(orders[[#This Row],[Customer Gender]]= "O", "Other","Unknown")))</f>
        <v>Male</v>
      </c>
    </row>
    <row r="2214" spans="1:16"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s="12" t="str">
        <f>TEXT(orders[[#This Row],[Order Date]],"mmmm")</f>
        <v>March</v>
      </c>
      <c r="P2214" t="str">
        <f>IF(orders[[#This Row],[Customer Gender]]="M","Male", IF(orders[[#This Row],[Customer Gender]]="F","Female", IF(orders[[#This Row],[Customer Gender]]= "O", "Other","Unknown")))</f>
        <v>Female</v>
      </c>
    </row>
    <row r="2215" spans="1:16"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s="12" t="str">
        <f>TEXT(orders[[#This Row],[Order Date]],"mmmm")</f>
        <v>March</v>
      </c>
      <c r="P2215" t="str">
        <f>IF(orders[[#This Row],[Customer Gender]]="M","Male", IF(orders[[#This Row],[Customer Gender]]="F","Female", IF(orders[[#This Row],[Customer Gender]]= "O", "Other","Unknown")))</f>
        <v>Male</v>
      </c>
    </row>
    <row r="2216" spans="1:16"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s="12" t="str">
        <f>TEXT(orders[[#This Row],[Order Date]],"mmmm")</f>
        <v>March</v>
      </c>
      <c r="P2216" t="str">
        <f>IF(orders[[#This Row],[Customer Gender]]="M","Male", IF(orders[[#This Row],[Customer Gender]]="F","Female", IF(orders[[#This Row],[Customer Gender]]= "O", "Other","Unknown")))</f>
        <v>Other</v>
      </c>
    </row>
    <row r="2217" spans="1:16"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s="12" t="str">
        <f>TEXT(orders[[#This Row],[Order Date]],"mmmm")</f>
        <v>March</v>
      </c>
      <c r="P2217" t="str">
        <f>IF(orders[[#This Row],[Customer Gender]]="M","Male", IF(orders[[#This Row],[Customer Gender]]="F","Female", IF(orders[[#This Row],[Customer Gender]]= "O", "Other","Unknown")))</f>
        <v>Female</v>
      </c>
    </row>
    <row r="2218" spans="1:16"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s="12" t="str">
        <f>TEXT(orders[[#This Row],[Order Date]],"mmmm")</f>
        <v>March</v>
      </c>
      <c r="P2218" t="str">
        <f>IF(orders[[#This Row],[Customer Gender]]="M","Male", IF(orders[[#This Row],[Customer Gender]]="F","Female", IF(orders[[#This Row],[Customer Gender]]= "O", "Other","Unknown")))</f>
        <v>Male</v>
      </c>
    </row>
    <row r="2219" spans="1:16"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s="12" t="str">
        <f>TEXT(orders[[#This Row],[Order Date]],"mmmm")</f>
        <v>March</v>
      </c>
      <c r="P2219" t="str">
        <f>IF(orders[[#This Row],[Customer Gender]]="M","Male", IF(orders[[#This Row],[Customer Gender]]="F","Female", IF(orders[[#This Row],[Customer Gender]]= "O", "Other","Unknown")))</f>
        <v>Male</v>
      </c>
    </row>
    <row r="2220" spans="1:16"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s="12" t="str">
        <f>TEXT(orders[[#This Row],[Order Date]],"mmmm")</f>
        <v>March</v>
      </c>
      <c r="P2220" t="str">
        <f>IF(orders[[#This Row],[Customer Gender]]="M","Male", IF(orders[[#This Row],[Customer Gender]]="F","Female", IF(orders[[#This Row],[Customer Gender]]= "O", "Other","Unknown")))</f>
        <v>Male</v>
      </c>
    </row>
    <row r="2221" spans="1:16"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s="12" t="str">
        <f>TEXT(orders[[#This Row],[Order Date]],"mmmm")</f>
        <v>March</v>
      </c>
      <c r="P2221" t="str">
        <f>IF(orders[[#This Row],[Customer Gender]]="M","Male", IF(orders[[#This Row],[Customer Gender]]="F","Female", IF(orders[[#This Row],[Customer Gender]]= "O", "Other","Unknown")))</f>
        <v>Male</v>
      </c>
    </row>
    <row r="2222" spans="1:16"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s="12" t="str">
        <f>TEXT(orders[[#This Row],[Order Date]],"mmmm")</f>
        <v>March</v>
      </c>
      <c r="P2222" t="str">
        <f>IF(orders[[#This Row],[Customer Gender]]="M","Male", IF(orders[[#This Row],[Customer Gender]]="F","Female", IF(orders[[#This Row],[Customer Gender]]= "O", "Other","Unknown")))</f>
        <v>Male</v>
      </c>
    </row>
    <row r="2223" spans="1:16"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s="12" t="str">
        <f>TEXT(orders[[#This Row],[Order Date]],"mmmm")</f>
        <v>March</v>
      </c>
      <c r="P2223" t="str">
        <f>IF(orders[[#This Row],[Customer Gender]]="M","Male", IF(orders[[#This Row],[Customer Gender]]="F","Female", IF(orders[[#This Row],[Customer Gender]]= "O", "Other","Unknown")))</f>
        <v>Male</v>
      </c>
    </row>
    <row r="2224" spans="1:16"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s="12" t="str">
        <f>TEXT(orders[[#This Row],[Order Date]],"mmmm")</f>
        <v>March</v>
      </c>
      <c r="P2224" t="str">
        <f>IF(orders[[#This Row],[Customer Gender]]="M","Male", IF(orders[[#This Row],[Customer Gender]]="F","Female", IF(orders[[#This Row],[Customer Gender]]= "O", "Other","Unknown")))</f>
        <v>Female</v>
      </c>
    </row>
    <row r="2225" spans="1:16"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s="12" t="str">
        <f>TEXT(orders[[#This Row],[Order Date]],"mmmm")</f>
        <v>March</v>
      </c>
      <c r="P2225" t="str">
        <f>IF(orders[[#This Row],[Customer Gender]]="M","Male", IF(orders[[#This Row],[Customer Gender]]="F","Female", IF(orders[[#This Row],[Customer Gender]]= "O", "Other","Unknown")))</f>
        <v>Female</v>
      </c>
    </row>
    <row r="2226" spans="1:16"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s="12" t="str">
        <f>TEXT(orders[[#This Row],[Order Date]],"mmmm")</f>
        <v>March</v>
      </c>
      <c r="P2226" t="str">
        <f>IF(orders[[#This Row],[Customer Gender]]="M","Male", IF(orders[[#This Row],[Customer Gender]]="F","Female", IF(orders[[#This Row],[Customer Gender]]= "O", "Other","Unknown")))</f>
        <v>Female</v>
      </c>
    </row>
    <row r="2227" spans="1:16"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s="12" t="str">
        <f>TEXT(orders[[#This Row],[Order Date]],"mmmm")</f>
        <v>March</v>
      </c>
      <c r="P2227" t="str">
        <f>IF(orders[[#This Row],[Customer Gender]]="M","Male", IF(orders[[#This Row],[Customer Gender]]="F","Female", IF(orders[[#This Row],[Customer Gender]]= "O", "Other","Unknown")))</f>
        <v>Female</v>
      </c>
    </row>
    <row r="2228" spans="1:16"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s="12" t="str">
        <f>TEXT(orders[[#This Row],[Order Date]],"mmmm")</f>
        <v>March</v>
      </c>
      <c r="P2228" t="str">
        <f>IF(orders[[#This Row],[Customer Gender]]="M","Male", IF(orders[[#This Row],[Customer Gender]]="F","Female", IF(orders[[#This Row],[Customer Gender]]= "O", "Other","Unknown")))</f>
        <v>Male</v>
      </c>
    </row>
    <row r="2229" spans="1:16"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s="12" t="str">
        <f>TEXT(orders[[#This Row],[Order Date]],"mmmm")</f>
        <v>March</v>
      </c>
      <c r="P2229" t="str">
        <f>IF(orders[[#This Row],[Customer Gender]]="M","Male", IF(orders[[#This Row],[Customer Gender]]="F","Female", IF(orders[[#This Row],[Customer Gender]]= "O", "Other","Unknown")))</f>
        <v>Male</v>
      </c>
    </row>
    <row r="2230" spans="1:16"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s="12" t="str">
        <f>TEXT(orders[[#This Row],[Order Date]],"mmmm")</f>
        <v>March</v>
      </c>
      <c r="P2230" t="str">
        <f>IF(orders[[#This Row],[Customer Gender]]="M","Male", IF(orders[[#This Row],[Customer Gender]]="F","Female", IF(orders[[#This Row],[Customer Gender]]= "O", "Other","Unknown")))</f>
        <v>Female</v>
      </c>
    </row>
    <row r="2231" spans="1:16"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s="12" t="str">
        <f>TEXT(orders[[#This Row],[Order Date]],"mmmm")</f>
        <v>March</v>
      </c>
      <c r="P2231" t="str">
        <f>IF(orders[[#This Row],[Customer Gender]]="M","Male", IF(orders[[#This Row],[Customer Gender]]="F","Female", IF(orders[[#This Row],[Customer Gender]]= "O", "Other","Unknown")))</f>
        <v>Female</v>
      </c>
    </row>
    <row r="2232" spans="1:16"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s="12" t="str">
        <f>TEXT(orders[[#This Row],[Order Date]],"mmmm")</f>
        <v>March</v>
      </c>
      <c r="P2232" t="str">
        <f>IF(orders[[#This Row],[Customer Gender]]="M","Male", IF(orders[[#This Row],[Customer Gender]]="F","Female", IF(orders[[#This Row],[Customer Gender]]= "O", "Other","Unknown")))</f>
        <v>Female</v>
      </c>
    </row>
    <row r="2233" spans="1:16"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s="12" t="str">
        <f>TEXT(orders[[#This Row],[Order Date]],"mmmm")</f>
        <v>March</v>
      </c>
      <c r="P2233" t="str">
        <f>IF(orders[[#This Row],[Customer Gender]]="M","Male", IF(orders[[#This Row],[Customer Gender]]="F","Female", IF(orders[[#This Row],[Customer Gender]]= "O", "Other","Unknown")))</f>
        <v>Male</v>
      </c>
    </row>
    <row r="2234" spans="1:16"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s="12" t="str">
        <f>TEXT(orders[[#This Row],[Order Date]],"mmmm")</f>
        <v>March</v>
      </c>
      <c r="P2234" t="str">
        <f>IF(orders[[#This Row],[Customer Gender]]="M","Male", IF(orders[[#This Row],[Customer Gender]]="F","Female", IF(orders[[#This Row],[Customer Gender]]= "O", "Other","Unknown")))</f>
        <v>Female</v>
      </c>
    </row>
    <row r="2235" spans="1:16"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s="12" t="str">
        <f>TEXT(orders[[#This Row],[Order Date]],"mmmm")</f>
        <v>March</v>
      </c>
      <c r="P2235" t="str">
        <f>IF(orders[[#This Row],[Customer Gender]]="M","Male", IF(orders[[#This Row],[Customer Gender]]="F","Female", IF(orders[[#This Row],[Customer Gender]]= "O", "Other","Unknown")))</f>
        <v>Male</v>
      </c>
    </row>
    <row r="2236" spans="1:16"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s="12" t="str">
        <f>TEXT(orders[[#This Row],[Order Date]],"mmmm")</f>
        <v>March</v>
      </c>
      <c r="P2236" t="str">
        <f>IF(orders[[#This Row],[Customer Gender]]="M","Male", IF(orders[[#This Row],[Customer Gender]]="F","Female", IF(orders[[#This Row],[Customer Gender]]= "O", "Other","Unknown")))</f>
        <v>Female</v>
      </c>
    </row>
    <row r="2237" spans="1:16" hidden="1"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s="12" t="str">
        <f>TEXT(orders[[#This Row],[Order Date]],"mmmm")</f>
        <v>March</v>
      </c>
      <c r="P2237" t="str">
        <f>IF(orders[[#This Row],[Customer Gender]]="M","Male", IF(orders[[#This Row],[Customer Gender]]="F","Female", IF(orders[[#This Row],[Customer Gender]]= "O", "Other","Unknown")))</f>
        <v>Unknown</v>
      </c>
    </row>
    <row r="2238" spans="1:16"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s="12" t="str">
        <f>TEXT(orders[[#This Row],[Order Date]],"mmmm")</f>
        <v>March</v>
      </c>
      <c r="P2238" t="str">
        <f>IF(orders[[#This Row],[Customer Gender]]="M","Male", IF(orders[[#This Row],[Customer Gender]]="F","Female", IF(orders[[#This Row],[Customer Gender]]= "O", "Other","Unknown")))</f>
        <v>Female</v>
      </c>
    </row>
    <row r="2239" spans="1:16"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s="12" t="str">
        <f>TEXT(orders[[#This Row],[Order Date]],"mmmm")</f>
        <v>March</v>
      </c>
      <c r="P2239" t="str">
        <f>IF(orders[[#This Row],[Customer Gender]]="M","Male", IF(orders[[#This Row],[Customer Gender]]="F","Female", IF(orders[[#This Row],[Customer Gender]]= "O", "Other","Unknown")))</f>
        <v>Female</v>
      </c>
    </row>
    <row r="2240" spans="1:16"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s="12" t="str">
        <f>TEXT(orders[[#This Row],[Order Date]],"mmmm")</f>
        <v>March</v>
      </c>
      <c r="P2240" t="str">
        <f>IF(orders[[#This Row],[Customer Gender]]="M","Male", IF(orders[[#This Row],[Customer Gender]]="F","Female", IF(orders[[#This Row],[Customer Gender]]= "O", "Other","Unknown")))</f>
        <v>Male</v>
      </c>
    </row>
    <row r="2241" spans="1:16"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s="12" t="str">
        <f>TEXT(orders[[#This Row],[Order Date]],"mmmm")</f>
        <v>March</v>
      </c>
      <c r="P2241" t="str">
        <f>IF(orders[[#This Row],[Customer Gender]]="M","Male", IF(orders[[#This Row],[Customer Gender]]="F","Female", IF(orders[[#This Row],[Customer Gender]]= "O", "Other","Unknown")))</f>
        <v>Female</v>
      </c>
    </row>
    <row r="2242" spans="1:16"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s="12" t="str">
        <f>TEXT(orders[[#This Row],[Order Date]],"mmmm")</f>
        <v>March</v>
      </c>
      <c r="P2242" t="str">
        <f>IF(orders[[#This Row],[Customer Gender]]="M","Male", IF(orders[[#This Row],[Customer Gender]]="F","Female", IF(orders[[#This Row],[Customer Gender]]= "O", "Other","Unknown")))</f>
        <v>Female</v>
      </c>
    </row>
    <row r="2243" spans="1:16"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s="12" t="str">
        <f>TEXT(orders[[#This Row],[Order Date]],"mmmm")</f>
        <v>March</v>
      </c>
      <c r="P2243" t="str">
        <f>IF(orders[[#This Row],[Customer Gender]]="M","Male", IF(orders[[#This Row],[Customer Gender]]="F","Female", IF(orders[[#This Row],[Customer Gender]]= "O", "Other","Unknown")))</f>
        <v>Male</v>
      </c>
    </row>
    <row r="2244" spans="1:16"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s="12" t="str">
        <f>TEXT(orders[[#This Row],[Order Date]],"mmmm")</f>
        <v>March</v>
      </c>
      <c r="P2244" t="str">
        <f>IF(orders[[#This Row],[Customer Gender]]="M","Male", IF(orders[[#This Row],[Customer Gender]]="F","Female", IF(orders[[#This Row],[Customer Gender]]= "O", "Other","Unknown")))</f>
        <v>Male</v>
      </c>
    </row>
    <row r="2245" spans="1:16"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s="12" t="str">
        <f>TEXT(orders[[#This Row],[Order Date]],"mmmm")</f>
        <v>March</v>
      </c>
      <c r="P2245" t="str">
        <f>IF(orders[[#This Row],[Customer Gender]]="M","Male", IF(orders[[#This Row],[Customer Gender]]="F","Female", IF(orders[[#This Row],[Customer Gender]]= "O", "Other","Unknown")))</f>
        <v>Female</v>
      </c>
    </row>
    <row r="2246" spans="1:16"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s="12" t="str">
        <f>TEXT(orders[[#This Row],[Order Date]],"mmmm")</f>
        <v>March</v>
      </c>
      <c r="P2246" t="str">
        <f>IF(orders[[#This Row],[Customer Gender]]="M","Male", IF(orders[[#This Row],[Customer Gender]]="F","Female", IF(orders[[#This Row],[Customer Gender]]= "O", "Other","Unknown")))</f>
        <v>Male</v>
      </c>
    </row>
    <row r="2247" spans="1:16"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s="12" t="str">
        <f>TEXT(orders[[#This Row],[Order Date]],"mmmm")</f>
        <v>March</v>
      </c>
      <c r="P2247" t="str">
        <f>IF(orders[[#This Row],[Customer Gender]]="M","Male", IF(orders[[#This Row],[Customer Gender]]="F","Female", IF(orders[[#This Row],[Customer Gender]]= "O", "Other","Unknown")))</f>
        <v>Female</v>
      </c>
    </row>
    <row r="2248" spans="1:16"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s="12" t="str">
        <f>TEXT(orders[[#This Row],[Order Date]],"mmmm")</f>
        <v>March</v>
      </c>
      <c r="P2248" t="str">
        <f>IF(orders[[#This Row],[Customer Gender]]="M","Male", IF(orders[[#This Row],[Customer Gender]]="F","Female", IF(orders[[#This Row],[Customer Gender]]= "O", "Other","Unknown")))</f>
        <v>Female</v>
      </c>
    </row>
    <row r="2249" spans="1:16"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s="12" t="str">
        <f>TEXT(orders[[#This Row],[Order Date]],"mmmm")</f>
        <v>March</v>
      </c>
      <c r="P2249" t="str">
        <f>IF(orders[[#This Row],[Customer Gender]]="M","Male", IF(orders[[#This Row],[Customer Gender]]="F","Female", IF(orders[[#This Row],[Customer Gender]]= "O", "Other","Unknown")))</f>
        <v>Female</v>
      </c>
    </row>
    <row r="2250" spans="1:16"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s="12" t="str">
        <f>TEXT(orders[[#This Row],[Order Date]],"mmmm")</f>
        <v>March</v>
      </c>
      <c r="P2250" t="str">
        <f>IF(orders[[#This Row],[Customer Gender]]="M","Male", IF(orders[[#This Row],[Customer Gender]]="F","Female", IF(orders[[#This Row],[Customer Gender]]= "O", "Other","Unknown")))</f>
        <v>Male</v>
      </c>
    </row>
    <row r="2251" spans="1:16"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s="12" t="str">
        <f>TEXT(orders[[#This Row],[Order Date]],"mmmm")</f>
        <v>March</v>
      </c>
      <c r="P2251" t="str">
        <f>IF(orders[[#This Row],[Customer Gender]]="M","Male", IF(orders[[#This Row],[Customer Gender]]="F","Female", IF(orders[[#This Row],[Customer Gender]]= "O", "Other","Unknown")))</f>
        <v>Female</v>
      </c>
    </row>
    <row r="2252" spans="1:16"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s="12" t="str">
        <f>TEXT(orders[[#This Row],[Order Date]],"mmmm")</f>
        <v>March</v>
      </c>
      <c r="P2252" t="str">
        <f>IF(orders[[#This Row],[Customer Gender]]="M","Male", IF(orders[[#This Row],[Customer Gender]]="F","Female", IF(orders[[#This Row],[Customer Gender]]= "O", "Other","Unknown")))</f>
        <v>Female</v>
      </c>
    </row>
    <row r="2253" spans="1:16"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s="12" t="str">
        <f>TEXT(orders[[#This Row],[Order Date]],"mmmm")</f>
        <v>March</v>
      </c>
      <c r="P2253" t="str">
        <f>IF(orders[[#This Row],[Customer Gender]]="M","Male", IF(orders[[#This Row],[Customer Gender]]="F","Female", IF(orders[[#This Row],[Customer Gender]]= "O", "Other","Unknown")))</f>
        <v>Male</v>
      </c>
    </row>
    <row r="2254" spans="1:16"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s="12" t="str">
        <f>TEXT(orders[[#This Row],[Order Date]],"mmmm")</f>
        <v>March</v>
      </c>
      <c r="P2254" t="str">
        <f>IF(orders[[#This Row],[Customer Gender]]="M","Male", IF(orders[[#This Row],[Customer Gender]]="F","Female", IF(orders[[#This Row],[Customer Gender]]= "O", "Other","Unknown")))</f>
        <v>Male</v>
      </c>
    </row>
    <row r="2255" spans="1:16"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s="12" t="str">
        <f>TEXT(orders[[#This Row],[Order Date]],"mmmm")</f>
        <v>March</v>
      </c>
      <c r="P2255" t="str">
        <f>IF(orders[[#This Row],[Customer Gender]]="M","Male", IF(orders[[#This Row],[Customer Gender]]="F","Female", IF(orders[[#This Row],[Customer Gender]]= "O", "Other","Unknown")))</f>
        <v>Male</v>
      </c>
    </row>
    <row r="2256" spans="1:16"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s="12" t="str">
        <f>TEXT(orders[[#This Row],[Order Date]],"mmmm")</f>
        <v>March</v>
      </c>
      <c r="P2256" t="str">
        <f>IF(orders[[#This Row],[Customer Gender]]="M","Male", IF(orders[[#This Row],[Customer Gender]]="F","Female", IF(orders[[#This Row],[Customer Gender]]= "O", "Other","Unknown")))</f>
        <v>Female</v>
      </c>
    </row>
    <row r="2257" spans="1:16"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s="12" t="str">
        <f>TEXT(orders[[#This Row],[Order Date]],"mmmm")</f>
        <v>March</v>
      </c>
      <c r="P2257" t="str">
        <f>IF(orders[[#This Row],[Customer Gender]]="M","Male", IF(orders[[#This Row],[Customer Gender]]="F","Female", IF(orders[[#This Row],[Customer Gender]]= "O", "Other","Unknown")))</f>
        <v>Female</v>
      </c>
    </row>
    <row r="2258" spans="1:16"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s="12" t="str">
        <f>TEXT(orders[[#This Row],[Order Date]],"mmmm")</f>
        <v>March</v>
      </c>
      <c r="P2258" t="str">
        <f>IF(orders[[#This Row],[Customer Gender]]="M","Male", IF(orders[[#This Row],[Customer Gender]]="F","Female", IF(orders[[#This Row],[Customer Gender]]= "O", "Other","Unknown")))</f>
        <v>Male</v>
      </c>
    </row>
    <row r="2259" spans="1:16"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s="12" t="str">
        <f>TEXT(orders[[#This Row],[Order Date]],"mmmm")</f>
        <v>March</v>
      </c>
      <c r="P2259" t="str">
        <f>IF(orders[[#This Row],[Customer Gender]]="M","Male", IF(orders[[#This Row],[Customer Gender]]="F","Female", IF(orders[[#This Row],[Customer Gender]]= "O", "Other","Unknown")))</f>
        <v>Female</v>
      </c>
    </row>
    <row r="2260" spans="1:16"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s="12" t="str">
        <f>TEXT(orders[[#This Row],[Order Date]],"mmmm")</f>
        <v>March</v>
      </c>
      <c r="P2260" t="str">
        <f>IF(orders[[#This Row],[Customer Gender]]="M","Male", IF(orders[[#This Row],[Customer Gender]]="F","Female", IF(orders[[#This Row],[Customer Gender]]= "O", "Other","Unknown")))</f>
        <v>Female</v>
      </c>
    </row>
    <row r="2261" spans="1:16"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s="12" t="str">
        <f>TEXT(orders[[#This Row],[Order Date]],"mmmm")</f>
        <v>March</v>
      </c>
      <c r="P2261" t="str">
        <f>IF(orders[[#This Row],[Customer Gender]]="M","Male", IF(orders[[#This Row],[Customer Gender]]="F","Female", IF(orders[[#This Row],[Customer Gender]]= "O", "Other","Unknown")))</f>
        <v>Female</v>
      </c>
    </row>
    <row r="2262" spans="1:16"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s="12" t="str">
        <f>TEXT(orders[[#This Row],[Order Date]],"mmmm")</f>
        <v>March</v>
      </c>
      <c r="P2262" t="str">
        <f>IF(orders[[#This Row],[Customer Gender]]="M","Male", IF(orders[[#This Row],[Customer Gender]]="F","Female", IF(orders[[#This Row],[Customer Gender]]= "O", "Other","Unknown")))</f>
        <v>Female</v>
      </c>
    </row>
    <row r="2263" spans="1:16"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s="12" t="str">
        <f>TEXT(orders[[#This Row],[Order Date]],"mmmm")</f>
        <v>March</v>
      </c>
      <c r="P2263" t="str">
        <f>IF(orders[[#This Row],[Customer Gender]]="M","Male", IF(orders[[#This Row],[Customer Gender]]="F","Female", IF(orders[[#This Row],[Customer Gender]]= "O", "Other","Unknown")))</f>
        <v>Male</v>
      </c>
    </row>
    <row r="2264" spans="1:16"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s="12" t="str">
        <f>TEXT(orders[[#This Row],[Order Date]],"mmmm")</f>
        <v>March</v>
      </c>
      <c r="P2264" t="str">
        <f>IF(orders[[#This Row],[Customer Gender]]="M","Male", IF(orders[[#This Row],[Customer Gender]]="F","Female", IF(orders[[#This Row],[Customer Gender]]= "O", "Other","Unknown")))</f>
        <v>Male</v>
      </c>
    </row>
    <row r="2265" spans="1:16"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s="12" t="str">
        <f>TEXT(orders[[#This Row],[Order Date]],"mmmm")</f>
        <v>March</v>
      </c>
      <c r="P2265" t="str">
        <f>IF(orders[[#This Row],[Customer Gender]]="M","Male", IF(orders[[#This Row],[Customer Gender]]="F","Female", IF(orders[[#This Row],[Customer Gender]]= "O", "Other","Unknown")))</f>
        <v>Male</v>
      </c>
    </row>
    <row r="2266" spans="1:16"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s="12" t="str">
        <f>TEXT(orders[[#This Row],[Order Date]],"mmmm")</f>
        <v>March</v>
      </c>
      <c r="P2266" t="str">
        <f>IF(orders[[#This Row],[Customer Gender]]="M","Male", IF(orders[[#This Row],[Customer Gender]]="F","Female", IF(orders[[#This Row],[Customer Gender]]= "O", "Other","Unknown")))</f>
        <v>Male</v>
      </c>
    </row>
    <row r="2267" spans="1:16"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s="12" t="str">
        <f>TEXT(orders[[#This Row],[Order Date]],"mmmm")</f>
        <v>March</v>
      </c>
      <c r="P2267" t="str">
        <f>IF(orders[[#This Row],[Customer Gender]]="M","Male", IF(orders[[#This Row],[Customer Gender]]="F","Female", IF(orders[[#This Row],[Customer Gender]]= "O", "Other","Unknown")))</f>
        <v>Other</v>
      </c>
    </row>
    <row r="2268" spans="1:16"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s="12" t="str">
        <f>TEXT(orders[[#This Row],[Order Date]],"mmmm")</f>
        <v>March</v>
      </c>
      <c r="P2268" t="str">
        <f>IF(orders[[#This Row],[Customer Gender]]="M","Male", IF(orders[[#This Row],[Customer Gender]]="F","Female", IF(orders[[#This Row],[Customer Gender]]= "O", "Other","Unknown")))</f>
        <v>Female</v>
      </c>
    </row>
    <row r="2269" spans="1:16"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s="12" t="str">
        <f>TEXT(orders[[#This Row],[Order Date]],"mmmm")</f>
        <v>March</v>
      </c>
      <c r="P2269" t="str">
        <f>IF(orders[[#This Row],[Customer Gender]]="M","Male", IF(orders[[#This Row],[Customer Gender]]="F","Female", IF(orders[[#This Row],[Customer Gender]]= "O", "Other","Unknown")))</f>
        <v>Female</v>
      </c>
    </row>
    <row r="2270" spans="1:16"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s="12" t="str">
        <f>TEXT(orders[[#This Row],[Order Date]],"mmmm")</f>
        <v>March</v>
      </c>
      <c r="P2270" t="str">
        <f>IF(orders[[#This Row],[Customer Gender]]="M","Male", IF(orders[[#This Row],[Customer Gender]]="F","Female", IF(orders[[#This Row],[Customer Gender]]= "O", "Other","Unknown")))</f>
        <v>Female</v>
      </c>
    </row>
    <row r="2271" spans="1:16"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s="12" t="str">
        <f>TEXT(orders[[#This Row],[Order Date]],"mmmm")</f>
        <v>March</v>
      </c>
      <c r="P2271" t="str">
        <f>IF(orders[[#This Row],[Customer Gender]]="M","Male", IF(orders[[#This Row],[Customer Gender]]="F","Female", IF(orders[[#This Row],[Customer Gender]]= "O", "Other","Unknown")))</f>
        <v>Female</v>
      </c>
    </row>
    <row r="2272" spans="1:16"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s="12" t="str">
        <f>TEXT(orders[[#This Row],[Order Date]],"mmmm")</f>
        <v>March</v>
      </c>
      <c r="P2272" t="str">
        <f>IF(orders[[#This Row],[Customer Gender]]="M","Male", IF(orders[[#This Row],[Customer Gender]]="F","Female", IF(orders[[#This Row],[Customer Gender]]= "O", "Other","Unknown")))</f>
        <v>Female</v>
      </c>
    </row>
    <row r="2273" spans="1:16"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s="12" t="str">
        <f>TEXT(orders[[#This Row],[Order Date]],"mmmm")</f>
        <v>March</v>
      </c>
      <c r="P2273" t="str">
        <f>IF(orders[[#This Row],[Customer Gender]]="M","Male", IF(orders[[#This Row],[Customer Gender]]="F","Female", IF(orders[[#This Row],[Customer Gender]]= "O", "Other","Unknown")))</f>
        <v>Female</v>
      </c>
    </row>
    <row r="2274" spans="1:16"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s="12" t="str">
        <f>TEXT(orders[[#This Row],[Order Date]],"mmmm")</f>
        <v>March</v>
      </c>
      <c r="P2274" t="str">
        <f>IF(orders[[#This Row],[Customer Gender]]="M","Male", IF(orders[[#This Row],[Customer Gender]]="F","Female", IF(orders[[#This Row],[Customer Gender]]= "O", "Other","Unknown")))</f>
        <v>Female</v>
      </c>
    </row>
    <row r="2275" spans="1:16"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s="12" t="str">
        <f>TEXT(orders[[#This Row],[Order Date]],"mmmm")</f>
        <v>March</v>
      </c>
      <c r="P2275" t="str">
        <f>IF(orders[[#This Row],[Customer Gender]]="M","Male", IF(orders[[#This Row],[Customer Gender]]="F","Female", IF(orders[[#This Row],[Customer Gender]]= "O", "Other","Unknown")))</f>
        <v>Male</v>
      </c>
    </row>
    <row r="2276" spans="1:16"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s="12" t="str">
        <f>TEXT(orders[[#This Row],[Order Date]],"mmmm")</f>
        <v>March</v>
      </c>
      <c r="P2276" t="str">
        <f>IF(orders[[#This Row],[Customer Gender]]="M","Male", IF(orders[[#This Row],[Customer Gender]]="F","Female", IF(orders[[#This Row],[Customer Gender]]= "O", "Other","Unknown")))</f>
        <v>Male</v>
      </c>
    </row>
    <row r="2277" spans="1:16" hidden="1"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s="12" t="str">
        <f>TEXT(orders[[#This Row],[Order Date]],"mmmm")</f>
        <v>March</v>
      </c>
      <c r="P2277" t="str">
        <f>IF(orders[[#This Row],[Customer Gender]]="M","Male", IF(orders[[#This Row],[Customer Gender]]="F","Female", IF(orders[[#This Row],[Customer Gender]]= "O", "Other","Unknown")))</f>
        <v>Unknown</v>
      </c>
    </row>
    <row r="2278" spans="1:16"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s="12" t="str">
        <f>TEXT(orders[[#This Row],[Order Date]],"mmmm")</f>
        <v>March</v>
      </c>
      <c r="P2278" t="str">
        <f>IF(orders[[#This Row],[Customer Gender]]="M","Male", IF(orders[[#This Row],[Customer Gender]]="F","Female", IF(orders[[#This Row],[Customer Gender]]= "O", "Other","Unknown")))</f>
        <v>Female</v>
      </c>
    </row>
    <row r="2279" spans="1:16"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s="12" t="str">
        <f>TEXT(orders[[#This Row],[Order Date]],"mmmm")</f>
        <v>March</v>
      </c>
      <c r="P2279" t="str">
        <f>IF(orders[[#This Row],[Customer Gender]]="M","Male", IF(orders[[#This Row],[Customer Gender]]="F","Female", IF(orders[[#This Row],[Customer Gender]]= "O", "Other","Unknown")))</f>
        <v>Male</v>
      </c>
    </row>
    <row r="2280" spans="1:16"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s="12" t="str">
        <f>TEXT(orders[[#This Row],[Order Date]],"mmmm")</f>
        <v>March</v>
      </c>
      <c r="P2280" t="str">
        <f>IF(orders[[#This Row],[Customer Gender]]="M","Male", IF(orders[[#This Row],[Customer Gender]]="F","Female", IF(orders[[#This Row],[Customer Gender]]= "O", "Other","Unknown")))</f>
        <v>Male</v>
      </c>
    </row>
    <row r="2281" spans="1:16"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s="12" t="str">
        <f>TEXT(orders[[#This Row],[Order Date]],"mmmm")</f>
        <v>March</v>
      </c>
      <c r="P2281" t="str">
        <f>IF(orders[[#This Row],[Customer Gender]]="M","Male", IF(orders[[#This Row],[Customer Gender]]="F","Female", IF(orders[[#This Row],[Customer Gender]]= "O", "Other","Unknown")))</f>
        <v>Male</v>
      </c>
    </row>
    <row r="2282" spans="1:16"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s="12" t="str">
        <f>TEXT(orders[[#This Row],[Order Date]],"mmmm")</f>
        <v>March</v>
      </c>
      <c r="P2282" t="str">
        <f>IF(orders[[#This Row],[Customer Gender]]="M","Male", IF(orders[[#This Row],[Customer Gender]]="F","Female", IF(orders[[#This Row],[Customer Gender]]= "O", "Other","Unknown")))</f>
        <v>Male</v>
      </c>
    </row>
    <row r="2283" spans="1:16"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s="12" t="str">
        <f>TEXT(orders[[#This Row],[Order Date]],"mmmm")</f>
        <v>March</v>
      </c>
      <c r="P2283" t="str">
        <f>IF(orders[[#This Row],[Customer Gender]]="M","Male", IF(orders[[#This Row],[Customer Gender]]="F","Female", IF(orders[[#This Row],[Customer Gender]]= "O", "Other","Unknown")))</f>
        <v>Female</v>
      </c>
    </row>
    <row r="2284" spans="1:16"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s="12" t="str">
        <f>TEXT(orders[[#This Row],[Order Date]],"mmmm")</f>
        <v>March</v>
      </c>
      <c r="P2284" t="str">
        <f>IF(orders[[#This Row],[Customer Gender]]="M","Male", IF(orders[[#This Row],[Customer Gender]]="F","Female", IF(orders[[#This Row],[Customer Gender]]= "O", "Other","Unknown")))</f>
        <v>Female</v>
      </c>
    </row>
    <row r="2285" spans="1:16"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s="12" t="str">
        <f>TEXT(orders[[#This Row],[Order Date]],"mmmm")</f>
        <v>March</v>
      </c>
      <c r="P2285" t="str">
        <f>IF(orders[[#This Row],[Customer Gender]]="M","Male", IF(orders[[#This Row],[Customer Gender]]="F","Female", IF(orders[[#This Row],[Customer Gender]]= "O", "Other","Unknown")))</f>
        <v>Male</v>
      </c>
    </row>
    <row r="2286" spans="1:16"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s="12" t="str">
        <f>TEXT(orders[[#This Row],[Order Date]],"mmmm")</f>
        <v>March</v>
      </c>
      <c r="P2286" t="str">
        <f>IF(orders[[#This Row],[Customer Gender]]="M","Male", IF(orders[[#This Row],[Customer Gender]]="F","Female", IF(orders[[#This Row],[Customer Gender]]= "O", "Other","Unknown")))</f>
        <v>Male</v>
      </c>
    </row>
    <row r="2287" spans="1:16"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s="12" t="str">
        <f>TEXT(orders[[#This Row],[Order Date]],"mmmm")</f>
        <v>March</v>
      </c>
      <c r="P2287" t="str">
        <f>IF(orders[[#This Row],[Customer Gender]]="M","Male", IF(orders[[#This Row],[Customer Gender]]="F","Female", IF(orders[[#This Row],[Customer Gender]]= "O", "Other","Unknown")))</f>
        <v>Male</v>
      </c>
    </row>
    <row r="2288" spans="1:16"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s="12" t="str">
        <f>TEXT(orders[[#This Row],[Order Date]],"mmmm")</f>
        <v>March</v>
      </c>
      <c r="P2288" t="str">
        <f>IF(orders[[#This Row],[Customer Gender]]="M","Male", IF(orders[[#This Row],[Customer Gender]]="F","Female", IF(orders[[#This Row],[Customer Gender]]= "O", "Other","Unknown")))</f>
        <v>Male</v>
      </c>
    </row>
    <row r="2289" spans="1:16"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s="12" t="str">
        <f>TEXT(orders[[#This Row],[Order Date]],"mmmm")</f>
        <v>March</v>
      </c>
      <c r="P2289" t="str">
        <f>IF(orders[[#This Row],[Customer Gender]]="M","Male", IF(orders[[#This Row],[Customer Gender]]="F","Female", IF(orders[[#This Row],[Customer Gender]]= "O", "Other","Unknown")))</f>
        <v>Male</v>
      </c>
    </row>
    <row r="2290" spans="1:16"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s="12" t="str">
        <f>TEXT(orders[[#This Row],[Order Date]],"mmmm")</f>
        <v>March</v>
      </c>
      <c r="P2290" t="str">
        <f>IF(orders[[#This Row],[Customer Gender]]="M","Male", IF(orders[[#This Row],[Customer Gender]]="F","Female", IF(orders[[#This Row],[Customer Gender]]= "O", "Other","Unknown")))</f>
        <v>Other</v>
      </c>
    </row>
    <row r="2291" spans="1:16"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s="12" t="str">
        <f>TEXT(orders[[#This Row],[Order Date]],"mmmm")</f>
        <v>March</v>
      </c>
      <c r="P2291" t="str">
        <f>IF(orders[[#This Row],[Customer Gender]]="M","Male", IF(orders[[#This Row],[Customer Gender]]="F","Female", IF(orders[[#This Row],[Customer Gender]]= "O", "Other","Unknown")))</f>
        <v>Male</v>
      </c>
    </row>
    <row r="2292" spans="1:16"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s="12" t="str">
        <f>TEXT(orders[[#This Row],[Order Date]],"mmmm")</f>
        <v>March</v>
      </c>
      <c r="P2292" t="str">
        <f>IF(orders[[#This Row],[Customer Gender]]="M","Male", IF(orders[[#This Row],[Customer Gender]]="F","Female", IF(orders[[#This Row],[Customer Gender]]= "O", "Other","Unknown")))</f>
        <v>Male</v>
      </c>
    </row>
    <row r="2293" spans="1:16"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s="12" t="str">
        <f>TEXT(orders[[#This Row],[Order Date]],"mmmm")</f>
        <v>March</v>
      </c>
      <c r="P2293" t="str">
        <f>IF(orders[[#This Row],[Customer Gender]]="M","Male", IF(orders[[#This Row],[Customer Gender]]="F","Female", IF(orders[[#This Row],[Customer Gender]]= "O", "Other","Unknown")))</f>
        <v>Female</v>
      </c>
    </row>
    <row r="2294" spans="1:16"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s="12" t="str">
        <f>TEXT(orders[[#This Row],[Order Date]],"mmmm")</f>
        <v>March</v>
      </c>
      <c r="P2294" t="str">
        <f>IF(orders[[#This Row],[Customer Gender]]="M","Male", IF(orders[[#This Row],[Customer Gender]]="F","Female", IF(orders[[#This Row],[Customer Gender]]= "O", "Other","Unknown")))</f>
        <v>Male</v>
      </c>
    </row>
    <row r="2295" spans="1:16"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s="12" t="str">
        <f>TEXT(orders[[#This Row],[Order Date]],"mmmm")</f>
        <v>March</v>
      </c>
      <c r="P2295" t="str">
        <f>IF(orders[[#This Row],[Customer Gender]]="M","Male", IF(orders[[#This Row],[Customer Gender]]="F","Female", IF(orders[[#This Row],[Customer Gender]]= "O", "Other","Unknown")))</f>
        <v>Other</v>
      </c>
    </row>
    <row r="2296" spans="1:16"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s="12" t="str">
        <f>TEXT(orders[[#This Row],[Order Date]],"mmmm")</f>
        <v>March</v>
      </c>
      <c r="P2296" t="str">
        <f>IF(orders[[#This Row],[Customer Gender]]="M","Male", IF(orders[[#This Row],[Customer Gender]]="F","Female", IF(orders[[#This Row],[Customer Gender]]= "O", "Other","Unknown")))</f>
        <v>Male</v>
      </c>
    </row>
    <row r="2297" spans="1:16"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s="12" t="str">
        <f>TEXT(orders[[#This Row],[Order Date]],"mmmm")</f>
        <v>March</v>
      </c>
      <c r="P2297" t="str">
        <f>IF(orders[[#This Row],[Customer Gender]]="M","Male", IF(orders[[#This Row],[Customer Gender]]="F","Female", IF(orders[[#This Row],[Customer Gender]]= "O", "Other","Unknown")))</f>
        <v>Female</v>
      </c>
    </row>
    <row r="2298" spans="1:16"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s="12" t="str">
        <f>TEXT(orders[[#This Row],[Order Date]],"mmmm")</f>
        <v>March</v>
      </c>
      <c r="P2298" t="str">
        <f>IF(orders[[#This Row],[Customer Gender]]="M","Male", IF(orders[[#This Row],[Customer Gender]]="F","Female", IF(orders[[#This Row],[Customer Gender]]= "O", "Other","Unknown")))</f>
        <v>Male</v>
      </c>
    </row>
    <row r="2299" spans="1:16"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s="12" t="str">
        <f>TEXT(orders[[#This Row],[Order Date]],"mmmm")</f>
        <v>March</v>
      </c>
      <c r="P2299" t="str">
        <f>IF(orders[[#This Row],[Customer Gender]]="M","Male", IF(orders[[#This Row],[Customer Gender]]="F","Female", IF(orders[[#This Row],[Customer Gender]]= "O", "Other","Unknown")))</f>
        <v>Male</v>
      </c>
    </row>
    <row r="2300" spans="1:16"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s="12" t="str">
        <f>TEXT(orders[[#This Row],[Order Date]],"mmmm")</f>
        <v>March</v>
      </c>
      <c r="P2300" t="str">
        <f>IF(orders[[#This Row],[Customer Gender]]="M","Male", IF(orders[[#This Row],[Customer Gender]]="F","Female", IF(orders[[#This Row],[Customer Gender]]= "O", "Other","Unknown")))</f>
        <v>Male</v>
      </c>
    </row>
    <row r="2301" spans="1:16"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s="12" t="str">
        <f>TEXT(orders[[#This Row],[Order Date]],"mmmm")</f>
        <v>March</v>
      </c>
      <c r="P2301" t="str">
        <f>IF(orders[[#This Row],[Customer Gender]]="M","Male", IF(orders[[#This Row],[Customer Gender]]="F","Female", IF(orders[[#This Row],[Customer Gender]]= "O", "Other","Unknown")))</f>
        <v>Female</v>
      </c>
    </row>
    <row r="2302" spans="1:16"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s="12" t="str">
        <f>TEXT(orders[[#This Row],[Order Date]],"mmmm")</f>
        <v>March</v>
      </c>
      <c r="P2302" t="str">
        <f>IF(orders[[#This Row],[Customer Gender]]="M","Male", IF(orders[[#This Row],[Customer Gender]]="F","Female", IF(orders[[#This Row],[Customer Gender]]= "O", "Other","Unknown")))</f>
        <v>Male</v>
      </c>
    </row>
    <row r="2303" spans="1:16"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s="12" t="str">
        <f>TEXT(orders[[#This Row],[Order Date]],"mmmm")</f>
        <v>March</v>
      </c>
      <c r="P2303" t="str">
        <f>IF(orders[[#This Row],[Customer Gender]]="M","Male", IF(orders[[#This Row],[Customer Gender]]="F","Female", IF(orders[[#This Row],[Customer Gender]]= "O", "Other","Unknown")))</f>
        <v>Male</v>
      </c>
    </row>
    <row r="2304" spans="1:16"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s="12" t="str">
        <f>TEXT(orders[[#This Row],[Order Date]],"mmmm")</f>
        <v>March</v>
      </c>
      <c r="P2304" t="str">
        <f>IF(orders[[#This Row],[Customer Gender]]="M","Male", IF(orders[[#This Row],[Customer Gender]]="F","Female", IF(orders[[#This Row],[Customer Gender]]= "O", "Other","Unknown")))</f>
        <v>Male</v>
      </c>
    </row>
    <row r="2305" spans="1:16"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s="12" t="str">
        <f>TEXT(orders[[#This Row],[Order Date]],"mmmm")</f>
        <v>March</v>
      </c>
      <c r="P2305" t="str">
        <f>IF(orders[[#This Row],[Customer Gender]]="M","Male", IF(orders[[#This Row],[Customer Gender]]="F","Female", IF(orders[[#This Row],[Customer Gender]]= "O", "Other","Unknown")))</f>
        <v>Female</v>
      </c>
    </row>
    <row r="2306" spans="1:16"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s="12" t="str">
        <f>TEXT(orders[[#This Row],[Order Date]],"mmmm")</f>
        <v>March</v>
      </c>
      <c r="P2306" t="str">
        <f>IF(orders[[#This Row],[Customer Gender]]="M","Male", IF(orders[[#This Row],[Customer Gender]]="F","Female", IF(orders[[#This Row],[Customer Gender]]= "O", "Other","Unknown")))</f>
        <v>Female</v>
      </c>
    </row>
    <row r="2307" spans="1:16"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s="12" t="str">
        <f>TEXT(orders[[#This Row],[Order Date]],"mmmm")</f>
        <v>March</v>
      </c>
      <c r="P2307" t="str">
        <f>IF(orders[[#This Row],[Customer Gender]]="M","Male", IF(orders[[#This Row],[Customer Gender]]="F","Female", IF(orders[[#This Row],[Customer Gender]]= "O", "Other","Unknown")))</f>
        <v>Male</v>
      </c>
    </row>
    <row r="2308" spans="1:16"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s="12" t="str">
        <f>TEXT(orders[[#This Row],[Order Date]],"mmmm")</f>
        <v>March</v>
      </c>
      <c r="P2308" t="str">
        <f>IF(orders[[#This Row],[Customer Gender]]="M","Male", IF(orders[[#This Row],[Customer Gender]]="F","Female", IF(orders[[#This Row],[Customer Gender]]= "O", "Other","Unknown")))</f>
        <v>Female</v>
      </c>
    </row>
    <row r="2309" spans="1:16" hidden="1"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s="12" t="str">
        <f>TEXT(orders[[#This Row],[Order Date]],"mmmm")</f>
        <v>March</v>
      </c>
      <c r="P2309" t="str">
        <f>IF(orders[[#This Row],[Customer Gender]]="M","Male", IF(orders[[#This Row],[Customer Gender]]="F","Female", IF(orders[[#This Row],[Customer Gender]]= "O", "Other","Unknown")))</f>
        <v>Unknown</v>
      </c>
    </row>
    <row r="2310" spans="1:16"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s="12" t="str">
        <f>TEXT(orders[[#This Row],[Order Date]],"mmmm")</f>
        <v>March</v>
      </c>
      <c r="P2310" t="str">
        <f>IF(orders[[#This Row],[Customer Gender]]="M","Male", IF(orders[[#This Row],[Customer Gender]]="F","Female", IF(orders[[#This Row],[Customer Gender]]= "O", "Other","Unknown")))</f>
        <v>Male</v>
      </c>
    </row>
    <row r="2311" spans="1:16"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s="12" t="str">
        <f>TEXT(orders[[#This Row],[Order Date]],"mmmm")</f>
        <v>March</v>
      </c>
      <c r="P2311" t="str">
        <f>IF(orders[[#This Row],[Customer Gender]]="M","Male", IF(orders[[#This Row],[Customer Gender]]="F","Female", IF(orders[[#This Row],[Customer Gender]]= "O", "Other","Unknown")))</f>
        <v>Male</v>
      </c>
    </row>
    <row r="2312" spans="1:16"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s="12" t="str">
        <f>TEXT(orders[[#This Row],[Order Date]],"mmmm")</f>
        <v>March</v>
      </c>
      <c r="P2312" t="str">
        <f>IF(orders[[#This Row],[Customer Gender]]="M","Male", IF(orders[[#This Row],[Customer Gender]]="F","Female", IF(orders[[#This Row],[Customer Gender]]= "O", "Other","Unknown")))</f>
        <v>Male</v>
      </c>
    </row>
    <row r="2313" spans="1:16"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s="12" t="str">
        <f>TEXT(orders[[#This Row],[Order Date]],"mmmm")</f>
        <v>March</v>
      </c>
      <c r="P2313" t="str">
        <f>IF(orders[[#This Row],[Customer Gender]]="M","Male", IF(orders[[#This Row],[Customer Gender]]="F","Female", IF(orders[[#This Row],[Customer Gender]]= "O", "Other","Unknown")))</f>
        <v>Female</v>
      </c>
    </row>
    <row r="2314" spans="1:16"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s="12" t="str">
        <f>TEXT(orders[[#This Row],[Order Date]],"mmmm")</f>
        <v>March</v>
      </c>
      <c r="P2314" t="str">
        <f>IF(orders[[#This Row],[Customer Gender]]="M","Male", IF(orders[[#This Row],[Customer Gender]]="F","Female", IF(orders[[#This Row],[Customer Gender]]= "O", "Other","Unknown")))</f>
        <v>Female</v>
      </c>
    </row>
    <row r="2315" spans="1:16"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s="12" t="str">
        <f>TEXT(orders[[#This Row],[Order Date]],"mmmm")</f>
        <v>March</v>
      </c>
      <c r="P2315" t="str">
        <f>IF(orders[[#This Row],[Customer Gender]]="M","Male", IF(orders[[#This Row],[Customer Gender]]="F","Female", IF(orders[[#This Row],[Customer Gender]]= "O", "Other","Unknown")))</f>
        <v>Female</v>
      </c>
    </row>
    <row r="2316" spans="1:16"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s="12" t="str">
        <f>TEXT(orders[[#This Row],[Order Date]],"mmmm")</f>
        <v>March</v>
      </c>
      <c r="P2316" t="str">
        <f>IF(orders[[#This Row],[Customer Gender]]="M","Male", IF(orders[[#This Row],[Customer Gender]]="F","Female", IF(orders[[#This Row],[Customer Gender]]= "O", "Other","Unknown")))</f>
        <v>Female</v>
      </c>
    </row>
    <row r="2317" spans="1:16"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s="12" t="str">
        <f>TEXT(orders[[#This Row],[Order Date]],"mmmm")</f>
        <v>March</v>
      </c>
      <c r="P2317" t="str">
        <f>IF(orders[[#This Row],[Customer Gender]]="M","Male", IF(orders[[#This Row],[Customer Gender]]="F","Female", IF(orders[[#This Row],[Customer Gender]]= "O", "Other","Unknown")))</f>
        <v>Female</v>
      </c>
    </row>
    <row r="2318" spans="1:16"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s="12" t="str">
        <f>TEXT(orders[[#This Row],[Order Date]],"mmmm")</f>
        <v>March</v>
      </c>
      <c r="P2318" t="str">
        <f>IF(orders[[#This Row],[Customer Gender]]="M","Male", IF(orders[[#This Row],[Customer Gender]]="F","Female", IF(orders[[#This Row],[Customer Gender]]= "O", "Other","Unknown")))</f>
        <v>Male</v>
      </c>
    </row>
    <row r="2319" spans="1:16" hidden="1"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s="12" t="str">
        <f>TEXT(orders[[#This Row],[Order Date]],"mmmm")</f>
        <v>March</v>
      </c>
      <c r="P2319" t="str">
        <f>IF(orders[[#This Row],[Customer Gender]]="M","Male", IF(orders[[#This Row],[Customer Gender]]="F","Female", IF(orders[[#This Row],[Customer Gender]]= "O", "Other","Unknown")))</f>
        <v>Unknown</v>
      </c>
    </row>
    <row r="2320" spans="1:16" hidden="1"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s="12" t="str">
        <f>TEXT(orders[[#This Row],[Order Date]],"mmmm")</f>
        <v>March</v>
      </c>
      <c r="P2320" t="str">
        <f>IF(orders[[#This Row],[Customer Gender]]="M","Male", IF(orders[[#This Row],[Customer Gender]]="F","Female", IF(orders[[#This Row],[Customer Gender]]= "O", "Other","Unknown")))</f>
        <v>Unknown</v>
      </c>
    </row>
    <row r="2321" spans="1:16"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s="12" t="str">
        <f>TEXT(orders[[#This Row],[Order Date]],"mmmm")</f>
        <v>March</v>
      </c>
      <c r="P2321" t="str">
        <f>IF(orders[[#This Row],[Customer Gender]]="M","Male", IF(orders[[#This Row],[Customer Gender]]="F","Female", IF(orders[[#This Row],[Customer Gender]]= "O", "Other","Unknown")))</f>
        <v>Male</v>
      </c>
    </row>
    <row r="2322" spans="1:16"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s="12" t="str">
        <f>TEXT(orders[[#This Row],[Order Date]],"mmmm")</f>
        <v>March</v>
      </c>
      <c r="P2322" t="str">
        <f>IF(orders[[#This Row],[Customer Gender]]="M","Male", IF(orders[[#This Row],[Customer Gender]]="F","Female", IF(orders[[#This Row],[Customer Gender]]= "O", "Other","Unknown")))</f>
        <v>Female</v>
      </c>
    </row>
    <row r="2323" spans="1:16"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s="12" t="str">
        <f>TEXT(orders[[#This Row],[Order Date]],"mmmm")</f>
        <v>March</v>
      </c>
      <c r="P2323" t="str">
        <f>IF(orders[[#This Row],[Customer Gender]]="M","Male", IF(orders[[#This Row],[Customer Gender]]="F","Female", IF(orders[[#This Row],[Customer Gender]]= "O", "Other","Unknown")))</f>
        <v>Female</v>
      </c>
    </row>
    <row r="2324" spans="1:16"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s="12" t="str">
        <f>TEXT(orders[[#This Row],[Order Date]],"mmmm")</f>
        <v>March</v>
      </c>
      <c r="P2324" t="str">
        <f>IF(orders[[#This Row],[Customer Gender]]="M","Male", IF(orders[[#This Row],[Customer Gender]]="F","Female", IF(orders[[#This Row],[Customer Gender]]= "O", "Other","Unknown")))</f>
        <v>Female</v>
      </c>
    </row>
    <row r="2325" spans="1:16"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s="12" t="str">
        <f>TEXT(orders[[#This Row],[Order Date]],"mmmm")</f>
        <v>March</v>
      </c>
      <c r="P2325" t="str">
        <f>IF(orders[[#This Row],[Customer Gender]]="M","Male", IF(orders[[#This Row],[Customer Gender]]="F","Female", IF(orders[[#This Row],[Customer Gender]]= "O", "Other","Unknown")))</f>
        <v>Male</v>
      </c>
    </row>
    <row r="2326" spans="1:16"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s="12" t="str">
        <f>TEXT(orders[[#This Row],[Order Date]],"mmmm")</f>
        <v>March</v>
      </c>
      <c r="P2326" t="str">
        <f>IF(orders[[#This Row],[Customer Gender]]="M","Male", IF(orders[[#This Row],[Customer Gender]]="F","Female", IF(orders[[#This Row],[Customer Gender]]= "O", "Other","Unknown")))</f>
        <v>Female</v>
      </c>
    </row>
    <row r="2327" spans="1:16"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s="12" t="str">
        <f>TEXT(orders[[#This Row],[Order Date]],"mmmm")</f>
        <v>March</v>
      </c>
      <c r="P2327" t="str">
        <f>IF(orders[[#This Row],[Customer Gender]]="M","Male", IF(orders[[#This Row],[Customer Gender]]="F","Female", IF(orders[[#This Row],[Customer Gender]]= "O", "Other","Unknown")))</f>
        <v>Female</v>
      </c>
    </row>
    <row r="2328" spans="1:16"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s="12" t="str">
        <f>TEXT(orders[[#This Row],[Order Date]],"mmmm")</f>
        <v>March</v>
      </c>
      <c r="P2328" t="str">
        <f>IF(orders[[#This Row],[Customer Gender]]="M","Male", IF(orders[[#This Row],[Customer Gender]]="F","Female", IF(orders[[#This Row],[Customer Gender]]= "O", "Other","Unknown")))</f>
        <v>Female</v>
      </c>
    </row>
    <row r="2329" spans="1:16"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s="12" t="str">
        <f>TEXT(orders[[#This Row],[Order Date]],"mmmm")</f>
        <v>March</v>
      </c>
      <c r="P2329" t="str">
        <f>IF(orders[[#This Row],[Customer Gender]]="M","Male", IF(orders[[#This Row],[Customer Gender]]="F","Female", IF(orders[[#This Row],[Customer Gender]]= "O", "Other","Unknown")))</f>
        <v>Female</v>
      </c>
    </row>
    <row r="2330" spans="1:16"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s="12" t="str">
        <f>TEXT(orders[[#This Row],[Order Date]],"mmmm")</f>
        <v>March</v>
      </c>
      <c r="P2330" t="str">
        <f>IF(orders[[#This Row],[Customer Gender]]="M","Male", IF(orders[[#This Row],[Customer Gender]]="F","Female", IF(orders[[#This Row],[Customer Gender]]= "O", "Other","Unknown")))</f>
        <v>Female</v>
      </c>
    </row>
    <row r="2331" spans="1:16"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s="12" t="str">
        <f>TEXT(orders[[#This Row],[Order Date]],"mmmm")</f>
        <v>March</v>
      </c>
      <c r="P2331" t="str">
        <f>IF(orders[[#This Row],[Customer Gender]]="M","Male", IF(orders[[#This Row],[Customer Gender]]="F","Female", IF(orders[[#This Row],[Customer Gender]]= "O", "Other","Unknown")))</f>
        <v>Male</v>
      </c>
    </row>
    <row r="2332" spans="1:16"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s="12" t="str">
        <f>TEXT(orders[[#This Row],[Order Date]],"mmmm")</f>
        <v>March</v>
      </c>
      <c r="P2332" t="str">
        <f>IF(orders[[#This Row],[Customer Gender]]="M","Male", IF(orders[[#This Row],[Customer Gender]]="F","Female", IF(orders[[#This Row],[Customer Gender]]= "O", "Other","Unknown")))</f>
        <v>Male</v>
      </c>
    </row>
    <row r="2333" spans="1:16"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s="12" t="str">
        <f>TEXT(orders[[#This Row],[Order Date]],"mmmm")</f>
        <v>March</v>
      </c>
      <c r="P2333" t="str">
        <f>IF(orders[[#This Row],[Customer Gender]]="M","Male", IF(orders[[#This Row],[Customer Gender]]="F","Female", IF(orders[[#This Row],[Customer Gender]]= "O", "Other","Unknown")))</f>
        <v>Female</v>
      </c>
    </row>
    <row r="2334" spans="1:16"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s="12" t="str">
        <f>TEXT(orders[[#This Row],[Order Date]],"mmmm")</f>
        <v>March</v>
      </c>
      <c r="P2334" t="str">
        <f>IF(orders[[#This Row],[Customer Gender]]="M","Male", IF(orders[[#This Row],[Customer Gender]]="F","Female", IF(orders[[#This Row],[Customer Gender]]= "O", "Other","Unknown")))</f>
        <v>Male</v>
      </c>
    </row>
    <row r="2335" spans="1:16"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s="12" t="str">
        <f>TEXT(orders[[#This Row],[Order Date]],"mmmm")</f>
        <v>March</v>
      </c>
      <c r="P2335" t="str">
        <f>IF(orders[[#This Row],[Customer Gender]]="M","Male", IF(orders[[#This Row],[Customer Gender]]="F","Female", IF(orders[[#This Row],[Customer Gender]]= "O", "Other","Unknown")))</f>
        <v>Female</v>
      </c>
    </row>
    <row r="2336" spans="1:16"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s="12" t="str">
        <f>TEXT(orders[[#This Row],[Order Date]],"mmmm")</f>
        <v>March</v>
      </c>
      <c r="P2336" t="str">
        <f>IF(orders[[#This Row],[Customer Gender]]="M","Male", IF(orders[[#This Row],[Customer Gender]]="F","Female", IF(orders[[#This Row],[Customer Gender]]= "O", "Other","Unknown")))</f>
        <v>Male</v>
      </c>
    </row>
    <row r="2337" spans="1:16"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s="12" t="str">
        <f>TEXT(orders[[#This Row],[Order Date]],"mmmm")</f>
        <v>March</v>
      </c>
      <c r="P2337" t="str">
        <f>IF(orders[[#This Row],[Customer Gender]]="M","Male", IF(orders[[#This Row],[Customer Gender]]="F","Female", IF(orders[[#This Row],[Customer Gender]]= "O", "Other","Unknown")))</f>
        <v>Male</v>
      </c>
    </row>
    <row r="2338" spans="1:16"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s="12" t="str">
        <f>TEXT(orders[[#This Row],[Order Date]],"mmmm")</f>
        <v>March</v>
      </c>
      <c r="P2338" t="str">
        <f>IF(orders[[#This Row],[Customer Gender]]="M","Male", IF(orders[[#This Row],[Customer Gender]]="F","Female", IF(orders[[#This Row],[Customer Gender]]= "O", "Other","Unknown")))</f>
        <v>Female</v>
      </c>
    </row>
    <row r="2339" spans="1:16"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s="12" t="str">
        <f>TEXT(orders[[#This Row],[Order Date]],"mmmm")</f>
        <v>March</v>
      </c>
      <c r="P2339" t="str">
        <f>IF(orders[[#This Row],[Customer Gender]]="M","Male", IF(orders[[#This Row],[Customer Gender]]="F","Female", IF(orders[[#This Row],[Customer Gender]]= "O", "Other","Unknown")))</f>
        <v>Male</v>
      </c>
    </row>
    <row r="2340" spans="1:16"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s="12" t="str">
        <f>TEXT(orders[[#This Row],[Order Date]],"mmmm")</f>
        <v>March</v>
      </c>
      <c r="P2340" t="str">
        <f>IF(orders[[#This Row],[Customer Gender]]="M","Male", IF(orders[[#This Row],[Customer Gender]]="F","Female", IF(orders[[#This Row],[Customer Gender]]= "O", "Other","Unknown")))</f>
        <v>Male</v>
      </c>
    </row>
    <row r="2341" spans="1:16"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s="12" t="str">
        <f>TEXT(orders[[#This Row],[Order Date]],"mmmm")</f>
        <v>March</v>
      </c>
      <c r="P2341" t="str">
        <f>IF(orders[[#This Row],[Customer Gender]]="M","Male", IF(orders[[#This Row],[Customer Gender]]="F","Female", IF(orders[[#This Row],[Customer Gender]]= "O", "Other","Unknown")))</f>
        <v>Male</v>
      </c>
    </row>
    <row r="2342" spans="1:16"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s="12" t="str">
        <f>TEXT(orders[[#This Row],[Order Date]],"mmmm")</f>
        <v>March</v>
      </c>
      <c r="P2342" t="str">
        <f>IF(orders[[#This Row],[Customer Gender]]="M","Male", IF(orders[[#This Row],[Customer Gender]]="F","Female", IF(orders[[#This Row],[Customer Gender]]= "O", "Other","Unknown")))</f>
        <v>Male</v>
      </c>
    </row>
    <row r="2343" spans="1:16"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s="12" t="str">
        <f>TEXT(orders[[#This Row],[Order Date]],"mmmm")</f>
        <v>March</v>
      </c>
      <c r="P2343" t="str">
        <f>IF(orders[[#This Row],[Customer Gender]]="M","Male", IF(orders[[#This Row],[Customer Gender]]="F","Female", IF(orders[[#This Row],[Customer Gender]]= "O", "Other","Unknown")))</f>
        <v>Female</v>
      </c>
    </row>
    <row r="2344" spans="1:16"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s="12" t="str">
        <f>TEXT(orders[[#This Row],[Order Date]],"mmmm")</f>
        <v>March</v>
      </c>
      <c r="P2344" t="str">
        <f>IF(orders[[#This Row],[Customer Gender]]="M","Male", IF(orders[[#This Row],[Customer Gender]]="F","Female", IF(orders[[#This Row],[Customer Gender]]= "O", "Other","Unknown")))</f>
        <v>Male</v>
      </c>
    </row>
    <row r="2345" spans="1:16"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s="12" t="str">
        <f>TEXT(orders[[#This Row],[Order Date]],"mmmm")</f>
        <v>March</v>
      </c>
      <c r="P2345" t="str">
        <f>IF(orders[[#This Row],[Customer Gender]]="M","Male", IF(orders[[#This Row],[Customer Gender]]="F","Female", IF(orders[[#This Row],[Customer Gender]]= "O", "Other","Unknown")))</f>
        <v>Other</v>
      </c>
    </row>
    <row r="2346" spans="1:16"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s="12" t="str">
        <f>TEXT(orders[[#This Row],[Order Date]],"mmmm")</f>
        <v>March</v>
      </c>
      <c r="P2346" t="str">
        <f>IF(orders[[#This Row],[Customer Gender]]="M","Male", IF(orders[[#This Row],[Customer Gender]]="F","Female", IF(orders[[#This Row],[Customer Gender]]= "O", "Other","Unknown")))</f>
        <v>Female</v>
      </c>
    </row>
    <row r="2347" spans="1:16"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s="12" t="str">
        <f>TEXT(orders[[#This Row],[Order Date]],"mmmm")</f>
        <v>March</v>
      </c>
      <c r="P2347" t="str">
        <f>IF(orders[[#This Row],[Customer Gender]]="M","Male", IF(orders[[#This Row],[Customer Gender]]="F","Female", IF(orders[[#This Row],[Customer Gender]]= "O", "Other","Unknown")))</f>
        <v>Female</v>
      </c>
    </row>
    <row r="2348" spans="1:16"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s="12" t="str">
        <f>TEXT(orders[[#This Row],[Order Date]],"mmmm")</f>
        <v>March</v>
      </c>
      <c r="P2348" t="str">
        <f>IF(orders[[#This Row],[Customer Gender]]="M","Male", IF(orders[[#This Row],[Customer Gender]]="F","Female", IF(orders[[#This Row],[Customer Gender]]= "O", "Other","Unknown")))</f>
        <v>Female</v>
      </c>
    </row>
    <row r="2349" spans="1:16"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s="12" t="str">
        <f>TEXT(orders[[#This Row],[Order Date]],"mmmm")</f>
        <v>March</v>
      </c>
      <c r="P2349" t="str">
        <f>IF(orders[[#This Row],[Customer Gender]]="M","Male", IF(orders[[#This Row],[Customer Gender]]="F","Female", IF(orders[[#This Row],[Customer Gender]]= "O", "Other","Unknown")))</f>
        <v>Female</v>
      </c>
    </row>
    <row r="2350" spans="1:16"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s="12" t="str">
        <f>TEXT(orders[[#This Row],[Order Date]],"mmmm")</f>
        <v>March</v>
      </c>
      <c r="P2350" t="str">
        <f>IF(orders[[#This Row],[Customer Gender]]="M","Male", IF(orders[[#This Row],[Customer Gender]]="F","Female", IF(orders[[#This Row],[Customer Gender]]= "O", "Other","Unknown")))</f>
        <v>Other</v>
      </c>
    </row>
    <row r="2351" spans="1:16"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s="12" t="str">
        <f>TEXT(orders[[#This Row],[Order Date]],"mmmm")</f>
        <v>March</v>
      </c>
      <c r="P2351" t="str">
        <f>IF(orders[[#This Row],[Customer Gender]]="M","Male", IF(orders[[#This Row],[Customer Gender]]="F","Female", IF(orders[[#This Row],[Customer Gender]]= "O", "Other","Unknown")))</f>
        <v>Female</v>
      </c>
    </row>
    <row r="2352" spans="1:16"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s="12" t="str">
        <f>TEXT(orders[[#This Row],[Order Date]],"mmmm")</f>
        <v>March</v>
      </c>
      <c r="P2352" t="str">
        <f>IF(orders[[#This Row],[Customer Gender]]="M","Male", IF(orders[[#This Row],[Customer Gender]]="F","Female", IF(orders[[#This Row],[Customer Gender]]= "O", "Other","Unknown")))</f>
        <v>Female</v>
      </c>
    </row>
    <row r="2353" spans="1:16"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s="12" t="str">
        <f>TEXT(orders[[#This Row],[Order Date]],"mmmm")</f>
        <v>March</v>
      </c>
      <c r="P2353" t="str">
        <f>IF(orders[[#This Row],[Customer Gender]]="M","Male", IF(orders[[#This Row],[Customer Gender]]="F","Female", IF(orders[[#This Row],[Customer Gender]]= "O", "Other","Unknown")))</f>
        <v>Female</v>
      </c>
    </row>
    <row r="2354" spans="1:16"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s="12" t="str">
        <f>TEXT(orders[[#This Row],[Order Date]],"mmmm")</f>
        <v>March</v>
      </c>
      <c r="P2354" t="str">
        <f>IF(orders[[#This Row],[Customer Gender]]="M","Male", IF(orders[[#This Row],[Customer Gender]]="F","Female", IF(orders[[#This Row],[Customer Gender]]= "O", "Other","Unknown")))</f>
        <v>Female</v>
      </c>
    </row>
    <row r="2355" spans="1:16" hidden="1"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s="12" t="str">
        <f>TEXT(orders[[#This Row],[Order Date]],"mmmm")</f>
        <v>March</v>
      </c>
      <c r="P2355" t="str">
        <f>IF(orders[[#This Row],[Customer Gender]]="M","Male", IF(orders[[#This Row],[Customer Gender]]="F","Female", IF(orders[[#This Row],[Customer Gender]]= "O", "Other","Unknown")))</f>
        <v>Unknown</v>
      </c>
    </row>
    <row r="2356" spans="1:16"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s="12" t="str">
        <f>TEXT(orders[[#This Row],[Order Date]],"mmmm")</f>
        <v>March</v>
      </c>
      <c r="P2356" t="str">
        <f>IF(orders[[#This Row],[Customer Gender]]="M","Male", IF(orders[[#This Row],[Customer Gender]]="F","Female", IF(orders[[#This Row],[Customer Gender]]= "O", "Other","Unknown")))</f>
        <v>Female</v>
      </c>
    </row>
    <row r="2357" spans="1:16"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s="12" t="str">
        <f>TEXT(orders[[#This Row],[Order Date]],"mmmm")</f>
        <v>March</v>
      </c>
      <c r="P2357" t="str">
        <f>IF(orders[[#This Row],[Customer Gender]]="M","Male", IF(orders[[#This Row],[Customer Gender]]="F","Female", IF(orders[[#This Row],[Customer Gender]]= "O", "Other","Unknown")))</f>
        <v>Female</v>
      </c>
    </row>
    <row r="2358" spans="1:16"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s="12" t="str">
        <f>TEXT(orders[[#This Row],[Order Date]],"mmmm")</f>
        <v>March</v>
      </c>
      <c r="P2358" t="str">
        <f>IF(orders[[#This Row],[Customer Gender]]="M","Male", IF(orders[[#This Row],[Customer Gender]]="F","Female", IF(orders[[#This Row],[Customer Gender]]= "O", "Other","Unknown")))</f>
        <v>Female</v>
      </c>
    </row>
    <row r="2359" spans="1:16"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s="12" t="str">
        <f>TEXT(orders[[#This Row],[Order Date]],"mmmm")</f>
        <v>March</v>
      </c>
      <c r="P2359" t="str">
        <f>IF(orders[[#This Row],[Customer Gender]]="M","Male", IF(orders[[#This Row],[Customer Gender]]="F","Female", IF(orders[[#This Row],[Customer Gender]]= "O", "Other","Unknown")))</f>
        <v>Male</v>
      </c>
    </row>
    <row r="2360" spans="1:16"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s="12" t="str">
        <f>TEXT(orders[[#This Row],[Order Date]],"mmmm")</f>
        <v>March</v>
      </c>
      <c r="P2360" t="str">
        <f>IF(orders[[#This Row],[Customer Gender]]="M","Male", IF(orders[[#This Row],[Customer Gender]]="F","Female", IF(orders[[#This Row],[Customer Gender]]= "O", "Other","Unknown")))</f>
        <v>Male</v>
      </c>
    </row>
    <row r="2361" spans="1:16"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s="12" t="str">
        <f>TEXT(orders[[#This Row],[Order Date]],"mmmm")</f>
        <v>March</v>
      </c>
      <c r="P2361" t="str">
        <f>IF(orders[[#This Row],[Customer Gender]]="M","Male", IF(orders[[#This Row],[Customer Gender]]="F","Female", IF(orders[[#This Row],[Customer Gender]]= "O", "Other","Unknown")))</f>
        <v>Female</v>
      </c>
    </row>
    <row r="2362" spans="1:16"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s="12" t="str">
        <f>TEXT(orders[[#This Row],[Order Date]],"mmmm")</f>
        <v>March</v>
      </c>
      <c r="P2362" t="str">
        <f>IF(orders[[#This Row],[Customer Gender]]="M","Male", IF(orders[[#This Row],[Customer Gender]]="F","Female", IF(orders[[#This Row],[Customer Gender]]= "O", "Other","Unknown")))</f>
        <v>Male</v>
      </c>
    </row>
    <row r="2363" spans="1:16"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s="12" t="str">
        <f>TEXT(orders[[#This Row],[Order Date]],"mmmm")</f>
        <v>March</v>
      </c>
      <c r="P2363" t="str">
        <f>IF(orders[[#This Row],[Customer Gender]]="M","Male", IF(orders[[#This Row],[Customer Gender]]="F","Female", IF(orders[[#This Row],[Customer Gender]]= "O", "Other","Unknown")))</f>
        <v>Female</v>
      </c>
    </row>
    <row r="2364" spans="1:16"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s="12" t="str">
        <f>TEXT(orders[[#This Row],[Order Date]],"mmmm")</f>
        <v>March</v>
      </c>
      <c r="P2364" t="str">
        <f>IF(orders[[#This Row],[Customer Gender]]="M","Male", IF(orders[[#This Row],[Customer Gender]]="F","Female", IF(orders[[#This Row],[Customer Gender]]= "O", "Other","Unknown")))</f>
        <v>Female</v>
      </c>
    </row>
    <row r="2365" spans="1:16"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s="12" t="str">
        <f>TEXT(orders[[#This Row],[Order Date]],"mmmm")</f>
        <v>March</v>
      </c>
      <c r="P2365" t="str">
        <f>IF(orders[[#This Row],[Customer Gender]]="M","Male", IF(orders[[#This Row],[Customer Gender]]="F","Female", IF(orders[[#This Row],[Customer Gender]]= "O", "Other","Unknown")))</f>
        <v>Male</v>
      </c>
    </row>
    <row r="2366" spans="1:16"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s="12" t="str">
        <f>TEXT(orders[[#This Row],[Order Date]],"mmmm")</f>
        <v>March</v>
      </c>
      <c r="P2366" t="str">
        <f>IF(orders[[#This Row],[Customer Gender]]="M","Male", IF(orders[[#This Row],[Customer Gender]]="F","Female", IF(orders[[#This Row],[Customer Gender]]= "O", "Other","Unknown")))</f>
        <v>Male</v>
      </c>
    </row>
    <row r="2367" spans="1:16"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s="12" t="str">
        <f>TEXT(orders[[#This Row],[Order Date]],"mmmm")</f>
        <v>March</v>
      </c>
      <c r="P2367" t="str">
        <f>IF(orders[[#This Row],[Customer Gender]]="M","Male", IF(orders[[#This Row],[Customer Gender]]="F","Female", IF(orders[[#This Row],[Customer Gender]]= "O", "Other","Unknown")))</f>
        <v>Female</v>
      </c>
    </row>
    <row r="2368" spans="1:16"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s="12" t="str">
        <f>TEXT(orders[[#This Row],[Order Date]],"mmmm")</f>
        <v>March</v>
      </c>
      <c r="P2368" t="str">
        <f>IF(orders[[#This Row],[Customer Gender]]="M","Male", IF(orders[[#This Row],[Customer Gender]]="F","Female", IF(orders[[#This Row],[Customer Gender]]= "O", "Other","Unknown")))</f>
        <v>Male</v>
      </c>
    </row>
    <row r="2369" spans="1:16" hidden="1"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s="12" t="str">
        <f>TEXT(orders[[#This Row],[Order Date]],"mmmm")</f>
        <v>March</v>
      </c>
      <c r="P2369" t="str">
        <f>IF(orders[[#This Row],[Customer Gender]]="M","Male", IF(orders[[#This Row],[Customer Gender]]="F","Female", IF(orders[[#This Row],[Customer Gender]]= "O", "Other","Unknown")))</f>
        <v>Unknown</v>
      </c>
    </row>
    <row r="2370" spans="1:16"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s="12" t="str">
        <f>TEXT(orders[[#This Row],[Order Date]],"mmmm")</f>
        <v>March</v>
      </c>
      <c r="P2370" t="str">
        <f>IF(orders[[#This Row],[Customer Gender]]="M","Male", IF(orders[[#This Row],[Customer Gender]]="F","Female", IF(orders[[#This Row],[Customer Gender]]= "O", "Other","Unknown")))</f>
        <v>Male</v>
      </c>
    </row>
    <row r="2371" spans="1:16"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s="12" t="str">
        <f>TEXT(orders[[#This Row],[Order Date]],"mmmm")</f>
        <v>March</v>
      </c>
      <c r="P2371" t="str">
        <f>IF(orders[[#This Row],[Customer Gender]]="M","Male", IF(orders[[#This Row],[Customer Gender]]="F","Female", IF(orders[[#This Row],[Customer Gender]]= "O", "Other","Unknown")))</f>
        <v>Male</v>
      </c>
    </row>
    <row r="2372" spans="1:16"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s="12" t="str">
        <f>TEXT(orders[[#This Row],[Order Date]],"mmmm")</f>
        <v>March</v>
      </c>
      <c r="P2372" t="str">
        <f>IF(orders[[#This Row],[Customer Gender]]="M","Male", IF(orders[[#This Row],[Customer Gender]]="F","Female", IF(orders[[#This Row],[Customer Gender]]= "O", "Other","Unknown")))</f>
        <v>Female</v>
      </c>
    </row>
    <row r="2373" spans="1:16"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s="12" t="str">
        <f>TEXT(orders[[#This Row],[Order Date]],"mmmm")</f>
        <v>March</v>
      </c>
      <c r="P2373" t="str">
        <f>IF(orders[[#This Row],[Customer Gender]]="M","Male", IF(orders[[#This Row],[Customer Gender]]="F","Female", IF(orders[[#This Row],[Customer Gender]]= "O", "Other","Unknown")))</f>
        <v>Male</v>
      </c>
    </row>
    <row r="2374" spans="1:16"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s="12" t="str">
        <f>TEXT(orders[[#This Row],[Order Date]],"mmmm")</f>
        <v>March</v>
      </c>
      <c r="P2374" t="str">
        <f>IF(orders[[#This Row],[Customer Gender]]="M","Male", IF(orders[[#This Row],[Customer Gender]]="F","Female", IF(orders[[#This Row],[Customer Gender]]= "O", "Other","Unknown")))</f>
        <v>Female</v>
      </c>
    </row>
    <row r="2375" spans="1:16"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s="12" t="str">
        <f>TEXT(orders[[#This Row],[Order Date]],"mmmm")</f>
        <v>March</v>
      </c>
      <c r="P2375" t="str">
        <f>IF(orders[[#This Row],[Customer Gender]]="M","Male", IF(orders[[#This Row],[Customer Gender]]="F","Female", IF(orders[[#This Row],[Customer Gender]]= "O", "Other","Unknown")))</f>
        <v>Female</v>
      </c>
    </row>
    <row r="2376" spans="1:16"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s="12" t="str">
        <f>TEXT(orders[[#This Row],[Order Date]],"mmmm")</f>
        <v>March</v>
      </c>
      <c r="P2376" t="str">
        <f>IF(orders[[#This Row],[Customer Gender]]="M","Male", IF(orders[[#This Row],[Customer Gender]]="F","Female", IF(orders[[#This Row],[Customer Gender]]= "O", "Other","Unknown")))</f>
        <v>Male</v>
      </c>
    </row>
    <row r="2377" spans="1:16" hidden="1"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s="12" t="str">
        <f>TEXT(orders[[#This Row],[Order Date]],"mmmm")</f>
        <v>March</v>
      </c>
      <c r="P2377" t="str">
        <f>IF(orders[[#This Row],[Customer Gender]]="M","Male", IF(orders[[#This Row],[Customer Gender]]="F","Female", IF(orders[[#This Row],[Customer Gender]]= "O", "Other","Unknown")))</f>
        <v>Unknown</v>
      </c>
    </row>
    <row r="2378" spans="1:16"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s="12" t="str">
        <f>TEXT(orders[[#This Row],[Order Date]],"mmmm")</f>
        <v>March</v>
      </c>
      <c r="P2378" t="str">
        <f>IF(orders[[#This Row],[Customer Gender]]="M","Male", IF(orders[[#This Row],[Customer Gender]]="F","Female", IF(orders[[#This Row],[Customer Gender]]= "O", "Other","Unknown")))</f>
        <v>Female</v>
      </c>
    </row>
    <row r="2379" spans="1:16"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s="12" t="str">
        <f>TEXT(orders[[#This Row],[Order Date]],"mmmm")</f>
        <v>March</v>
      </c>
      <c r="P2379" t="str">
        <f>IF(orders[[#This Row],[Customer Gender]]="M","Male", IF(orders[[#This Row],[Customer Gender]]="F","Female", IF(orders[[#This Row],[Customer Gender]]= "O", "Other","Unknown")))</f>
        <v>Female</v>
      </c>
    </row>
    <row r="2380" spans="1:16"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s="12" t="str">
        <f>TEXT(orders[[#This Row],[Order Date]],"mmmm")</f>
        <v>March</v>
      </c>
      <c r="P2380" t="str">
        <f>IF(orders[[#This Row],[Customer Gender]]="M","Male", IF(orders[[#This Row],[Customer Gender]]="F","Female", IF(orders[[#This Row],[Customer Gender]]= "O", "Other","Unknown")))</f>
        <v>Female</v>
      </c>
    </row>
    <row r="2381" spans="1:16"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s="12" t="str">
        <f>TEXT(orders[[#This Row],[Order Date]],"mmmm")</f>
        <v>March</v>
      </c>
      <c r="P2381" t="str">
        <f>IF(orders[[#This Row],[Customer Gender]]="M","Male", IF(orders[[#This Row],[Customer Gender]]="F","Female", IF(orders[[#This Row],[Customer Gender]]= "O", "Other","Unknown")))</f>
        <v>Female</v>
      </c>
    </row>
    <row r="2382" spans="1:16"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s="12" t="str">
        <f>TEXT(orders[[#This Row],[Order Date]],"mmmm")</f>
        <v>March</v>
      </c>
      <c r="P2382" t="str">
        <f>IF(orders[[#This Row],[Customer Gender]]="M","Male", IF(orders[[#This Row],[Customer Gender]]="F","Female", IF(orders[[#This Row],[Customer Gender]]= "O", "Other","Unknown")))</f>
        <v>Female</v>
      </c>
    </row>
    <row r="2383" spans="1:16"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s="12" t="str">
        <f>TEXT(orders[[#This Row],[Order Date]],"mmmm")</f>
        <v>March</v>
      </c>
      <c r="P2383" t="str">
        <f>IF(orders[[#This Row],[Customer Gender]]="M","Male", IF(orders[[#This Row],[Customer Gender]]="F","Female", IF(orders[[#This Row],[Customer Gender]]= "O", "Other","Unknown")))</f>
        <v>Male</v>
      </c>
    </row>
    <row r="2384" spans="1:16" hidden="1"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s="12" t="str">
        <f>TEXT(orders[[#This Row],[Order Date]],"mmmm")</f>
        <v>March</v>
      </c>
      <c r="P2384" t="str">
        <f>IF(orders[[#This Row],[Customer Gender]]="M","Male", IF(orders[[#This Row],[Customer Gender]]="F","Female", IF(orders[[#This Row],[Customer Gender]]= "O", "Other","Unknown")))</f>
        <v>Unknown</v>
      </c>
    </row>
    <row r="2385" spans="1:16"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s="12" t="str">
        <f>TEXT(orders[[#This Row],[Order Date]],"mmmm")</f>
        <v>March</v>
      </c>
      <c r="P2385" t="str">
        <f>IF(orders[[#This Row],[Customer Gender]]="M","Male", IF(orders[[#This Row],[Customer Gender]]="F","Female", IF(orders[[#This Row],[Customer Gender]]= "O", "Other","Unknown")))</f>
        <v>Male</v>
      </c>
    </row>
    <row r="2386" spans="1:16"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s="12" t="str">
        <f>TEXT(orders[[#This Row],[Order Date]],"mmmm")</f>
        <v>March</v>
      </c>
      <c r="P2386" t="str">
        <f>IF(orders[[#This Row],[Customer Gender]]="M","Male", IF(orders[[#This Row],[Customer Gender]]="F","Female", IF(orders[[#This Row],[Customer Gender]]= "O", "Other","Unknown")))</f>
        <v>Male</v>
      </c>
    </row>
    <row r="2387" spans="1:16"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s="12" t="str">
        <f>TEXT(orders[[#This Row],[Order Date]],"mmmm")</f>
        <v>March</v>
      </c>
      <c r="P2387" t="str">
        <f>IF(orders[[#This Row],[Customer Gender]]="M","Male", IF(orders[[#This Row],[Customer Gender]]="F","Female", IF(orders[[#This Row],[Customer Gender]]= "O", "Other","Unknown")))</f>
        <v>Male</v>
      </c>
    </row>
    <row r="2388" spans="1:16"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s="12" t="str">
        <f>TEXT(orders[[#This Row],[Order Date]],"mmmm")</f>
        <v>March</v>
      </c>
      <c r="P2388" t="str">
        <f>IF(orders[[#This Row],[Customer Gender]]="M","Male", IF(orders[[#This Row],[Customer Gender]]="F","Female", IF(orders[[#This Row],[Customer Gender]]= "O", "Other","Unknown")))</f>
        <v>Female</v>
      </c>
    </row>
    <row r="2389" spans="1:16"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s="12" t="str">
        <f>TEXT(orders[[#This Row],[Order Date]],"mmmm")</f>
        <v>March</v>
      </c>
      <c r="P2389" t="str">
        <f>IF(orders[[#This Row],[Customer Gender]]="M","Male", IF(orders[[#This Row],[Customer Gender]]="F","Female", IF(orders[[#This Row],[Customer Gender]]= "O", "Other","Unknown")))</f>
        <v>Male</v>
      </c>
    </row>
    <row r="2390" spans="1:16"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s="12" t="str">
        <f>TEXT(orders[[#This Row],[Order Date]],"mmmm")</f>
        <v>March</v>
      </c>
      <c r="P2390" t="str">
        <f>IF(orders[[#This Row],[Customer Gender]]="M","Male", IF(orders[[#This Row],[Customer Gender]]="F","Female", IF(orders[[#This Row],[Customer Gender]]= "O", "Other","Unknown")))</f>
        <v>Male</v>
      </c>
    </row>
    <row r="2391" spans="1:16"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s="12" t="str">
        <f>TEXT(orders[[#This Row],[Order Date]],"mmmm")</f>
        <v>March</v>
      </c>
      <c r="P2391" t="str">
        <f>IF(orders[[#This Row],[Customer Gender]]="M","Male", IF(orders[[#This Row],[Customer Gender]]="F","Female", IF(orders[[#This Row],[Customer Gender]]= "O", "Other","Unknown")))</f>
        <v>Female</v>
      </c>
    </row>
    <row r="2392" spans="1:16"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s="12" t="str">
        <f>TEXT(orders[[#This Row],[Order Date]],"mmmm")</f>
        <v>March</v>
      </c>
      <c r="P2392" t="str">
        <f>IF(orders[[#This Row],[Customer Gender]]="M","Male", IF(orders[[#This Row],[Customer Gender]]="F","Female", IF(orders[[#This Row],[Customer Gender]]= "O", "Other","Unknown")))</f>
        <v>Female</v>
      </c>
    </row>
    <row r="2393" spans="1:16" hidden="1"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s="12" t="str">
        <f>TEXT(orders[[#This Row],[Order Date]],"mmmm")</f>
        <v>March</v>
      </c>
      <c r="P2393" t="str">
        <f>IF(orders[[#This Row],[Customer Gender]]="M","Male", IF(orders[[#This Row],[Customer Gender]]="F","Female", IF(orders[[#This Row],[Customer Gender]]= "O", "Other","Unknown")))</f>
        <v>Unknown</v>
      </c>
    </row>
    <row r="2394" spans="1:16"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s="12" t="str">
        <f>TEXT(orders[[#This Row],[Order Date]],"mmmm")</f>
        <v>March</v>
      </c>
      <c r="P2394" t="str">
        <f>IF(orders[[#This Row],[Customer Gender]]="M","Male", IF(orders[[#This Row],[Customer Gender]]="F","Female", IF(orders[[#This Row],[Customer Gender]]= "O", "Other","Unknown")))</f>
        <v>Male</v>
      </c>
    </row>
    <row r="2395" spans="1:16"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s="12" t="str">
        <f>TEXT(orders[[#This Row],[Order Date]],"mmmm")</f>
        <v>March</v>
      </c>
      <c r="P2395" t="str">
        <f>IF(orders[[#This Row],[Customer Gender]]="M","Male", IF(orders[[#This Row],[Customer Gender]]="F","Female", IF(orders[[#This Row],[Customer Gender]]= "O", "Other","Unknown")))</f>
        <v>Male</v>
      </c>
    </row>
    <row r="2396" spans="1:16"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s="12" t="str">
        <f>TEXT(orders[[#This Row],[Order Date]],"mmmm")</f>
        <v>March</v>
      </c>
      <c r="P2396" t="str">
        <f>IF(orders[[#This Row],[Customer Gender]]="M","Male", IF(orders[[#This Row],[Customer Gender]]="F","Female", IF(orders[[#This Row],[Customer Gender]]= "O", "Other","Unknown")))</f>
        <v>Male</v>
      </c>
    </row>
    <row r="2397" spans="1:16"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s="12" t="str">
        <f>TEXT(orders[[#This Row],[Order Date]],"mmmm")</f>
        <v>March</v>
      </c>
      <c r="P2397" t="str">
        <f>IF(orders[[#This Row],[Customer Gender]]="M","Male", IF(orders[[#This Row],[Customer Gender]]="F","Female", IF(orders[[#This Row],[Customer Gender]]= "O", "Other","Unknown")))</f>
        <v>Male</v>
      </c>
    </row>
    <row r="2398" spans="1:16"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s="12" t="str">
        <f>TEXT(orders[[#This Row],[Order Date]],"mmmm")</f>
        <v>March</v>
      </c>
      <c r="P2398" t="str">
        <f>IF(orders[[#This Row],[Customer Gender]]="M","Male", IF(orders[[#This Row],[Customer Gender]]="F","Female", IF(orders[[#This Row],[Customer Gender]]= "O", "Other","Unknown")))</f>
        <v>Male</v>
      </c>
    </row>
    <row r="2399" spans="1:16"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s="12" t="str">
        <f>TEXT(orders[[#This Row],[Order Date]],"mmmm")</f>
        <v>March</v>
      </c>
      <c r="P2399" t="str">
        <f>IF(orders[[#This Row],[Customer Gender]]="M","Male", IF(orders[[#This Row],[Customer Gender]]="F","Female", IF(orders[[#This Row],[Customer Gender]]= "O", "Other","Unknown")))</f>
        <v>Female</v>
      </c>
    </row>
    <row r="2400" spans="1:16"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s="12" t="str">
        <f>TEXT(orders[[#This Row],[Order Date]],"mmmm")</f>
        <v>March</v>
      </c>
      <c r="P2400" t="str">
        <f>IF(orders[[#This Row],[Customer Gender]]="M","Male", IF(orders[[#This Row],[Customer Gender]]="F","Female", IF(orders[[#This Row],[Customer Gender]]= "O", "Other","Unknown")))</f>
        <v>Female</v>
      </c>
    </row>
    <row r="2401" spans="1:16"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s="12" t="str">
        <f>TEXT(orders[[#This Row],[Order Date]],"mmmm")</f>
        <v>March</v>
      </c>
      <c r="P2401" t="str">
        <f>IF(orders[[#This Row],[Customer Gender]]="M","Male", IF(orders[[#This Row],[Customer Gender]]="F","Female", IF(orders[[#This Row],[Customer Gender]]= "O", "Other","Unknown")))</f>
        <v>Male</v>
      </c>
    </row>
  </sheetData>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B18"/>
  <sheetViews>
    <sheetView workbookViewId="0">
      <selection activeCell="B18" sqref="B18"/>
    </sheetView>
  </sheetViews>
  <sheetFormatPr defaultRowHeight="14" x14ac:dyDescent="0.3"/>
  <cols>
    <col min="1" max="1" width="3.6640625" customWidth="1"/>
    <col min="2" max="2" width="52.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election activeCell="AE6" sqref="AE6"/>
    </sheetView>
  </sheetViews>
  <sheetFormatPr defaultRowHeight="14" x14ac:dyDescent="0.3"/>
  <cols>
    <col min="1" max="1" width="3.4140625" customWidth="1"/>
    <col min="2" max="2" width="22.25" customWidth="1"/>
    <col min="3" max="4" width="3.33203125" customWidth="1"/>
    <col min="26" max="26" width="3.33203125" customWidth="1"/>
  </cols>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H24"/>
  <sheetViews>
    <sheetView workbookViewId="0">
      <selection activeCell="N7" sqref="N7"/>
    </sheetView>
  </sheetViews>
  <sheetFormatPr defaultRowHeight="14" x14ac:dyDescent="0.3"/>
  <cols>
    <col min="1" max="1" width="3.33203125" customWidth="1"/>
    <col min="8" max="8" width="37.4140625" customWidth="1"/>
  </cols>
  <sheetData>
    <row r="2" spans="2:8" x14ac:dyDescent="0.3">
      <c r="H2" t="s">
        <v>2548</v>
      </c>
    </row>
    <row r="3" spans="2:8" x14ac:dyDescent="0.3">
      <c r="B3" t="s">
        <v>2518</v>
      </c>
    </row>
    <row r="4" spans="2:8" x14ac:dyDescent="0.3">
      <c r="H4" s="11" t="s">
        <v>2549</v>
      </c>
    </row>
    <row r="5" spans="2:8" x14ac:dyDescent="0.3">
      <c r="B5" t="s">
        <v>2519</v>
      </c>
      <c r="H5" s="11" t="s">
        <v>2550</v>
      </c>
    </row>
    <row r="6" spans="2:8" x14ac:dyDescent="0.3">
      <c r="B6" s="5"/>
      <c r="C6" t="s">
        <v>2520</v>
      </c>
      <c r="D6" t="s">
        <v>2526</v>
      </c>
      <c r="H6" t="s">
        <v>2551</v>
      </c>
    </row>
    <row r="7" spans="2:8" x14ac:dyDescent="0.3">
      <c r="B7" s="6"/>
      <c r="C7" t="s">
        <v>2521</v>
      </c>
      <c r="D7" t="s">
        <v>2527</v>
      </c>
    </row>
    <row r="8" spans="2:8" x14ac:dyDescent="0.3">
      <c r="B8" s="7"/>
      <c r="C8" t="s">
        <v>2522</v>
      </c>
      <c r="D8" t="s">
        <v>2528</v>
      </c>
    </row>
    <row r="9" spans="2:8" x14ac:dyDescent="0.3">
      <c r="B9" s="8"/>
      <c r="C9" t="s">
        <v>2523</v>
      </c>
      <c r="D9" t="s">
        <v>2529</v>
      </c>
    </row>
    <row r="10" spans="2:8" x14ac:dyDescent="0.3">
      <c r="B10" s="9"/>
      <c r="C10" t="s">
        <v>2524</v>
      </c>
      <c r="D10" t="s">
        <v>2530</v>
      </c>
    </row>
    <row r="11" spans="2:8" x14ac:dyDescent="0.3">
      <c r="B11" s="2"/>
      <c r="C11" t="s">
        <v>2525</v>
      </c>
      <c r="D11" t="s">
        <v>2531</v>
      </c>
    </row>
    <row r="13" spans="2:8" x14ac:dyDescent="0.3">
      <c r="B13" t="s">
        <v>2532</v>
      </c>
    </row>
    <row r="14" spans="2:8" x14ac:dyDescent="0.3">
      <c r="B14" t="s">
        <v>2533</v>
      </c>
      <c r="C14" t="s">
        <v>2538</v>
      </c>
    </row>
    <row r="15" spans="2:8" x14ac:dyDescent="0.3">
      <c r="B15" t="s">
        <v>2534</v>
      </c>
      <c r="C15" t="s">
        <v>2</v>
      </c>
    </row>
    <row r="16" spans="2:8" x14ac:dyDescent="0.3">
      <c r="B16" t="s">
        <v>2535</v>
      </c>
      <c r="C16" t="s">
        <v>4</v>
      </c>
    </row>
    <row r="17" spans="2:3" x14ac:dyDescent="0.3">
      <c r="B17" t="s">
        <v>2536</v>
      </c>
      <c r="C17" t="s">
        <v>2539</v>
      </c>
    </row>
    <row r="18" spans="2:3" x14ac:dyDescent="0.3">
      <c r="B18" t="s">
        <v>2537</v>
      </c>
      <c r="C18" t="s">
        <v>2540</v>
      </c>
    </row>
    <row r="21" spans="2:3" x14ac:dyDescent="0.3">
      <c r="B21" t="s">
        <v>2541</v>
      </c>
    </row>
    <row r="22" spans="2:3" x14ac:dyDescent="0.3">
      <c r="B22" t="s">
        <v>2542</v>
      </c>
      <c r="C22" t="s">
        <v>2543</v>
      </c>
    </row>
    <row r="23" spans="2:3" x14ac:dyDescent="0.3">
      <c r="B23" t="s">
        <v>2544</v>
      </c>
      <c r="C23" t="s">
        <v>2545</v>
      </c>
    </row>
    <row r="24" spans="2:3" x14ac:dyDescent="0.3">
      <c r="B24" s="10" t="s">
        <v>2546</v>
      </c>
      <c r="C24" t="s">
        <v>2547</v>
      </c>
    </row>
  </sheetData>
  <phoneticPr fontId="2" type="noConversion"/>
  <hyperlinks>
    <hyperlink ref="H4" r:id="rId1" xr:uid="{00000000-0004-0000-0D00-000000000000}"/>
    <hyperlink ref="H5" r:id="rId2" xr:uid="{00000000-0004-0000-0D00-00000100000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KPIs</vt:lpstr>
      <vt:lpstr>My Dashboard</vt:lpstr>
      <vt:lpstr>Sheet3</vt:lpstr>
      <vt:lpstr>Sheet4</vt:lpstr>
      <vt:lpstr>Sheet6</vt:lpstr>
      <vt:lpstr>Sheet1</vt:lpstr>
      <vt:lpstr>Sheet2</vt:lpstr>
      <vt:lpstr>Sheet7</vt:lpstr>
      <vt:lpstr>Sheet8</vt:lpstr>
      <vt:lpstr>Sheet9</vt:lpstr>
      <vt:lpstr>Data</vt:lpstr>
      <vt:lpstr>Questions &amp; KPIs</vt:lpstr>
      <vt:lpstr>Dashboard</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Jawad Nayosh</cp:lastModifiedBy>
  <dcterms:created xsi:type="dcterms:W3CDTF">2025-06-13T02:42:26Z</dcterms:created>
  <dcterms:modified xsi:type="dcterms:W3CDTF">2025-11-21T21:54:26Z</dcterms:modified>
</cp:coreProperties>
</file>